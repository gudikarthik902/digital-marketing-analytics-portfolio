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8178463ff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c15b1fc91f44488"/>
    <x:sheet xmlns:r="http://schemas.openxmlformats.org/officeDocument/2006/relationships" name="Segment Analysis" sheetId="2" r:id="Ree8f380b2f014f21"/>
    <x:sheet xmlns:r="http://schemas.openxmlformats.org/officeDocument/2006/relationships" name="Account Data" sheetId="3" r:id="R2c33130a1bdd4012"/>
    <x:sheet xmlns:r="http://schemas.openxmlformats.org/officeDocument/2006/relationships" name="Order Data" sheetId="4" r:id="Ra6aed693dc184a5c"/>
    <x:sheet xmlns:r="http://schemas.openxmlformats.org/officeDocument/2006/relationships" name="Methodology" sheetId="5" r:id="R3ac7be81967d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"/>
    <x:numFmt numFmtId="201" formatCode="#,##0"/>
    <x:numFmt numFmtId="202" formatCode="$#,##0"/>
    <x:numFmt numFmtId="203" formatCode="0.0%"/>
    <x:numFmt numFmtId="204" formatCode="0.0"/>
  </x:numFmts>
  <x:fonts count="10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5"/>
      <x:color rgb="FF17324D"/>
      <x:name val="Arial"/>
    </x:font>
    <x:font>
      <x:i/>
      <x:sz val="10"/>
      <x:color rgb="FF667788"/>
      <x:name val="Arial"/>
    </x:font>
    <x:font>
      <x:b/>
      <x:sz val="16"/>
      <x:color rgb="FF17324D"/>
      <x:name val="Arial"/>
    </x:font>
    <x:font>
      <x:b/>
      <x:sz val="11"/>
      <x:color rgb="FFFFFFFF"/>
      <x:name val="Arial"/>
    </x:font>
    <x:font>
      <x:b/>
      <x:sz val="11"/>
      <x:color rgb="FF17324D"/>
      <x:name val="Arial"/>
    </x:font>
    <x:font>
      <x:b/>
      <x:sz val="10"/>
      <x:color rgb="FF17324D"/>
      <x:name val="Arial"/>
    </x:font>
    <x:font>
      <x:i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5F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7">
    <x:border/>
    <x:border>
      <x:bottom style="thin">
        <x:color rgb="FFD9E1E8"/>
      </x:bottom>
    </x:border>
    <x:border>
      <x:bottom style="thin">
        <x:color rgb="FFAFC3D4"/>
      </x:bottom>
    </x:border>
    <x:border>
      <x:left style="thin">
        <x:color rgb="FFC8D3DC"/>
      </x:left>
      <x:top style="thin">
        <x:color rgb="FFC8D3DC"/>
      </x:top>
    </x:border>
    <x:border>
      <x:right style="thin">
        <x:color rgb="FFC8D3DC"/>
      </x:right>
      <x:top style="thin">
        <x:color rgb="FFC8D3DC"/>
      </x:top>
    </x:border>
    <x:border>
      <x:left style="thin">
        <x:color rgb="FFC8D3DC"/>
      </x:left>
      <x:bottom style="thin">
        <x:color rgb="FFC8D3DC"/>
      </x:bottom>
    </x:border>
    <x:border>
      <x:right style="thin">
        <x:color rgb="FFC8D3DC"/>
      </x:right>
      <x:bottom style="thin">
        <x:color rgb="FFC8D3DC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1" xfId="0" applyNumberFormat="1" applyFont="1" applyFill="1" applyBorder="1"/>
    <x:xf numFmtId="201" fontId="1" fillId="0" borderId="1" xfId="0" applyNumberFormat="1" applyFont="1" applyFill="1" applyBorder="1"/>
    <x:xf numFmtId="203" fontId="1" fillId="0" borderId="1" xfId="0" applyNumberFormat="1" applyFont="1" applyFill="1" applyBorder="1"/>
    <x:xf numFmtId="202" fontId="1" fillId="0" borderId="1" xfId="0" applyNumberFormat="1" applyFont="1" applyFill="1" applyBorder="1"/>
    <x:xf numFmtId="204" fontId="1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201" fontId="3" fillId="3" borderId="3" xfId="0" applyNumberFormat="1" applyFont="1" applyFill="1" applyBorder="1"/>
    <x:xf numFmtId="201" fontId="3" fillId="3" borderId="4" xfId="0" applyNumberFormat="1" applyFont="1" applyFill="1" applyBorder="1"/>
    <x:xf numFmtId="201" fontId="3" fillId="3" borderId="5" xfId="0" applyNumberFormat="1" applyFont="1" applyFill="1" applyBorder="1"/>
    <x:xf numFmtId="201" fontId="3" fillId="3" borderId="6" xfId="0" applyNumberFormat="1" applyFont="1" applyFill="1" applyBorder="1"/>
    <x:xf numFmtId="201" fontId="3" fillId="3" borderId="3" xfId="0" applyNumberFormat="1" applyFont="1" applyFill="1" applyBorder="1" applyAlignment="1">
      <x:alignment horizontal="center"/>
    </x:xf>
    <x:xf numFmtId="201" fontId="3" fillId="3" borderId="4" xfId="0" applyNumberFormat="1" applyFont="1" applyFill="1" applyBorder="1" applyAlignment="1">
      <x:alignment horizontal="center"/>
    </x:xf>
    <x:xf numFmtId="201" fontId="3" fillId="3" borderId="5" xfId="0" applyNumberFormat="1" applyFont="1" applyFill="1" applyBorder="1" applyAlignment="1">
      <x:alignment horizontal="center"/>
    </x:xf>
    <x:xf numFmtId="201" fontId="3" fillId="3" borderId="6" xfId="0" applyNumberFormat="1" applyFont="1" applyFill="1" applyBorder="1" applyAlignment="1">
      <x:alignment horizontal="center"/>
    </x:xf>
    <x:xf numFmtId="201" fontId="3" fillId="3" borderId="3" xfId="0" applyNumberFormat="1" applyFont="1" applyFill="1" applyBorder="1" applyAlignment="1">
      <x:alignment horizontal="center" vertical="center"/>
    </x:xf>
    <x:xf numFmtId="201" fontId="3" fillId="3" borderId="4" xfId="0" applyNumberFormat="1" applyFont="1" applyFill="1" applyBorder="1" applyAlignment="1">
      <x:alignment horizontal="center" vertical="center"/>
    </x:xf>
    <x:xf numFmtId="201" fontId="3" fillId="3" borderId="5" xfId="0" applyNumberFormat="1" applyFont="1" applyFill="1" applyBorder="1" applyAlignment="1">
      <x:alignment horizontal="center" vertical="center"/>
    </x:xf>
    <x:xf numFmtId="201" fontId="3" fillId="3" borderId="6" xfId="0" applyNumberFormat="1" applyFont="1" applyFill="1" applyBorder="1" applyAlignment="1">
      <x:alignment horizontal="center" vertical="center"/>
    </x:xf>
    <x:xf numFmtId="202" fontId="3" fillId="3" borderId="3" xfId="0" applyNumberFormat="1" applyFont="1" applyFill="1" applyBorder="1"/>
    <x:xf numFmtId="202" fontId="3" fillId="3" borderId="4" xfId="0" applyNumberFormat="1" applyFont="1" applyFill="1" applyBorder="1"/>
    <x:xf numFmtId="202" fontId="3" fillId="3" borderId="5" xfId="0" applyNumberFormat="1" applyFont="1" applyFill="1" applyBorder="1"/>
    <x:xf numFmtId="202" fontId="3" fillId="3" borderId="6" xfId="0" applyNumberFormat="1" applyFont="1" applyFill="1" applyBorder="1"/>
    <x:xf numFmtId="202" fontId="3" fillId="3" borderId="3" xfId="0" applyNumberFormat="1" applyFont="1" applyFill="1" applyBorder="1" applyAlignment="1">
      <x:alignment horizontal="center"/>
    </x:xf>
    <x:xf numFmtId="202" fontId="3" fillId="3" borderId="4" xfId="0" applyNumberFormat="1" applyFont="1" applyFill="1" applyBorder="1" applyAlignment="1">
      <x:alignment horizontal="center"/>
    </x:xf>
    <x:xf numFmtId="202" fontId="3" fillId="3" borderId="5" xfId="0" applyNumberFormat="1" applyFont="1" applyFill="1" applyBorder="1" applyAlignment="1">
      <x:alignment horizontal="center"/>
    </x:xf>
    <x:xf numFmtId="202" fontId="3" fillId="3" borderId="6" xfId="0" applyNumberFormat="1" applyFont="1" applyFill="1" applyBorder="1" applyAlignment="1">
      <x:alignment horizontal="center"/>
    </x:xf>
    <x:xf numFmtId="202" fontId="3" fillId="3" borderId="3" xfId="0" applyNumberFormat="1" applyFont="1" applyFill="1" applyBorder="1" applyAlignment="1">
      <x:alignment horizontal="center" vertical="center"/>
    </x:xf>
    <x:xf numFmtId="202" fontId="3" fillId="3" borderId="4" xfId="0" applyNumberFormat="1" applyFont="1" applyFill="1" applyBorder="1" applyAlignment="1">
      <x:alignment horizontal="center" vertical="center"/>
    </x:xf>
    <x:xf numFmtId="202" fontId="3" fillId="3" borderId="5" xfId="0" applyNumberFormat="1" applyFont="1" applyFill="1" applyBorder="1" applyAlignment="1">
      <x:alignment horizontal="center" vertical="center"/>
    </x:xf>
    <x:xf numFmtId="202" fontId="3" fillId="3" borderId="6" xfId="0" applyNumberFormat="1" applyFont="1" applyFill="1" applyBorder="1" applyAlignment="1">
      <x:alignment horizontal="center" vertical="center"/>
    </x:xf>
    <x:xf numFmtId="203" fontId="3" fillId="3" borderId="3" xfId="0" applyNumberFormat="1" applyFont="1" applyFill="1" applyBorder="1"/>
    <x:xf numFmtId="203" fontId="3" fillId="3" borderId="4" xfId="0" applyNumberFormat="1" applyFont="1" applyFill="1" applyBorder="1"/>
    <x:xf numFmtId="203" fontId="3" fillId="3" borderId="5" xfId="0" applyNumberFormat="1" applyFont="1" applyFill="1" applyBorder="1"/>
    <x:xf numFmtId="203" fontId="3" fillId="3" borderId="6" xfId="0" applyNumberFormat="1" applyFont="1" applyFill="1" applyBorder="1"/>
    <x:xf numFmtId="203" fontId="3" fillId="3" borderId="3" xfId="0" applyNumberFormat="1" applyFont="1" applyFill="1" applyBorder="1" applyAlignment="1">
      <x:alignment horizontal="center"/>
    </x:xf>
    <x:xf numFmtId="203" fontId="3" fillId="3" borderId="4" xfId="0" applyNumberFormat="1" applyFont="1" applyFill="1" applyBorder="1" applyAlignment="1">
      <x:alignment horizontal="center"/>
    </x:xf>
    <x:xf numFmtId="203" fontId="3" fillId="3" borderId="5" xfId="0" applyNumberFormat="1" applyFont="1" applyFill="1" applyBorder="1" applyAlignment="1">
      <x:alignment horizontal="center"/>
    </x:xf>
    <x:xf numFmtId="203" fontId="3" fillId="3" borderId="6" xfId="0" applyNumberFormat="1" applyFont="1" applyFill="1" applyBorder="1" applyAlignment="1">
      <x:alignment horizontal="center"/>
    </x:xf>
    <x:xf numFmtId="203" fontId="3" fillId="3" borderId="3" xfId="0" applyNumberFormat="1" applyFont="1" applyFill="1" applyBorder="1" applyAlignment="1">
      <x:alignment horizontal="center" vertical="center"/>
    </x:xf>
    <x:xf numFmtId="203" fontId="3" fillId="3" borderId="4" xfId="0" applyNumberFormat="1" applyFont="1" applyFill="1" applyBorder="1" applyAlignment="1">
      <x:alignment horizontal="center" vertical="center"/>
    </x:xf>
    <x:xf numFmtId="203" fontId="3" fillId="3" borderId="5" xfId="0" applyNumberFormat="1" applyFont="1" applyFill="1" applyBorder="1" applyAlignment="1">
      <x:alignment horizontal="center" vertical="center"/>
    </x:xf>
    <x:xf numFmtId="203" fontId="3" fillId="3" borderId="6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6d2a979934cb4" /><Relationship Type="http://schemas.openxmlformats.org/officeDocument/2006/relationships/theme" Target="/xl/theme/theme1.xml" Id="Rabd353e9dd974500" /><Relationship Type="http://schemas.openxmlformats.org/officeDocument/2006/relationships/sharedStrings" Target="/xl/sharedStrings.xml" Id="R6107df38c88f4a61" /><Relationship Type="http://schemas.openxmlformats.org/officeDocument/2006/relationships/worksheet" Target="/xl/worksheets/sheet1.xml" Id="R1c15b1fc91f44488" /><Relationship Type="http://schemas.openxmlformats.org/officeDocument/2006/relationships/worksheet" Target="/xl/worksheets/sheet2.xml" Id="Ree8f380b2f014f21" /><Relationship Type="http://schemas.openxmlformats.org/officeDocument/2006/relationships/worksheet" Target="/xl/worksheets/sheet3.xml" Id="R2c33130a1bdd4012" /><Relationship Type="http://schemas.openxmlformats.org/officeDocument/2006/relationships/worksheet" Target="/xl/worksheets/sheet4.xml" Id="Ra6aed693dc184a5c" /><Relationship Type="http://schemas.openxmlformats.org/officeDocument/2006/relationships/worksheet" Target="/xl/worksheets/sheet5.xml" Id="R3ac7be81967d4a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654dd6871c4355" /><Relationship Type="http://schemas.openxmlformats.org/officeDocument/2006/relationships/chart" Target="/xl/drawings/charts/chart2.xml" Id="Rea42d2b060b948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by Segment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A9D8F"/>
            </a:solidFill>
          </c:spPr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'Dashboard'!$C$12:$C$18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Accounts by Lifecycle Stage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Accounts</c:v>
          </c:tx>
          <c:spPr>
            <a:solidFill xmlns:a="http://schemas.openxmlformats.org/drawingml/2006/main">
              <a:srgbClr val="F4A261"/>
            </a:solidFill>
          </c:spPr>
          <c:cat>
            <c:strRef>
              <c:f>'Dashboard'!$A$23:$A$27</c:f>
              <c:strCache>
                <c:ptCount val="0"/>
              </c:strCache>
            </c:strRef>
          </c:cat>
          <c:val>
            <c:numRef>
              <c:f>'Dashboard'!$B$23:$B$27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654dd6871c4355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42d2b060b948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countSegmentationTable" displayName="AccountSegmentationTable" ref="A1:S361" headerRowCount="1" totalsRowCount="0" totalsRowShown="0">
  <x:tableColumns count="19">
    <x:tableColumn id="1" name="Account ID"/>
    <x:tableColumn id="2" name="Company"/>
    <x:tableColumn id="3" name="Region"/>
    <x:tableColumn id="4" name="Industry"/>
    <x:tableColumn id="5" name="Company Size"/>
    <x:tableColumn id="6" name="Acquisition Channel"/>
    <x:tableColumn id="7" name="First Order"/>
    <x:tableColumn id="8" name="Last Order"/>
    <x:tableColumn id="9" name="Orders"/>
    <x:tableColumn id="10" name="Revenue"/>
    <x:tableColumn id="11" name="Average Order"/>
    <x:tableColumn id="12" name="Days Since Last Order"/>
    <x:tableColumn id="13" name="Recency Score"/>
    <x:tableColumn id="14" name="Frequency Score"/>
    <x:tableColumn id="15" name="Monetary Score"/>
    <x:tableColumn id="16" name="RFM Score"/>
    <x:tableColumn id="17" name="Segment"/>
    <x:tableColumn id="18" name="Lifecycle Stage"/>
    <x:tableColumn id="19" name="Recommended CRM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HistoryTable" displayName="OrderHistoryTable" ref="A1:G1283" headerRowCount="1" totalsRowCount="0" totalsRowShown="0">
  <x:tableColumns count="7">
    <x:tableColumn id="1" name="Order ID"/>
    <x:tableColumn id="2" name="Account ID"/>
    <x:tableColumn id="3" name="Order Date"/>
    <x:tableColumn id="4" name="Product"/>
    <x:tableColumn id="5" name="Region"/>
    <x:tableColumn id="6" name="Revenue"/>
    <x:tableColumn id="7" name="Order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c80f1835454a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56ccbf4f73640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9d8fb1e203e424d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3" t="str">
        <x:v>Crown Industries B2B Customer Segmentation Dashboard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3" t="str">
        <x:v>Account value, lifecycle health, and CRM priorities | Synthetic portfolio data | As of June 30, 2026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8" t="str">
        <x:v>Total Accounts</x:v>
      </x:c>
      <x:c r="B6" s="18"/>
      <x:c r="C6" s="1"/>
      <x:c r="D6" s="18" t="str">
        <x:v>Portfolio Revenue</x:v>
      </x:c>
      <x:c r="E6" s="18"/>
      <x:c r="F6" s="1"/>
      <x:c r="G6" s="18" t="str">
        <x:v>Repeat Purchase Rate</x:v>
      </x:c>
      <x:c r="H6" s="18"/>
      <x:c r="I6" s="1"/>
      <x:c r="J6" s="18" t="str">
        <x:v>At-Risk Revenue</x:v>
      </x:c>
      <x:c r="K6" s="18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49" t="n">
        <x:f>COUNTA('Account Data'!$A$2:$A$361)</x:f>
        <x:v>360</x:v>
      </x:c>
      <x:c r="B7" s="50"/>
      <x:c r="C7" s="1"/>
      <x:c r="D7" s="61" t="n">
        <x:f>SUM('Account Data'!$J$2:$J$361)</x:f>
        <x:v>148540300</x:v>
      </x:c>
      <x:c r="E7" s="62"/>
      <x:c r="F7" s="1"/>
      <x:c r="G7" s="73" t="n">
        <x:f>COUNTIFS('Account Data'!$I$2:$I$361,"&gt;1")/COUNTA('Account Data'!$A$2:$A$361)</x:f>
        <x:v>0.9083333333333333</x:v>
      </x:c>
      <x:c r="H7" s="74"/>
      <x:c r="I7" s="1"/>
      <x:c r="J7" s="61" t="n">
        <x:f>SUMIFS('Account Data'!$J$2:$J$361,'Account Data'!$R$2:$R$361,"At Risk")+SUMIFS('Account Data'!$J$2:$J$361,'Account Data'!$R$2:$R$361,"Lapsed")</x:f>
        <x:v>54928800</x:v>
      </x:c>
      <x:c r="K7" s="62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1"/>
      <x:c r="B8" s="52"/>
      <x:c r="C8" s="1"/>
      <x:c r="D8" s="63"/>
      <x:c r="E8" s="64"/>
      <x:c r="F8" s="1"/>
      <x:c r="G8" s="75"/>
      <x:c r="H8" s="76"/>
      <x:c r="I8" s="1"/>
      <x:c r="J8" s="63"/>
      <x:c r="K8" s="64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8" t="str">
        <x:v>Segment</x:v>
      </x:c>
      <x:c r="B11" s="18" t="str">
        <x:v>Accounts</x:v>
      </x:c>
      <x:c r="C11" s="18" t="str">
        <x:v>Revenue</x:v>
      </x:c>
      <x:c r="D11" s="18" t="str">
        <x:v>Revenue Share</x:v>
      </x:c>
      <x:c r="E11" s="18" t="str">
        <x:v>Avg Revenue</x:v>
      </x:c>
      <x:c r="F11" s="18" t="str">
        <x:v>Priority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Champions</x:v>
      </x:c>
      <x:c r="B12" s="24" t="n">
        <x:f>COUNTIFS('Account Data'!$Q$2:$Q$361,A12)</x:f>
        <x:v>41</x:v>
      </x:c>
      <x:c r="C12" s="20" t="n">
        <x:f>SUMIFS('Account Data'!$J$2:$J$361,'Account Data'!$Q$2:$Q$361,A12)</x:f>
        <x:v>31313100</x:v>
      </x:c>
      <x:c r="D12" s="25" t="n">
        <x:f>C12/SUM($C$12:$C$18)</x:f>
        <x:v>0.21080541778897713</x:v>
      </x:c>
      <x:c r="E12" s="20" t="n">
        <x:f>IF(B12=0,"",C12/B12)</x:f>
        <x:v>763734.1463414634</x:v>
      </x:c>
      <x:c r="F12" s="1" t="str">
        <x:v>Retain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Loyal Growth</x:v>
      </x:c>
      <x:c r="B13" s="24" t="n">
        <x:f>COUNTIFS('Account Data'!$Q$2:$Q$361,A13)</x:f>
        <x:v>105</x:v>
      </x:c>
      <x:c r="C13" s="20" t="n">
        <x:f>SUMIFS('Account Data'!$J$2:$J$361,'Account Data'!$Q$2:$Q$361,A13)</x:f>
        <x:v>46609800</x:v>
      </x:c>
      <x:c r="D13" s="25" t="n">
        <x:f>C13/SUM($C$12:$C$18)</x:f>
        <x:v>0.31378555179974726</x:v>
      </x:c>
      <x:c r="E13" s="20" t="n">
        <x:f>IF(B13=0,"",C13/B13)</x:f>
        <x:v>443902.85714285716</x:v>
      </x:c>
      <x:c r="F13" s="1" t="str">
        <x:v>Expand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High Value At Risk</x:v>
      </x:c>
      <x:c r="B14" s="24" t="n">
        <x:f>COUNTIFS('Account Data'!$Q$2:$Q$361,A14)</x:f>
        <x:v>47</x:v>
      </x:c>
      <x:c r="C14" s="20" t="n">
        <x:f>SUMIFS('Account Data'!$J$2:$J$361,'Account Data'!$Q$2:$Q$361,A14)</x:f>
        <x:v>28355000</x:v>
      </x:c>
      <x:c r="D14" s="25" t="n">
        <x:f>C14/SUM($C$12:$C$18)</x:f>
        <x:v>0.19089095686490468</x:v>
      </x:c>
      <x:c r="E14" s="20" t="n">
        <x:f>IF(B14=0,"",C14/B14)</x:f>
        <x:v>603297.8723404255</x:v>
      </x:c>
      <x:c r="F14" s="1" t="str">
        <x:v>Recover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New Accounts</x:v>
      </x:c>
      <x:c r="B15" s="24" t="n">
        <x:f>COUNTIFS('Account Data'!$Q$2:$Q$361,A15)</x:f>
        <x:v>30</x:v>
      </x:c>
      <x:c r="C15" s="20" t="n">
        <x:f>SUMIFS('Account Data'!$J$2:$J$361,'Account Data'!$Q$2:$Q$361,A15)</x:f>
        <x:v>7288400</x:v>
      </x:c>
      <x:c r="D15" s="25" t="n">
        <x:f>C15/SUM($C$12:$C$18)</x:f>
        <x:v>0.04906681890369145</x:v>
      </x:c>
      <x:c r="E15" s="20" t="n">
        <x:f>IF(B15=0,"",C15/B15)</x:f>
        <x:v>242946.66666666666</x:v>
      </x:c>
      <x:c r="F15" s="1" t="str">
        <x:v>Onboard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Promising</x:v>
      </x:c>
      <x:c r="B16" s="24" t="n">
        <x:f>COUNTIFS('Account Data'!$Q$2:$Q$361,A16)</x:f>
        <x:v>1</x:v>
      </x:c>
      <x:c r="C16" s="20" t="n">
        <x:f>SUMIFS('Account Data'!$J$2:$J$361,'Account Data'!$Q$2:$Q$361,A16)</x:f>
        <x:v>87400</x:v>
      </x:c>
      <x:c r="D16" s="25" t="n">
        <x:f>C16/SUM($C$12:$C$18)</x:f>
        <x:v>0.0005883925103153824</x:v>
      </x:c>
      <x:c r="E16" s="20" t="n">
        <x:f>IF(B16=0,"",C16/B16)</x:f>
        <x:v>87400</x:v>
      </x:c>
      <x:c r="F16" s="1" t="str">
        <x:v>Convert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Needs Nurture</x:v>
      </x:c>
      <x:c r="B17" s="24" t="n">
        <x:f>COUNTIFS('Account Data'!$Q$2:$Q$361,A17)</x:f>
        <x:v>79</x:v>
      </x:c>
      <x:c r="C17" s="20" t="n">
        <x:f>SUMIFS('Account Data'!$J$2:$J$361,'Account Data'!$Q$2:$Q$361,A17)</x:f>
        <x:v>27096100</x:v>
      </x:c>
      <x:c r="D17" s="25" t="n">
        <x:f>C17/SUM($C$12:$C$18)</x:f>
        <x:v>0.18241581577524751</x:v>
      </x:c>
      <x:c r="E17" s="20" t="n">
        <x:f>IF(B17=0,"",C17/B17)</x:f>
        <x:v>342988.60759493674</x:v>
      </x:c>
      <x:c r="F17" s="1" t="str">
        <x:v>Nurture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7" t="str">
        <x:v>Dormant</x:v>
      </x:c>
      <x:c r="B18" s="28" t="n">
        <x:f>COUNTIFS('Account Data'!$Q$2:$Q$361,A18)</x:f>
        <x:v>57</x:v>
      </x:c>
      <x:c r="C18" s="30" t="n">
        <x:f>SUMIFS('Account Data'!$J$2:$J$361,'Account Data'!$Q$2:$Q$361,A18)</x:f>
        <x:v>7790500</x:v>
      </x:c>
      <x:c r="D18" s="29" t="n">
        <x:f>C18/SUM($C$12:$C$18)</x:f>
        <x:v>0.052447046357116556</x:v>
      </x:c>
      <x:c r="E18" s="30" t="n">
        <x:f>IF(B18=0,"",C18/B18)</x:f>
        <x:v>136675.43859649124</x:v>
      </x:c>
      <x:c r="F18" s="27" t="str">
        <x:v>Win back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8" t="str">
        <x:v>Lifecycle Stage</x:v>
      </x:c>
      <x:c r="B22" s="18" t="str">
        <x:v>Accounts</x:v>
      </x:c>
      <x:c r="C22" s="18" t="str">
        <x:v>Share</x:v>
      </x:c>
      <x:c r="D22" s="18" t="str">
        <x:v>Revenue</x:v>
      </x:c>
      <x:c r="E22" s="18" t="str">
        <x:v>Avg Revenue</x:v>
      </x:c>
      <x:c r="F22" s="18" t="str">
        <x:v>CRM Objective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New</x:v>
      </x:c>
      <x:c r="B23" s="24" t="n">
        <x:f>COUNTIFS('Account Data'!$R$2:$R$361,A23)</x:f>
        <x:v>30</x:v>
      </x:c>
      <x:c r="C23" s="25" t="n">
        <x:f>B23/SUM($B$23:$B$27)</x:f>
        <x:v>0.08333333333333333</x:v>
      </x:c>
      <x:c r="D23" s="20" t="n">
        <x:f>SUMIFS('Account Data'!$J$2:$J$361,'Account Data'!$R$2:$R$361,A23)</x:f>
        <x:v>7288400</x:v>
      </x:c>
      <x:c r="E23" s="20" t="n">
        <x:f>IF(B23=0,"",D23/B23)</x:f>
        <x:v>242946.66666666666</x:v>
      </x:c>
      <x:c r="F23" s="1" t="str">
        <x:v>Onboarding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Active</x:v>
      </x:c>
      <x:c r="B24" s="24" t="n">
        <x:f>COUNTIFS('Account Data'!$R$2:$R$361,A24)</x:f>
        <x:v>173</x:v>
      </x:c>
      <x:c r="C24" s="25" t="n">
        <x:f>B24/SUM($B$23:$B$27)</x:f>
        <x:v>0.48055555555555557</x:v>
      </x:c>
      <x:c r="D24" s="20" t="n">
        <x:f>SUMIFS('Account Data'!$J$2:$J$361,'Account Data'!$R$2:$R$361,A24)</x:f>
        <x:v>83774000</x:v>
      </x:c>
      <x:c r="E24" s="20" t="n">
        <x:f>IF(B24=0,"",D24/B24)</x:f>
        <x:v>484242.77456647396</x:v>
      </x:c>
      <x:c r="F24" s="1" t="str">
        <x:v>Cross-sell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One-time</x:v>
      </x:c>
      <x:c r="B25" s="24" t="n">
        <x:f>COUNTIFS('Account Data'!$R$2:$R$361,A25)</x:f>
        <x:v>32</x:v>
      </x:c>
      <x:c r="C25" s="25" t="n">
        <x:f>B25/SUM($B$23:$B$27)</x:f>
        <x:v>0.08888888888888889</x:v>
      </x:c>
      <x:c r="D25" s="20" t="n">
        <x:f>SUMIFS('Account Data'!$J$2:$J$361,'Account Data'!$R$2:$R$361,A25)</x:f>
        <x:v>2549100</x:v>
      </x:c>
      <x:c r="E25" s="20" t="n">
        <x:f>IF(B25=0,"",D25/B25)</x:f>
        <x:v>79659.375</x:v>
      </x:c>
      <x:c r="F25" s="1" t="str">
        <x:v>Second purchase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At Risk</x:v>
      </x:c>
      <x:c r="B26" s="24" t="n">
        <x:f>COUNTIFS('Account Data'!$R$2:$R$361,A26)</x:f>
        <x:v>63</x:v>
      </x:c>
      <x:c r="C26" s="25" t="n">
        <x:f>B26/SUM($B$23:$B$27)</x:f>
        <x:v>0.175</x:v>
      </x:c>
      <x:c r="D26" s="20" t="n">
        <x:f>SUMIFS('Account Data'!$J$2:$J$361,'Account Data'!$R$2:$R$361,A26)</x:f>
        <x:v>31505800</x:v>
      </x:c>
      <x:c r="E26" s="20" t="n">
        <x:f>IF(B26=0,"",D26/B26)</x:f>
        <x:v>500092.0634920635</x:v>
      </x:c>
      <x:c r="F26" s="1" t="str">
        <x:v>Churn prevention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27" t="str">
        <x:v>Lapsed</x:v>
      </x:c>
      <x:c r="B27" s="28" t="n">
        <x:f>COUNTIFS('Account Data'!$R$2:$R$361,A27)</x:f>
        <x:v>62</x:v>
      </x:c>
      <x:c r="C27" s="29" t="n">
        <x:f>B27/SUM($B$23:$B$27)</x:f>
        <x:v>0.17222222222222222</x:v>
      </x:c>
      <x:c r="D27" s="30" t="n">
        <x:f>SUMIFS('Account Data'!$J$2:$J$361,'Account Data'!$R$2:$R$361,A27)</x:f>
        <x:v>23423000</x:v>
      </x:c>
      <x:c r="E27" s="30" t="n">
        <x:f>IF(B27=0,"",D27/B27)</x:f>
        <x:v>377790.32258064515</x:v>
      </x:c>
      <x:c r="F27" s="27" t="str">
        <x:v>Selective win-back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78" t="str">
        <x:v>Recommended CRM Actions</x:v>
      </x:c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34" customHeight="1">
      <x:c r="A32" s="82" t="str">
        <x:v>1</x:v>
      </x:c>
      <x:c r="B32" s="83" t="str">
        <x:v>Protect high-value relationships</x:v>
      </x:c>
      <x:c r="C32" s="83"/>
      <x:c r="D32" s="84" t="str">
        <x:v>Assign Champions to quarterly business reviews, service-plan cross-sell, and referral development.</x:v>
      </x:c>
      <x:c r="E32" s="84"/>
      <x:c r="F32" s="84"/>
      <x:c r="G32" s="84"/>
      <x:c r="H32" s="84"/>
      <x:c r="I32" s="84"/>
      <x:c r="J32" s="84"/>
      <x:c r="K32" s="84"/>
      <x:c r="L32" s="84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34" customHeight="1">
      <x:c r="A33" s="82" t="str">
        <x:v>2</x:v>
      </x:c>
      <x:c r="B33" s="83" t="str">
        <x:v>Recover valuable accounts</x:v>
      </x:c>
      <x:c r="C33" s="83"/>
      <x:c r="D33" s="84" t="str">
        <x:v>Prioritize High Value At Risk accounts for sales outreach within 14 days using product and service history.</x:v>
      </x:c>
      <x:c r="E33" s="84"/>
      <x:c r="F33" s="84"/>
      <x:c r="G33" s="84"/>
      <x:c r="H33" s="84"/>
      <x:c r="I33" s="84"/>
      <x:c r="J33" s="84"/>
      <x:c r="K33" s="84"/>
      <x:c r="L33" s="84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34" customHeight="1">
      <x:c r="A34" s="82" t="str">
        <x:v>3</x:v>
      </x:c>
      <x:c r="B34" s="83" t="str">
        <x:v>Increase second purchases</x:v>
      </x:c>
      <x:c r="C34" s="83"/>
      <x:c r="D34" s="84" t="str">
        <x:v>Use 30-, 60-, and 90-day onboarding sequences for New and Promising accounts to drive the next order.</x:v>
      </x:c>
      <x:c r="E34" s="84"/>
      <x:c r="F34" s="84"/>
      <x:c r="G34" s="84"/>
      <x:c r="H34" s="84"/>
      <x:c r="I34" s="84"/>
      <x:c r="J34" s="84"/>
      <x:c r="K34" s="84"/>
      <x:c r="L34" s="84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34" customHeight="1">
      <x:c r="A35" s="85" t="str">
        <x:v>4</x:v>
      </x:c>
      <x:c r="B35" s="86" t="str">
        <x:v>Tailor nurture by lifecycle</x:v>
      </x:c>
      <x:c r="C35" s="86"/>
      <x:c r="D35" s="87" t="str">
        <x:v>Separate active expansion, churn-prevention, and low-frequency win-back campaigns instead of one generic email stream.</x:v>
      </x:c>
      <x:c r="E35" s="87"/>
      <x:c r="F35" s="87"/>
      <x:c r="G35" s="87"/>
      <x:c r="H35" s="87"/>
      <x:c r="I35" s="87"/>
      <x:c r="J35" s="87"/>
      <x:c r="K35" s="87"/>
      <x:c r="L35" s="87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2:L2"/>
    <x:mergeCell ref="A6:B6"/>
    <x:mergeCell ref="A7:B8"/>
    <x:mergeCell ref="D6:E6"/>
    <x:mergeCell ref="D7:E8"/>
    <x:mergeCell ref="G6:H6"/>
    <x:mergeCell ref="G7:H8"/>
    <x:mergeCell ref="J6:K6"/>
    <x:mergeCell ref="J7:K8"/>
    <x:mergeCell ref="A31:L31"/>
    <x:mergeCell ref="B32:C32"/>
    <x:mergeCell ref="D32:L32"/>
    <x:mergeCell ref="B33:C33"/>
    <x:mergeCell ref="D33:L33"/>
    <x:mergeCell ref="B34:C34"/>
    <x:mergeCell ref="D34:L34"/>
    <x:mergeCell ref="B35:C35"/>
    <x:mergeCell ref="D35:L35"/>
  </x:mergeCells>
  <x:conditionalFormatting sqref="C12:C18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6c80f1835454a2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F75B5"/>
            </x14:dataBar>
          </x14:cfRule>
          <xm:sqref>C12:C18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7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2" t="str">
        <x:v>B2B Account Segmentation Analysis</x:v>
      </x:c>
      <x:c r="B2" s="22"/>
      <x:c r="C2" s="22"/>
      <x:c r="D2" s="22"/>
      <x:c r="E2" s="22"/>
      <x:c r="F2" s="22"/>
      <x:c r="G2" s="22"/>
      <x:c r="H2" s="2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3" t="str">
        <x:v>Synthetic account data as of June 30, 2026</x:v>
      </x:c>
      <x:c r="B3" s="23"/>
      <x:c r="C3" s="23"/>
      <x:c r="D3" s="23"/>
      <x:c r="E3" s="23"/>
      <x:c r="F3" s="23"/>
      <x:c r="G3" s="23"/>
      <x:c r="H3" s="2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6" t="str">
        <x:v>Segment</x:v>
      </x:c>
      <x:c r="B6" s="6" t="str">
        <x:v>Accounts</x:v>
      </x:c>
      <x:c r="C6" s="6" t="str">
        <x:v>Share of Accounts</x:v>
      </x:c>
      <x:c r="D6" s="6" t="str">
        <x:v>Revenue</x:v>
      </x:c>
      <x:c r="E6" s="6" t="str">
        <x:v>Revenue Share</x:v>
      </x:c>
      <x:c r="F6" s="6" t="str">
        <x:v>Avg Revenue / Account</x:v>
      </x:c>
      <x:c r="G6" s="6" t="str">
        <x:v>Avg Orders</x:v>
      </x:c>
      <x:c r="H6" s="6" t="str">
        <x:v>Recommended Priority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Champions</x:v>
      </x:c>
      <x:c r="B7" s="24" t="n">
        <x:f>COUNTIFS('Account Data'!$Q$2:$Q$361,A7)</x:f>
        <x:v>41</x:v>
      </x:c>
      <x:c r="C7" s="25" t="n">
        <x:f>B7/SUM($B$7:$B$13)</x:f>
        <x:v>0.11388888888888889</x:v>
      </x:c>
      <x:c r="D7" s="20" t="n">
        <x:f>SUMIFS('Account Data'!$J$2:$J$361,'Account Data'!$Q$2:$Q$361,A7)</x:f>
        <x:v>31313100</x:v>
      </x:c>
      <x:c r="E7" s="25" t="n">
        <x:f>D7/SUM($D$7:$D$13)</x:f>
        <x:v>0.21080541778897713</x:v>
      </x:c>
      <x:c r="F7" s="20" t="n">
        <x:f>IF(B7=0,"",D7/B7)</x:f>
        <x:v>763734.1463414634</x:v>
      </x:c>
      <x:c r="G7" s="26" t="n">
        <x:f>IF(B7=0,"",AVERAGEIFS('Account Data'!$I$2:$I$361,'Account Data'!$Q$2:$Q$361,A7))</x:f>
        <x:v>5.975609756097561</x:v>
      </x:c>
      <x:c r="H7" s="1" t="str">
        <x:v>Retention and advocacy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Loyal Growth</x:v>
      </x:c>
      <x:c r="B8" s="24" t="n">
        <x:f>COUNTIFS('Account Data'!$Q$2:$Q$361,A8)</x:f>
        <x:v>105</x:v>
      </x:c>
      <x:c r="C8" s="25" t="n">
        <x:f>B8/SUM($B$7:$B$13)</x:f>
        <x:v>0.2916666666666667</x:v>
      </x:c>
      <x:c r="D8" s="20" t="n">
        <x:f>SUMIFS('Account Data'!$J$2:$J$361,'Account Data'!$Q$2:$Q$361,A8)</x:f>
        <x:v>46609800</x:v>
      </x:c>
      <x:c r="E8" s="25" t="n">
        <x:f>D8/SUM($D$7:$D$13)</x:f>
        <x:v>0.31378555179974726</x:v>
      </x:c>
      <x:c r="F8" s="20" t="n">
        <x:f>IF(B8=0,"",D8/B8)</x:f>
        <x:v>443902.85714285716</x:v>
      </x:c>
      <x:c r="G8" s="26" t="n">
        <x:f>IF(B8=0,"",AVERAGEIFS('Account Data'!$I$2:$I$361,'Account Data'!$Q$2:$Q$361,A8))</x:f>
        <x:v>3.980952380952381</x:v>
      </x:c>
      <x:c r="H8" s="1" t="str">
        <x:v>Expansion and cross-sell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High Value At Risk</x:v>
      </x:c>
      <x:c r="B9" s="24" t="n">
        <x:f>COUNTIFS('Account Data'!$Q$2:$Q$361,A9)</x:f>
        <x:v>47</x:v>
      </x:c>
      <x:c r="C9" s="25" t="n">
        <x:f>B9/SUM($B$7:$B$13)</x:f>
        <x:v>0.13055555555555556</x:v>
      </x:c>
      <x:c r="D9" s="20" t="n">
        <x:f>SUMIFS('Account Data'!$J$2:$J$361,'Account Data'!$Q$2:$Q$361,A9)</x:f>
        <x:v>28355000</x:v>
      </x:c>
      <x:c r="E9" s="25" t="n">
        <x:f>D9/SUM($D$7:$D$13)</x:f>
        <x:v>0.19089095686490468</x:v>
      </x:c>
      <x:c r="F9" s="20" t="n">
        <x:f>IF(B9=0,"",D9/B9)</x:f>
        <x:v>603297.8723404255</x:v>
      </x:c>
      <x:c r="G9" s="26" t="n">
        <x:f>IF(B9=0,"",AVERAGEIFS('Account Data'!$I$2:$I$361,'Account Data'!$Q$2:$Q$361,A9))</x:f>
        <x:v>4.319148936170213</x:v>
      </x:c>
      <x:c r="H9" s="1" t="str">
        <x:v>Sales recovery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New Accounts</x:v>
      </x:c>
      <x:c r="B10" s="24" t="n">
        <x:f>COUNTIFS('Account Data'!$Q$2:$Q$361,A10)</x:f>
        <x:v>30</x:v>
      </x:c>
      <x:c r="C10" s="25" t="n">
        <x:f>B10/SUM($B$7:$B$13)</x:f>
        <x:v>0.08333333333333333</x:v>
      </x:c>
      <x:c r="D10" s="20" t="n">
        <x:f>SUMIFS('Account Data'!$J$2:$J$361,'Account Data'!$Q$2:$Q$361,A10)</x:f>
        <x:v>7288400</x:v>
      </x:c>
      <x:c r="E10" s="25" t="n">
        <x:f>D10/SUM($D$7:$D$13)</x:f>
        <x:v>0.04906681890369145</x:v>
      </x:c>
      <x:c r="F10" s="20" t="n">
        <x:f>IF(B10=0,"",D10/B10)</x:f>
        <x:v>242946.66666666666</x:v>
      </x:c>
      <x:c r="G10" s="26" t="n">
        <x:f>IF(B10=0,"",AVERAGEIFS('Account Data'!$I$2:$I$361,'Account Data'!$Q$2:$Q$361,A10))</x:f>
        <x:v>1.9666666666666666</x:v>
      </x:c>
      <x:c r="H10" s="1" t="str">
        <x:v>Onboarding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Promising</x:v>
      </x:c>
      <x:c r="B11" s="24" t="n">
        <x:f>COUNTIFS('Account Data'!$Q$2:$Q$361,A11)</x:f>
        <x:v>1</x:v>
      </x:c>
      <x:c r="C11" s="25" t="n">
        <x:f>B11/SUM($B$7:$B$13)</x:f>
        <x:v>0.002777777777777778</x:v>
      </x:c>
      <x:c r="D11" s="20" t="n">
        <x:f>SUMIFS('Account Data'!$J$2:$J$361,'Account Data'!$Q$2:$Q$361,A11)</x:f>
        <x:v>87400</x:v>
      </x:c>
      <x:c r="E11" s="25" t="n">
        <x:f>D11/SUM($D$7:$D$13)</x:f>
        <x:v>0.0005883925103153824</x:v>
      </x:c>
      <x:c r="F11" s="20" t="n">
        <x:f>IF(B11=0,"",D11/B11)</x:f>
        <x:v>87400</x:v>
      </x:c>
      <x:c r="G11" s="26" t="n">
        <x:f>IF(B11=0,"",AVERAGEIFS('Account Data'!$I$2:$I$361,'Account Data'!$Q$2:$Q$361,A11))</x:f>
        <x:v>1</x:v>
      </x:c>
      <x:c r="H11" s="1" t="str">
        <x:v>Second-order conversion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Needs Nurture</x:v>
      </x:c>
      <x:c r="B12" s="24" t="n">
        <x:f>COUNTIFS('Account Data'!$Q$2:$Q$361,A12)</x:f>
        <x:v>79</x:v>
      </x:c>
      <x:c r="C12" s="25" t="n">
        <x:f>B12/SUM($B$7:$B$13)</x:f>
        <x:v>0.21944444444444444</x:v>
      </x:c>
      <x:c r="D12" s="20" t="n">
        <x:f>SUMIFS('Account Data'!$J$2:$J$361,'Account Data'!$Q$2:$Q$361,A12)</x:f>
        <x:v>27096100</x:v>
      </x:c>
      <x:c r="E12" s="25" t="n">
        <x:f>D12/SUM($D$7:$D$13)</x:f>
        <x:v>0.18241581577524751</x:v>
      </x:c>
      <x:c r="F12" s="20" t="n">
        <x:f>IF(B12=0,"",D12/B12)</x:f>
        <x:v>342988.60759493674</x:v>
      </x:c>
      <x:c r="G12" s="26" t="n">
        <x:f>IF(B12=0,"",AVERAGEIFS('Account Data'!$I$2:$I$361,'Account Data'!$Q$2:$Q$361,A12))</x:f>
        <x:v>3.1772151898734178</x:v>
      </x:c>
      <x:c r="H12" s="1" t="str">
        <x:v>Re-engagement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7" t="str">
        <x:v>Dormant</x:v>
      </x:c>
      <x:c r="B13" s="28" t="n">
        <x:f>COUNTIFS('Account Data'!$Q$2:$Q$361,A13)</x:f>
        <x:v>57</x:v>
      </x:c>
      <x:c r="C13" s="29" t="n">
        <x:f>B13/SUM($B$7:$B$13)</x:f>
        <x:v>0.15833333333333333</x:v>
      </x:c>
      <x:c r="D13" s="30" t="n">
        <x:f>SUMIFS('Account Data'!$J$2:$J$361,'Account Data'!$Q$2:$Q$361,A13)</x:f>
        <x:v>7790500</x:v>
      </x:c>
      <x:c r="E13" s="29" t="n">
        <x:f>D13/SUM($D$7:$D$13)</x:f>
        <x:v>0.052447046357116556</x:v>
      </x:c>
      <x:c r="F13" s="30" t="n">
        <x:f>IF(B13=0,"",D13/B13)</x:f>
        <x:v>136675.43859649124</x:v>
      </x:c>
      <x:c r="G13" s="31" t="n">
        <x:f>IF(B13=0,"",AVERAGEIFS('Account Data'!$I$2:$I$361,'Account Data'!$Q$2:$Q$361,A13))</x:f>
        <x:v>1.8421052631578947</x:v>
      </x:c>
      <x:c r="H13" s="27" t="str">
        <x:v>Low-cost win-back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8" t="str">
        <x:v>Lifecycle Stage</x:v>
      </x:c>
      <x:c r="B17" s="18" t="str">
        <x:v>Accounts</x:v>
      </x:c>
      <x:c r="C17" s="18" t="str">
        <x:v>Share</x:v>
      </x:c>
      <x:c r="D17" s="18" t="str">
        <x:v>Revenue</x:v>
      </x:c>
      <x:c r="E17" s="18" t="str">
        <x:v>Average Revenue</x:v>
      </x:c>
      <x:c r="F17" s="18" t="str">
        <x:v>CRM Objective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New</x:v>
      </x:c>
      <x:c r="B18" s="24" t="n">
        <x:f>COUNTIFS('Account Data'!$R$2:$R$361,A18)</x:f>
        <x:v>30</x:v>
      </x:c>
      <x:c r="C18" s="25" t="n">
        <x:f>B18/SUM($B$18:$B$22)</x:f>
        <x:v>0.08333333333333333</x:v>
      </x:c>
      <x:c r="D18" s="20" t="n">
        <x:f>SUMIFS('Account Data'!$J$2:$J$361,'Account Data'!$R$2:$R$361,A18)</x:f>
        <x:v>7288400</x:v>
      </x:c>
      <x:c r="E18" s="20" t="n">
        <x:f>IF(B18=0,"",D18/B18)</x:f>
        <x:v>242946.66666666666</x:v>
      </x:c>
      <x:c r="F18" s="1" t="str">
        <x:v>Accelerate onboarding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Active</x:v>
      </x:c>
      <x:c r="B19" s="24" t="n">
        <x:f>COUNTIFS('Account Data'!$R$2:$R$361,A19)</x:f>
        <x:v>173</x:v>
      </x:c>
      <x:c r="C19" s="25" t="n">
        <x:f>B19/SUM($B$18:$B$22)</x:f>
        <x:v>0.48055555555555557</x:v>
      </x:c>
      <x:c r="D19" s="20" t="n">
        <x:f>SUMIFS('Account Data'!$J$2:$J$361,'Account Data'!$R$2:$R$361,A19)</x:f>
        <x:v>83774000</x:v>
      </x:c>
      <x:c r="E19" s="20" t="n">
        <x:f>IF(B19=0,"",D19/B19)</x:f>
        <x:v>484242.77456647396</x:v>
      </x:c>
      <x:c r="F19" s="1" t="str">
        <x:v>Expand product adoption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One-time</x:v>
      </x:c>
      <x:c r="B20" s="24" t="n">
        <x:f>COUNTIFS('Account Data'!$R$2:$R$361,A20)</x:f>
        <x:v>32</x:v>
      </x:c>
      <x:c r="C20" s="25" t="n">
        <x:f>B20/SUM($B$18:$B$22)</x:f>
        <x:v>0.08888888888888889</x:v>
      </x:c>
      <x:c r="D20" s="20" t="n">
        <x:f>SUMIFS('Account Data'!$J$2:$J$361,'Account Data'!$R$2:$R$361,A20)</x:f>
        <x:v>2549100</x:v>
      </x:c>
      <x:c r="E20" s="20" t="n">
        <x:f>IF(B20=0,"",D20/B20)</x:f>
        <x:v>79659.375</x:v>
      </x:c>
      <x:c r="F20" s="1" t="str">
        <x:v>Convert to repeat buyer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At Risk</x:v>
      </x:c>
      <x:c r="B21" s="24" t="n">
        <x:f>COUNTIFS('Account Data'!$R$2:$R$361,A21)</x:f>
        <x:v>63</x:v>
      </x:c>
      <x:c r="C21" s="25" t="n">
        <x:f>B21/SUM($B$18:$B$22)</x:f>
        <x:v>0.175</x:v>
      </x:c>
      <x:c r="D21" s="20" t="n">
        <x:f>SUMIFS('Account Data'!$J$2:$J$361,'Account Data'!$R$2:$R$361,A21)</x:f>
        <x:v>31505800</x:v>
      </x:c>
      <x:c r="E21" s="20" t="n">
        <x:f>IF(B21=0,"",D21/B21)</x:f>
        <x:v>500092.0634920635</x:v>
      </x:c>
      <x:c r="F21" s="1" t="str">
        <x:v>Prevent churn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27" t="str">
        <x:v>Lapsed</x:v>
      </x:c>
      <x:c r="B22" s="28" t="n">
        <x:f>COUNTIFS('Account Data'!$R$2:$R$361,A22)</x:f>
        <x:v>62</x:v>
      </x:c>
      <x:c r="C22" s="29" t="n">
        <x:f>B22/SUM($B$18:$B$22)</x:f>
        <x:v>0.17222222222222222</x:v>
      </x:c>
      <x:c r="D22" s="30" t="n">
        <x:f>SUMIFS('Account Data'!$J$2:$J$361,'Account Data'!$R$2:$R$361,A22)</x:f>
        <x:v>23423000</x:v>
      </x:c>
      <x:c r="E22" s="30" t="n">
        <x:f>IF(B22=0,"",D22/B22)</x:f>
        <x:v>377790.32258064515</x:v>
      </x:c>
      <x:c r="F22" s="27" t="str">
        <x:v>Win back selectively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8" hidden="0" customWidth="1"/>
    <x:col min="18" max="18" width="18" hidden="0" customWidth="1"/>
    <x:col min="19" max="19" width="46" hidden="0" customWidth="1"/>
  </x:cols>
  <x:sheetData>
    <x:row r="1">
      <x:c r="A1" s="6" t="str">
        <x:v>Account ID</x:v>
      </x:c>
      <x:c r="B1" s="6" t="str">
        <x:v>Company</x:v>
      </x:c>
      <x:c r="C1" s="6" t="str">
        <x:v>Region</x:v>
      </x:c>
      <x:c r="D1" s="6" t="str">
        <x:v>Industry</x:v>
      </x:c>
      <x:c r="E1" s="6" t="str">
        <x:v>Company Size</x:v>
      </x:c>
      <x:c r="F1" s="6" t="str">
        <x:v>Acquisition Channel</x:v>
      </x:c>
      <x:c r="G1" s="6" t="str">
        <x:v>First Order</x:v>
      </x:c>
      <x:c r="H1" s="6" t="str">
        <x:v>Last Order</x:v>
      </x:c>
      <x:c r="I1" s="6" t="str">
        <x:v>Orders</x:v>
      </x:c>
      <x:c r="J1" s="6" t="str">
        <x:v>Revenue</x:v>
      </x:c>
      <x:c r="K1" s="6" t="str">
        <x:v>Average Order</x:v>
      </x:c>
      <x:c r="L1" s="6" t="str">
        <x:v>Days Since Last Order</x:v>
      </x:c>
      <x:c r="M1" s="6" t="str">
        <x:v>Recency Score</x:v>
      </x:c>
      <x:c r="N1" s="6" t="str">
        <x:v>Frequency Score</x:v>
      </x:c>
      <x:c r="O1" s="6" t="str">
        <x:v>Monetary Score</x:v>
      </x:c>
      <x:c r="P1" s="6" t="str">
        <x:v>RFM Score</x:v>
      </x:c>
      <x:c r="Q1" s="6" t="str">
        <x:v>Segment</x:v>
      </x:c>
      <x:c r="R1" s="6" t="str">
        <x:v>Lifecycle Stage</x:v>
      </x:c>
      <x:c r="S1" s="6" t="str">
        <x:v>Recommended CRM Action</x:v>
      </x:c>
      <x:c r="T1" s="1"/>
      <x:c r="U1" s="1"/>
      <x:c r="V1" s="1"/>
      <x:c r="W1" s="1"/>
      <x:c r="X1" s="1"/>
      <x:c r="Y1" s="1"/>
      <x:c r="Z1" s="1"/>
    </x:row>
    <x:row r="2">
      <x:c r="A2" s="7" t="str">
        <x:v>ACC-0001</x:v>
      </x:c>
      <x:c r="B2" s="7" t="str">
        <x:v>Evergreen Brands 001</x:v>
      </x:c>
      <x:c r="C2" s="7" t="str">
        <x:v>Northeast</x:v>
      </x:c>
      <x:c r="D2" s="7" t="str">
        <x:v>Contract Packaging</x:v>
      </x:c>
      <x:c r="E2" s="7" t="str">
        <x:v>Enterprise</x:v>
      </x:c>
      <x:c r="F2" s="7" t="str">
        <x:v>LinkedIn</x:v>
      </x:c>
      <x:c r="G2" s="8" t="n">
        <x:v>45882</x:v>
      </x:c>
      <x:c r="H2" s="8" t="n">
        <x:v>46184</x:v>
      </x:c>
      <x:c r="I2" s="9" t="n">
        <x:v>5</x:v>
      </x:c>
      <x:c r="J2" s="10" t="n">
        <x:v>679400</x:v>
      </x:c>
      <x:c r="K2" s="10" t="n">
        <x:f>J2/I2</x:f>
        <x:v>135880</x:v>
      </x:c>
      <x:c r="L2" s="9" t="n">
        <x:f>DATE(2026,6,30)-H2</x:f>
        <x:v>19</x:v>
      </x:c>
      <x:c r="M2" s="9" t="n">
        <x:f>IF(L2&lt;=60,5,IF(L2&lt;=120,4,IF(L2&lt;=180,3,IF(L2&lt;=240,2,1))))</x:f>
        <x:v>5</x:v>
      </x:c>
      <x:c r="N2" s="9" t="n">
        <x:f>IF(I2&gt;=6,5,IF(I2&gt;=4,4,IF(I2=3,3,IF(I2=2,2,1))))</x:f>
        <x:v>4</x:v>
      </x:c>
      <x:c r="O2" s="9" t="n">
        <x:f>IF(J2&gt;=500000,5,IF(J2&gt;=300000,4,IF(J2&gt;=175000,3,IF(J2&gt;=75000,2,1))))</x:f>
        <x:v>5</x:v>
      </x:c>
      <x:c r="P2" s="7" t="str">
        <x:f>M2&amp;N2&amp;O2</x:f>
        <x:v>545</x:v>
      </x:c>
      <x:c r="Q2" s="7" t="str">
        <x:f>IF(AND(L2&lt;=60,I2&gt;=5,J2&gt;=300000),"Champions",IF(AND(L2&lt;=120,I2&gt;=3),"Loyal Growth",IF(AND(L2&gt;180,J2&gt;=300000),"High Value At Risk",IF(DATE(2026,6,30)-G2&lt;=90,"New Accounts",IF(AND(L2&lt;=120,I2=1),"Promising",IF(L2&lt;=240,"Needs Nurture","Dormant"))))))</x:f>
        <x:v>Champions</x:v>
      </x:c>
      <x:c r="R2" s="7" t="str">
        <x:f>IF(DATE(2026,6,30)-G2&lt;=90,"New",IF(AND(L2&lt;=120,I2&gt;=2),"Active",IF(I2=1,"One-time",IF(L2&lt;=240,"At Risk","Lapsed"))))</x:f>
        <x:v>Active</x:v>
      </x:c>
      <x:c r="S2" s="15" t="str">
        <x:f>IF(Q2="Champions","Invite to advisory program and cross-sell service plans",IF(Q2="Loyal Growth","Prioritize expansion offer and product education",IF(Q2="High Value At Risk","Assign sales recovery outreach within 14 days",IF(Q2="New Accounts","Launch 90-day onboarding and adoption sequence",IF(Q2="Promising","Nurture second purchase with use-case content",IF(Q2="Needs Nurture","Run product-fit review and re-engagement sequence","Move to low-frequency win-back program"))))))</x:f>
        <x:v>Invite to advisory program and cross-sell service plans</x:v>
      </x:c>
      <x:c r="T2" s="1"/>
      <x:c r="U2" s="1"/>
      <x:c r="V2" s="1"/>
      <x:c r="W2" s="1"/>
      <x:c r="X2" s="1"/>
      <x:c r="Y2" s="1"/>
      <x:c r="Z2" s="1"/>
    </x:row>
    <x:row r="3">
      <x:c r="A3" s="7" t="str">
        <x:v>ACC-0002</x:v>
      </x:c>
      <x:c r="B3" s="7" t="str">
        <x:v>Northstar Products 002</x:v>
      </x:c>
      <x:c r="C3" s="7" t="str">
        <x:v>Midwest</x:v>
      </x:c>
      <x:c r="D3" s="7" t="str">
        <x:v>Pharmaceuticals</x:v>
      </x:c>
      <x:c r="E3" s="7" t="str">
        <x:v>Small</x:v>
      </x:c>
      <x:c r="F3" s="7" t="str">
        <x:v>LinkedIn</x:v>
      </x:c>
      <x:c r="G3" s="8" t="n">
        <x:v>45796</x:v>
      </x:c>
      <x:c r="H3" s="8" t="n">
        <x:v>46113</x:v>
      </x:c>
      <x:c r="I3" s="9" t="n">
        <x:v>4</x:v>
      </x:c>
      <x:c r="J3" s="10" t="n">
        <x:v>300400</x:v>
      </x:c>
      <x:c r="K3" s="10" t="n">
        <x:f>J3/I3</x:f>
        <x:v>75100</x:v>
      </x:c>
      <x:c r="L3" s="9" t="n">
        <x:f>DATE(2026,6,30)-H3</x:f>
        <x:v>90</x:v>
      </x:c>
      <x:c r="M3" s="9" t="n">
        <x:f>IF(L3&lt;=60,5,IF(L3&lt;=120,4,IF(L3&lt;=180,3,IF(L3&lt;=240,2,1))))</x:f>
        <x:v>4</x:v>
      </x:c>
      <x:c r="N3" s="9" t="n">
        <x:f>IF(I3&gt;=6,5,IF(I3&gt;=4,4,IF(I3=3,3,IF(I3=2,2,1))))</x:f>
        <x:v>4</x:v>
      </x:c>
      <x:c r="O3" s="9" t="n">
        <x:f>IF(J3&gt;=500000,5,IF(J3&gt;=300000,4,IF(J3&gt;=175000,3,IF(J3&gt;=75000,2,1))))</x:f>
        <x:v>4</x:v>
      </x:c>
      <x:c r="P3" s="7" t="str">
        <x:f>M3&amp;N3&amp;O3</x:f>
        <x:v>444</x:v>
      </x:c>
      <x:c r="Q3" s="7" t="str">
        <x:f>IF(AND(L3&lt;=60,I3&gt;=5,J3&gt;=300000),"Champions",IF(AND(L3&lt;=120,I3&gt;=3),"Loyal Growth",IF(AND(L3&gt;180,J3&gt;=300000),"High Value At Risk",IF(DATE(2026,6,30)-G3&lt;=90,"New Accounts",IF(AND(L3&lt;=120,I3=1),"Promising",IF(L3&lt;=240,"Needs Nurture","Dormant"))))))</x:f>
        <x:v>Loyal Growth</x:v>
      </x:c>
      <x:c r="R3" s="7" t="str">
        <x:f>IF(DATE(2026,6,30)-G3&lt;=90,"New",IF(AND(L3&lt;=120,I3&gt;=2),"Active",IF(I3=1,"One-time",IF(L3&lt;=240,"At Risk","Lapsed"))))</x:f>
        <x:v>Active</x:v>
      </x:c>
      <x:c r="S3" s="15" t="str">
        <x:f>IF(Q3="Champions","Invite to advisory program and cross-sell service plans",IF(Q3="Loyal Growth","Prioritize expansion offer and product education",IF(Q3="High Value At Risk","Assign sales recovery outreach within 14 days",IF(Q3="New Accounts","Launch 90-day onboarding and adoption sequence",IF(Q3="Promising","Nurture second purchase with use-case content",IF(Q3="Needs Nurture","Run product-fit review and re-engagement sequence","Move to low-frequency win-back program"))))))</x:f>
        <x:v>Prioritize expansion offer and product education</x:v>
      </x:c>
      <x:c r="T3" s="1"/>
      <x:c r="U3" s="1"/>
      <x:c r="V3" s="1"/>
      <x:c r="W3" s="1"/>
      <x:c r="X3" s="1"/>
      <x:c r="Y3" s="1"/>
      <x:c r="Z3" s="1"/>
    </x:row>
    <x:row r="4">
      <x:c r="A4" s="7" t="str">
        <x:v>ACC-0003</x:v>
      </x:c>
      <x:c r="B4" s="7" t="str">
        <x:v>Pioneer Brands 003</x:v>
      </x:c>
      <x:c r="C4" s="7" t="str">
        <x:v>Midwest</x:v>
      </x:c>
      <x:c r="D4" s="7" t="str">
        <x:v>Consumer Goods</x:v>
      </x:c>
      <x:c r="E4" s="7" t="str">
        <x:v>Enterprise</x:v>
      </x:c>
      <x:c r="F4" s="7" t="str">
        <x:v>Partner Referral</x:v>
      </x:c>
      <x:c r="G4" s="8" t="n">
        <x:v>45635</x:v>
      </x:c>
      <x:c r="H4" s="8" t="n">
        <x:v>46005</x:v>
      </x:c>
      <x:c r="I4" s="9" t="n">
        <x:v>4</x:v>
      </x:c>
      <x:c r="J4" s="10" t="n">
        <x:v>422900</x:v>
      </x:c>
      <x:c r="K4" s="10" t="n">
        <x:f>J4/I4</x:f>
        <x:v>105725</x:v>
      </x:c>
      <x:c r="L4" s="9" t="n">
        <x:f>DATE(2026,6,30)-H4</x:f>
        <x:v>198</x:v>
      </x:c>
      <x:c r="M4" s="9" t="n">
        <x:f>IF(L4&lt;=60,5,IF(L4&lt;=120,4,IF(L4&lt;=180,3,IF(L4&lt;=240,2,1))))</x:f>
        <x:v>2</x:v>
      </x:c>
      <x:c r="N4" s="9" t="n">
        <x:f>IF(I4&gt;=6,5,IF(I4&gt;=4,4,IF(I4=3,3,IF(I4=2,2,1))))</x:f>
        <x:v>4</x:v>
      </x:c>
      <x:c r="O4" s="9" t="n">
        <x:f>IF(J4&gt;=500000,5,IF(J4&gt;=300000,4,IF(J4&gt;=175000,3,IF(J4&gt;=75000,2,1))))</x:f>
        <x:v>4</x:v>
      </x:c>
      <x:c r="P4" s="7" t="str">
        <x:f>M4&amp;N4&amp;O4</x:f>
        <x:v>244</x:v>
      </x:c>
      <x:c r="Q4" s="7" t="str">
        <x:f>IF(AND(L4&lt;=60,I4&gt;=5,J4&gt;=300000),"Champions",IF(AND(L4&lt;=120,I4&gt;=3),"Loyal Growth",IF(AND(L4&gt;180,J4&gt;=300000),"High Value At Risk",IF(DATE(2026,6,30)-G4&lt;=90,"New Accounts",IF(AND(L4&lt;=120,I4=1),"Promising",IF(L4&lt;=240,"Needs Nurture","Dormant"))))))</x:f>
        <x:v>High Value At Risk</x:v>
      </x:c>
      <x:c r="R4" s="7" t="str">
        <x:f>IF(DATE(2026,6,30)-G4&lt;=90,"New",IF(AND(L4&lt;=120,I4&gt;=2),"Active",IF(I4=1,"One-time",IF(L4&lt;=240,"At Risk","Lapsed"))))</x:f>
        <x:v>At Risk</x:v>
      </x:c>
      <x:c r="S4" s="15" t="str">
        <x:f>IF(Q4="Champions","Invite to advisory program and cross-sell service plans",IF(Q4="Loyal Growth","Prioritize expansion offer and product education",IF(Q4="High Value At Risk","Assign sales recovery outreach within 14 days",IF(Q4="New Accounts","Launch 90-day onboarding and adoption sequence",IF(Q4="Promising","Nurture second purchase with use-case content",IF(Q4="Needs Nurture","Run product-fit review and re-engagement sequence","Move to low-frequency win-back program"))))))</x:f>
        <x:v>Assign sales recovery outreach within 14 days</x:v>
      </x:c>
      <x:c r="T4" s="1"/>
      <x:c r="U4" s="1"/>
      <x:c r="V4" s="1"/>
      <x:c r="W4" s="1"/>
      <x:c r="X4" s="1"/>
      <x:c r="Y4" s="1"/>
      <x:c r="Z4" s="1"/>
    </x:row>
    <x:row r="5">
      <x:c r="A5" s="7" t="str">
        <x:v>ACC-0004</x:v>
      </x:c>
      <x:c r="B5" s="7" t="str">
        <x:v>Vertex Manufacturing 004</x:v>
      </x:c>
      <x:c r="C5" s="7" t="str">
        <x:v>West</x:v>
      </x:c>
      <x:c r="D5" s="7" t="str">
        <x:v>Contract Packaging</x:v>
      </x:c>
      <x:c r="E5" s="7" t="str">
        <x:v>Small</x:v>
      </x:c>
      <x:c r="F5" s="7" t="str">
        <x:v>Email</x:v>
      </x:c>
      <x:c r="G5" s="8" t="n">
        <x:v>46192</x:v>
      </x:c>
      <x:c r="H5" s="8" t="n">
        <x:v>46193</x:v>
      </x:c>
      <x:c r="I5" s="9" t="n">
        <x:v>2</x:v>
      </x:c>
      <x:c r="J5" s="10" t="n">
        <x:v>255500</x:v>
      </x:c>
      <x:c r="K5" s="10" t="n">
        <x:f>J5/I5</x:f>
        <x:v>127750</x:v>
      </x:c>
      <x:c r="L5" s="9" t="n">
        <x:f>DATE(2026,6,30)-H5</x:f>
        <x:v>10</x:v>
      </x:c>
      <x:c r="M5" s="9" t="n">
        <x:f>IF(L5&lt;=60,5,IF(L5&lt;=120,4,IF(L5&lt;=180,3,IF(L5&lt;=240,2,1))))</x:f>
        <x:v>5</x:v>
      </x:c>
      <x:c r="N5" s="9" t="n">
        <x:f>IF(I5&gt;=6,5,IF(I5&gt;=4,4,IF(I5=3,3,IF(I5=2,2,1))))</x:f>
        <x:v>2</x:v>
      </x:c>
      <x:c r="O5" s="9" t="n">
        <x:f>IF(J5&gt;=500000,5,IF(J5&gt;=300000,4,IF(J5&gt;=175000,3,IF(J5&gt;=75000,2,1))))</x:f>
        <x:v>3</x:v>
      </x:c>
      <x:c r="P5" s="7" t="str">
        <x:f>M5&amp;N5&amp;O5</x:f>
        <x:v>523</x:v>
      </x:c>
      <x:c r="Q5" s="7" t="str">
        <x:f>IF(AND(L5&lt;=60,I5&gt;=5,J5&gt;=300000),"Champions",IF(AND(L5&lt;=120,I5&gt;=3),"Loyal Growth",IF(AND(L5&gt;180,J5&gt;=300000),"High Value At Risk",IF(DATE(2026,6,30)-G5&lt;=90,"New Accounts",IF(AND(L5&lt;=120,I5=1),"Promising",IF(L5&lt;=240,"Needs Nurture","Dormant"))))))</x:f>
        <x:v>New Accounts</x:v>
      </x:c>
      <x:c r="R5" s="7" t="str">
        <x:f>IF(DATE(2026,6,30)-G5&lt;=90,"New",IF(AND(L5&lt;=120,I5&gt;=2),"Active",IF(I5=1,"One-time",IF(L5&lt;=240,"At Risk","Lapsed"))))</x:f>
        <x:v>New</x:v>
      </x:c>
      <x:c r="S5" s="15" t="str">
        <x:f>IF(Q5="Champions","Invite to advisory program and cross-sell service plans",IF(Q5="Loyal Growth","Prioritize expansion offer and product education",IF(Q5="High Value At Risk","Assign sales recovery outreach within 14 days",IF(Q5="New Accounts","Launch 90-day onboarding and adoption sequence",IF(Q5="Promising","Nurture second purchase with use-case content",IF(Q5="Needs Nurture","Run product-fit review and re-engagement sequence","Move to low-frequency win-back program"))))))</x:f>
        <x:v>Launch 90-day onboarding and adoption sequence</x:v>
      </x:c>
      <x:c r="T5" s="1"/>
      <x:c r="U5" s="1"/>
      <x:c r="V5" s="1"/>
      <x:c r="W5" s="1"/>
      <x:c r="X5" s="1"/>
      <x:c r="Y5" s="1"/>
      <x:c r="Z5" s="1"/>
    </x:row>
    <x:row r="6">
      <x:c r="A6" s="7" t="str">
        <x:v>ACC-0005</x:v>
      </x:c>
      <x:c r="B6" s="7" t="str">
        <x:v>Northstar Brands 005</x:v>
      </x:c>
      <x:c r="C6" s="7" t="str">
        <x:v>South</x:v>
      </x:c>
      <x:c r="D6" s="7" t="str">
        <x:v>Food &amp; Beverage</x:v>
      </x:c>
      <x:c r="E6" s="7" t="str">
        <x:v>Enterprise</x:v>
      </x:c>
      <x:c r="F6" s="7" t="str">
        <x:v>Trade Show</x:v>
      </x:c>
      <x:c r="G6" s="8" t="n">
        <x:v>45308</x:v>
      </x:c>
      <x:c r="H6" s="8" t="n">
        <x:v>46182</x:v>
      </x:c>
      <x:c r="I6" s="9" t="n">
        <x:v>5</x:v>
      </x:c>
      <x:c r="J6" s="10" t="n">
        <x:v>789000</x:v>
      </x:c>
      <x:c r="K6" s="10" t="n">
        <x:f>J6/I6</x:f>
        <x:v>157800</x:v>
      </x:c>
      <x:c r="L6" s="9" t="n">
        <x:f>DATE(2026,6,30)-H6</x:f>
        <x:v>21</x:v>
      </x:c>
      <x:c r="M6" s="9" t="n">
        <x:f>IF(L6&lt;=60,5,IF(L6&lt;=120,4,IF(L6&lt;=180,3,IF(L6&lt;=240,2,1))))</x:f>
        <x:v>5</x:v>
      </x:c>
      <x:c r="N6" s="9" t="n">
        <x:f>IF(I6&gt;=6,5,IF(I6&gt;=4,4,IF(I6=3,3,IF(I6=2,2,1))))</x:f>
        <x:v>4</x:v>
      </x:c>
      <x:c r="O6" s="9" t="n">
        <x:f>IF(J6&gt;=500000,5,IF(J6&gt;=300000,4,IF(J6&gt;=175000,3,IF(J6&gt;=75000,2,1))))</x:f>
        <x:v>5</x:v>
      </x:c>
      <x:c r="P6" s="7" t="str">
        <x:f>M6&amp;N6&amp;O6</x:f>
        <x:v>545</x:v>
      </x:c>
      <x:c r="Q6" s="7" t="str">
        <x:f>IF(AND(L6&lt;=60,I6&gt;=5,J6&gt;=300000),"Champions",IF(AND(L6&lt;=120,I6&gt;=3),"Loyal Growth",IF(AND(L6&gt;180,J6&gt;=300000),"High Value At Risk",IF(DATE(2026,6,30)-G6&lt;=90,"New Accounts",IF(AND(L6&lt;=120,I6=1),"Promising",IF(L6&lt;=240,"Needs Nurture","Dormant"))))))</x:f>
        <x:v>Champions</x:v>
      </x:c>
      <x:c r="R6" s="7" t="str">
        <x:f>IF(DATE(2026,6,30)-G6&lt;=90,"New",IF(AND(L6&lt;=120,I6&gt;=2),"Active",IF(I6=1,"One-time",IF(L6&lt;=240,"At Risk","Lapsed"))))</x:f>
        <x:v>Active</x:v>
      </x:c>
      <x:c r="S6" s="15" t="str">
        <x:f>IF(Q6="Champions","Invite to advisory program and cross-sell service plans",IF(Q6="Loyal Growth","Prioritize expansion offer and product education",IF(Q6="High Value At Risk","Assign sales recovery outreach within 14 days",IF(Q6="New Accounts","Launch 90-day onboarding and adoption sequence",IF(Q6="Promising","Nurture second purchase with use-case content",IF(Q6="Needs Nurture","Run product-fit review and re-engagement sequence","Move to low-frequency win-back program"))))))</x:f>
        <x:v>Invite to advisory program and cross-sell service plans</x:v>
      </x:c>
      <x:c r="T6" s="1"/>
      <x:c r="U6" s="1"/>
      <x:c r="V6" s="1"/>
      <x:c r="W6" s="1"/>
      <x:c r="X6" s="1"/>
      <x:c r="Y6" s="1"/>
      <x:c r="Z6" s="1"/>
    </x:row>
    <x:row r="7">
      <x:c r="A7" s="7" t="str">
        <x:v>ACC-0006</x:v>
      </x:c>
      <x:c r="B7" s="7" t="str">
        <x:v>Meridian Products 006</x:v>
      </x:c>
      <x:c r="C7" s="7" t="str">
        <x:v>West</x:v>
      </x:c>
      <x:c r="D7" s="7" t="str">
        <x:v>Pharmaceuticals</x:v>
      </x:c>
      <x:c r="E7" s="7" t="str">
        <x:v>Small</x:v>
      </x:c>
      <x:c r="F7" s="7" t="str">
        <x:v>Partner Referral</x:v>
      </x:c>
      <x:c r="G7" s="8" t="n">
        <x:v>45928</x:v>
      </x:c>
      <x:c r="H7" s="8" t="n">
        <x:v>45928</x:v>
      </x:c>
      <x:c r="I7" s="9" t="n">
        <x:v>1</x:v>
      </x:c>
      <x:c r="J7" s="10" t="n">
        <x:v>149700</x:v>
      </x:c>
      <x:c r="K7" s="10" t="n">
        <x:f>J7/I7</x:f>
        <x:v>149700</x:v>
      </x:c>
      <x:c r="L7" s="9" t="n">
        <x:f>DATE(2026,6,30)-H7</x:f>
        <x:v>275</x:v>
      </x:c>
      <x:c r="M7" s="9" t="n">
        <x:f>IF(L7&lt;=60,5,IF(L7&lt;=120,4,IF(L7&lt;=180,3,IF(L7&lt;=240,2,1))))</x:f>
        <x:v>1</x:v>
      </x:c>
      <x:c r="N7" s="9" t="n">
        <x:f>IF(I7&gt;=6,5,IF(I7&gt;=4,4,IF(I7=3,3,IF(I7=2,2,1))))</x:f>
        <x:v>1</x:v>
      </x:c>
      <x:c r="O7" s="9" t="n">
        <x:f>IF(J7&gt;=500000,5,IF(J7&gt;=300000,4,IF(J7&gt;=175000,3,IF(J7&gt;=75000,2,1))))</x:f>
        <x:v>2</x:v>
      </x:c>
      <x:c r="P7" s="7" t="str">
        <x:f>M7&amp;N7&amp;O7</x:f>
        <x:v>112</x:v>
      </x:c>
      <x:c r="Q7" s="7" t="str">
        <x:f>IF(AND(L7&lt;=60,I7&gt;=5,J7&gt;=300000),"Champions",IF(AND(L7&lt;=120,I7&gt;=3),"Loyal Growth",IF(AND(L7&gt;180,J7&gt;=300000),"High Value At Risk",IF(DATE(2026,6,30)-G7&lt;=90,"New Accounts",IF(AND(L7&lt;=120,I7=1),"Promising",IF(L7&lt;=240,"Needs Nurture","Dormant"))))))</x:f>
        <x:v>Dormant</x:v>
      </x:c>
      <x:c r="R7" s="7" t="str">
        <x:f>IF(DATE(2026,6,30)-G7&lt;=90,"New",IF(AND(L7&lt;=120,I7&gt;=2),"Active",IF(I7=1,"One-time",IF(L7&lt;=240,"At Risk","Lapsed"))))</x:f>
        <x:v>One-time</x:v>
      </x:c>
      <x:c r="S7" s="15" t="str">
        <x:f>IF(Q7="Champions","Invite to advisory program and cross-sell service plans",IF(Q7="Loyal Growth","Prioritize expansion offer and product education",IF(Q7="High Value At Risk","Assign sales recovery outreach within 14 days",IF(Q7="New Accounts","Launch 90-day onboarding and adoption sequence",IF(Q7="Promising","Nurture second purchase with use-case content",IF(Q7="Needs Nurture","Run product-fit review and re-engagement sequence","Move to low-frequency win-back program"))))))</x:f>
        <x:v>Move to low-frequency win-back program</x:v>
      </x:c>
      <x:c r="T7" s="1"/>
      <x:c r="U7" s="1"/>
      <x:c r="V7" s="1"/>
      <x:c r="W7" s="1"/>
      <x:c r="X7" s="1"/>
      <x:c r="Y7" s="1"/>
      <x:c r="Z7" s="1"/>
    </x:row>
    <x:row r="8">
      <x:c r="A8" s="7" t="str">
        <x:v>ACC-0007</x:v>
      </x:c>
      <x:c r="B8" s="7" t="str">
        <x:v>Titan Brands 007</x:v>
      </x:c>
      <x:c r="C8" s="7" t="str">
        <x:v>Midwest</x:v>
      </x:c>
      <x:c r="D8" s="7" t="str">
        <x:v>Contract Packaging</x:v>
      </x:c>
      <x:c r="E8" s="7" t="str">
        <x:v>Small</x:v>
      </x:c>
      <x:c r="F8" s="7" t="str">
        <x:v>Partner Referral</x:v>
      </x:c>
      <x:c r="G8" s="8" t="n">
        <x:v>45424</x:v>
      </x:c>
      <x:c r="H8" s="8" t="n">
        <x:v>45424</x:v>
      </x:c>
      <x:c r="I8" s="9" t="n">
        <x:v>1</x:v>
      </x:c>
      <x:c r="J8" s="10" t="n">
        <x:v>120200</x:v>
      </x:c>
      <x:c r="K8" s="10" t="n">
        <x:f>J8/I8</x:f>
        <x:v>120200</x:v>
      </x:c>
      <x:c r="L8" s="9" t="n">
        <x:f>DATE(2026,6,30)-H8</x:f>
        <x:v>779</x:v>
      </x:c>
      <x:c r="M8" s="9" t="n">
        <x:f>IF(L8&lt;=60,5,IF(L8&lt;=120,4,IF(L8&lt;=180,3,IF(L8&lt;=240,2,1))))</x:f>
        <x:v>1</x:v>
      </x:c>
      <x:c r="N8" s="9" t="n">
        <x:f>IF(I8&gt;=6,5,IF(I8&gt;=4,4,IF(I8=3,3,IF(I8=2,2,1))))</x:f>
        <x:v>1</x:v>
      </x:c>
      <x:c r="O8" s="9" t="n">
        <x:f>IF(J8&gt;=500000,5,IF(J8&gt;=300000,4,IF(J8&gt;=175000,3,IF(J8&gt;=75000,2,1))))</x:f>
        <x:v>2</x:v>
      </x:c>
      <x:c r="P8" s="7" t="str">
        <x:f>M8&amp;N8&amp;O8</x:f>
        <x:v>112</x:v>
      </x:c>
      <x:c r="Q8" s="7" t="str">
        <x:f>IF(AND(L8&lt;=60,I8&gt;=5,J8&gt;=300000),"Champions",IF(AND(L8&lt;=120,I8&gt;=3),"Loyal Growth",IF(AND(L8&gt;180,J8&gt;=300000),"High Value At Risk",IF(DATE(2026,6,30)-G8&lt;=90,"New Accounts",IF(AND(L8&lt;=120,I8=1),"Promising",IF(L8&lt;=240,"Needs Nurture","Dormant"))))))</x:f>
        <x:v>Dormant</x:v>
      </x:c>
      <x:c r="R8" s="7" t="str">
        <x:f>IF(DATE(2026,6,30)-G8&lt;=90,"New",IF(AND(L8&lt;=120,I8&gt;=2),"Active",IF(I8=1,"One-time",IF(L8&lt;=240,"At Risk","Lapsed"))))</x:f>
        <x:v>One-time</x:v>
      </x:c>
      <x:c r="S8" s="15" t="str">
        <x:f>IF(Q8="Champions","Invite to advisory program and cross-sell service plans",IF(Q8="Loyal Growth","Prioritize expansion offer and product education",IF(Q8="High Value At Risk","Assign sales recovery outreach within 14 days",IF(Q8="New Accounts","Launch 90-day onboarding and adoption sequence",IF(Q8="Promising","Nurture second purchase with use-case content",IF(Q8="Needs Nurture","Run product-fit review and re-engagement sequence","Move to low-frequency win-back program"))))))</x:f>
        <x:v>Move to low-frequency win-back program</x:v>
      </x:c>
      <x:c r="T8" s="1"/>
      <x:c r="U8" s="1"/>
      <x:c r="V8" s="1"/>
      <x:c r="W8" s="1"/>
      <x:c r="X8" s="1"/>
      <x:c r="Y8" s="1"/>
      <x:c r="Z8" s="1"/>
    </x:row>
    <x:row r="9">
      <x:c r="A9" s="7" t="str">
        <x:v>ACC-0008</x:v>
      </x:c>
      <x:c r="B9" s="7" t="str">
        <x:v>Granite Solutions 008</x:v>
      </x:c>
      <x:c r="C9" s="7" t="str">
        <x:v>Midwest</x:v>
      </x:c>
      <x:c r="D9" s="7" t="str">
        <x:v>Consumer Goods</x:v>
      </x:c>
      <x:c r="E9" s="7" t="str">
        <x:v>Mid-market</x:v>
      </x:c>
      <x:c r="F9" s="7" t="str">
        <x:v>LinkedIn</x:v>
      </x:c>
      <x:c r="G9" s="8" t="n">
        <x:v>45982</x:v>
      </x:c>
      <x:c r="H9" s="8" t="n">
        <x:v>46114</x:v>
      </x:c>
      <x:c r="I9" s="9" t="n">
        <x:v>3</x:v>
      </x:c>
      <x:c r="J9" s="10" t="n">
        <x:v>447200</x:v>
      </x:c>
      <x:c r="K9" s="10" t="n">
        <x:f>J9/I9</x:f>
        <x:v>149066.66666666666</x:v>
      </x:c>
      <x:c r="L9" s="9" t="n">
        <x:f>DATE(2026,6,30)-H9</x:f>
        <x:v>89</x:v>
      </x:c>
      <x:c r="M9" s="9" t="n">
        <x:f>IF(L9&lt;=60,5,IF(L9&lt;=120,4,IF(L9&lt;=180,3,IF(L9&lt;=240,2,1))))</x:f>
        <x:v>4</x:v>
      </x:c>
      <x:c r="N9" s="9" t="n">
        <x:f>IF(I9&gt;=6,5,IF(I9&gt;=4,4,IF(I9=3,3,IF(I9=2,2,1))))</x:f>
        <x:v>3</x:v>
      </x:c>
      <x:c r="O9" s="9" t="n">
        <x:f>IF(J9&gt;=500000,5,IF(J9&gt;=300000,4,IF(J9&gt;=175000,3,IF(J9&gt;=75000,2,1))))</x:f>
        <x:v>4</x:v>
      </x:c>
      <x:c r="P9" s="7" t="str">
        <x:f>M9&amp;N9&amp;O9</x:f>
        <x:v>434</x:v>
      </x:c>
      <x:c r="Q9" s="7" t="str">
        <x:f>IF(AND(L9&lt;=60,I9&gt;=5,J9&gt;=300000),"Champions",IF(AND(L9&lt;=120,I9&gt;=3),"Loyal Growth",IF(AND(L9&gt;180,J9&gt;=300000),"High Value At Risk",IF(DATE(2026,6,30)-G9&lt;=90,"New Accounts",IF(AND(L9&lt;=120,I9=1),"Promising",IF(L9&lt;=240,"Needs Nurture","Dormant"))))))</x:f>
        <x:v>Loyal Growth</x:v>
      </x:c>
      <x:c r="R9" s="7" t="str">
        <x:f>IF(DATE(2026,6,30)-G9&lt;=90,"New",IF(AND(L9&lt;=120,I9&gt;=2),"Active",IF(I9=1,"One-time",IF(L9&lt;=240,"At Risk","Lapsed"))))</x:f>
        <x:v>Active</x:v>
      </x:c>
      <x:c r="S9" s="15" t="str">
        <x:f>IF(Q9="Champions","Invite to advisory program and cross-sell service plans",IF(Q9="Loyal Growth","Prioritize expansion offer and product education",IF(Q9="High Value At Risk","Assign sales recovery outreach within 14 days",IF(Q9="New Accounts","Launch 90-day onboarding and adoption sequence",IF(Q9="Promising","Nurture second purchase with use-case content",IF(Q9="Needs Nurture","Run product-fit review and re-engagement sequence","Move to low-frequency win-back program"))))))</x:f>
        <x:v>Prioritize expansion offer and product education</x:v>
      </x:c>
      <x:c r="T9" s="1"/>
      <x:c r="U9" s="1"/>
      <x:c r="V9" s="1"/>
      <x:c r="W9" s="1"/>
      <x:c r="X9" s="1"/>
      <x:c r="Y9" s="1"/>
      <x:c r="Z9" s="1"/>
    </x:row>
    <x:row r="10">
      <x:c r="A10" s="7" t="str">
        <x:v>ACC-0009</x:v>
      </x:c>
      <x:c r="B10" s="7" t="str">
        <x:v>Evergreen Brands 009</x:v>
      </x:c>
      <x:c r="C10" s="7" t="str">
        <x:v>Northeast</x:v>
      </x:c>
      <x:c r="D10" s="7" t="str">
        <x:v>Pharmaceuticals</x:v>
      </x:c>
      <x:c r="E10" s="7" t="str">
        <x:v>Enterprise</x:v>
      </x:c>
      <x:c r="F10" s="7" t="str">
        <x:v>LinkedIn</x:v>
      </x:c>
      <x:c r="G10" s="8" t="n">
        <x:v>45311</x:v>
      </x:c>
      <x:c r="H10" s="8" t="n">
        <x:v>45987</x:v>
      </x:c>
      <x:c r="I10" s="9" t="n">
        <x:v>6</x:v>
      </x:c>
      <x:c r="J10" s="10" t="n">
        <x:v>978600</x:v>
      </x:c>
      <x:c r="K10" s="10" t="n">
        <x:f>J10/I10</x:f>
        <x:v>163100</x:v>
      </x:c>
      <x:c r="L10" s="9" t="n">
        <x:f>DATE(2026,6,30)-H10</x:f>
        <x:v>216</x:v>
      </x:c>
      <x:c r="M10" s="9" t="n">
        <x:f>IF(L10&lt;=60,5,IF(L10&lt;=120,4,IF(L10&lt;=180,3,IF(L10&lt;=240,2,1))))</x:f>
        <x:v>2</x:v>
      </x:c>
      <x:c r="N10" s="9" t="n">
        <x:f>IF(I10&gt;=6,5,IF(I10&gt;=4,4,IF(I10=3,3,IF(I10=2,2,1))))</x:f>
        <x:v>5</x:v>
      </x:c>
      <x:c r="O10" s="9" t="n">
        <x:f>IF(J10&gt;=500000,5,IF(J10&gt;=300000,4,IF(J10&gt;=175000,3,IF(J10&gt;=75000,2,1))))</x:f>
        <x:v>5</x:v>
      </x:c>
      <x:c r="P10" s="7" t="str">
        <x:f>M10&amp;N10&amp;O10</x:f>
        <x:v>255</x:v>
      </x:c>
      <x:c r="Q10" s="7" t="str">
        <x:f>IF(AND(L10&lt;=60,I10&gt;=5,J10&gt;=300000),"Champions",IF(AND(L10&lt;=120,I10&gt;=3),"Loyal Growth",IF(AND(L10&gt;180,J10&gt;=300000),"High Value At Risk",IF(DATE(2026,6,30)-G10&lt;=90,"New Accounts",IF(AND(L10&lt;=120,I10=1),"Promising",IF(L10&lt;=240,"Needs Nurture","Dormant"))))))</x:f>
        <x:v>High Value At Risk</x:v>
      </x:c>
      <x:c r="R10" s="7" t="str">
        <x:f>IF(DATE(2026,6,30)-G10&lt;=90,"New",IF(AND(L10&lt;=120,I10&gt;=2),"Active",IF(I10=1,"One-time",IF(L10&lt;=240,"At Risk","Lapsed"))))</x:f>
        <x:v>At Risk</x:v>
      </x:c>
      <x:c r="S10" s="15" t="str">
        <x:f>IF(Q10="Champions","Invite to advisory program and cross-sell service plans",IF(Q10="Loyal Growth","Prioritize expansion offer and product education",IF(Q10="High Value At Risk","Assign sales recovery outreach within 14 days",IF(Q10="New Accounts","Launch 90-day onboarding and adoption sequence",IF(Q10="Promising","Nurture second purchase with use-case content",IF(Q10="Needs Nurture","Run product-fit review and re-engagement sequence","Move to low-frequency win-back program"))))))</x:f>
        <x:v>Assign sales recovery outreach within 14 days</x:v>
      </x:c>
      <x:c r="T10" s="1"/>
      <x:c r="U10" s="1"/>
      <x:c r="V10" s="1"/>
      <x:c r="W10" s="1"/>
      <x:c r="X10" s="1"/>
      <x:c r="Y10" s="1"/>
      <x:c r="Z10" s="1"/>
    </x:row>
    <x:row r="11">
      <x:c r="A11" s="7" t="str">
        <x:v>ACC-0010</x:v>
      </x:c>
      <x:c r="B11" s="7" t="str">
        <x:v>Frontier Brands 010</x:v>
      </x:c>
      <x:c r="C11" s="7" t="str">
        <x:v>West</x:v>
      </x:c>
      <x:c r="D11" s="7" t="str">
        <x:v>Industrial Products</x:v>
      </x:c>
      <x:c r="E11" s="7" t="str">
        <x:v>Small</x:v>
      </x:c>
      <x:c r="F11" s="7" t="str">
        <x:v>Google Search</x:v>
      </x:c>
      <x:c r="G11" s="8" t="n">
        <x:v>45747</x:v>
      </x:c>
      <x:c r="H11" s="8" t="n">
        <x:v>46190</x:v>
      </x:c>
      <x:c r="I11" s="9" t="n">
        <x:v>4</x:v>
      </x:c>
      <x:c r="J11" s="10" t="n">
        <x:v>266400</x:v>
      </x:c>
      <x:c r="K11" s="10" t="n">
        <x:f>J11/I11</x:f>
        <x:v>66600</x:v>
      </x:c>
      <x:c r="L11" s="9" t="n">
        <x:f>DATE(2026,6,30)-H11</x:f>
        <x:v>13</x:v>
      </x:c>
      <x:c r="M11" s="9" t="n">
        <x:f>IF(L11&lt;=60,5,IF(L11&lt;=120,4,IF(L11&lt;=180,3,IF(L11&lt;=240,2,1))))</x:f>
        <x:v>5</x:v>
      </x:c>
      <x:c r="N11" s="9" t="n">
        <x:f>IF(I11&gt;=6,5,IF(I11&gt;=4,4,IF(I11=3,3,IF(I11=2,2,1))))</x:f>
        <x:v>4</x:v>
      </x:c>
      <x:c r="O11" s="9" t="n">
        <x:f>IF(J11&gt;=500000,5,IF(J11&gt;=300000,4,IF(J11&gt;=175000,3,IF(J11&gt;=75000,2,1))))</x:f>
        <x:v>3</x:v>
      </x:c>
      <x:c r="P11" s="7" t="str">
        <x:f>M11&amp;N11&amp;O11</x:f>
        <x:v>543</x:v>
      </x:c>
      <x:c r="Q11" s="7" t="str">
        <x:f>IF(AND(L11&lt;=60,I11&gt;=5,J11&gt;=300000),"Champions",IF(AND(L11&lt;=120,I11&gt;=3),"Loyal Growth",IF(AND(L11&gt;180,J11&gt;=300000),"High Value At Risk",IF(DATE(2026,6,30)-G11&lt;=90,"New Accounts",IF(AND(L11&lt;=120,I11=1),"Promising",IF(L11&lt;=240,"Needs Nurture","Dormant"))))))</x:f>
        <x:v>Loyal Growth</x:v>
      </x:c>
      <x:c r="R11" s="7" t="str">
        <x:f>IF(DATE(2026,6,30)-G11&lt;=90,"New",IF(AND(L11&lt;=120,I11&gt;=2),"Active",IF(I11=1,"One-time",IF(L11&lt;=240,"At Risk","Lapsed"))))</x:f>
        <x:v>Active</x:v>
      </x:c>
      <x:c r="S11" s="15" t="str">
        <x:f>IF(Q11="Champions","Invite to advisory program and cross-sell service plans",IF(Q11="Loyal Growth","Prioritize expansion offer and product education",IF(Q11="High Value At Risk","Assign sales recovery outreach within 14 days",IF(Q11="New Accounts","Launch 90-day onboarding and adoption sequence",IF(Q11="Promising","Nurture second purchase with use-case content",IF(Q11="Needs Nurture","Run product-fit review and re-engagement sequence","Move to low-frequency win-back program"))))))</x:f>
        <x:v>Prioritize expansion offer and product education</x:v>
      </x:c>
      <x:c r="T11" s="1"/>
      <x:c r="U11" s="1"/>
      <x:c r="V11" s="1"/>
      <x:c r="W11" s="1"/>
      <x:c r="X11" s="1"/>
      <x:c r="Y11" s="1"/>
      <x:c r="Z11" s="1"/>
    </x:row>
    <x:row r="12">
      <x:c r="A12" s="7" t="str">
        <x:v>ACC-0011</x:v>
      </x:c>
      <x:c r="B12" s="7" t="str">
        <x:v>Crest Industries 011</x:v>
      </x:c>
      <x:c r="C12" s="7" t="str">
        <x:v>Midwest</x:v>
      </x:c>
      <x:c r="D12" s="7" t="str">
        <x:v>Consumer Goods</x:v>
      </x:c>
      <x:c r="E12" s="7" t="str">
        <x:v>Small</x:v>
      </x:c>
      <x:c r="F12" s="7" t="str">
        <x:v>Google Search</x:v>
      </x:c>
      <x:c r="G12" s="8" t="n">
        <x:v>46067</x:v>
      </x:c>
      <x:c r="H12" s="8" t="n">
        <x:v>46067</x:v>
      </x:c>
      <x:c r="I12" s="9" t="n">
        <x:v>1</x:v>
      </x:c>
      <x:c r="J12" s="10" t="n">
        <x:v>147300</x:v>
      </x:c>
      <x:c r="K12" s="10" t="n">
        <x:f>J12/I12</x:f>
        <x:v>147300</x:v>
      </x:c>
      <x:c r="L12" s="9" t="n">
        <x:f>DATE(2026,6,30)-H12</x:f>
        <x:v>136</x:v>
      </x:c>
      <x:c r="M12" s="9" t="n">
        <x:f>IF(L12&lt;=60,5,IF(L12&lt;=120,4,IF(L12&lt;=180,3,IF(L12&lt;=240,2,1))))</x:f>
        <x:v>3</x:v>
      </x:c>
      <x:c r="N12" s="9" t="n">
        <x:f>IF(I12&gt;=6,5,IF(I12&gt;=4,4,IF(I12=3,3,IF(I12=2,2,1))))</x:f>
        <x:v>1</x:v>
      </x:c>
      <x:c r="O12" s="9" t="n">
        <x:f>IF(J12&gt;=500000,5,IF(J12&gt;=300000,4,IF(J12&gt;=175000,3,IF(J12&gt;=75000,2,1))))</x:f>
        <x:v>2</x:v>
      </x:c>
      <x:c r="P12" s="7" t="str">
        <x:f>M12&amp;N12&amp;O12</x:f>
        <x:v>312</x:v>
      </x:c>
      <x:c r="Q12" s="7" t="str">
        <x:f>IF(AND(L12&lt;=60,I12&gt;=5,J12&gt;=300000),"Champions",IF(AND(L12&lt;=120,I12&gt;=3),"Loyal Growth",IF(AND(L12&gt;180,J12&gt;=300000),"High Value At Risk",IF(DATE(2026,6,30)-G12&lt;=90,"New Accounts",IF(AND(L12&lt;=120,I12=1),"Promising",IF(L12&lt;=240,"Needs Nurture","Dormant"))))))</x:f>
        <x:v>Needs Nurture</x:v>
      </x:c>
      <x:c r="R12" s="7" t="str">
        <x:f>IF(DATE(2026,6,30)-G12&lt;=90,"New",IF(AND(L12&lt;=120,I12&gt;=2),"Active",IF(I12=1,"One-time",IF(L12&lt;=240,"At Risk","Lapsed"))))</x:f>
        <x:v>One-time</x:v>
      </x:c>
      <x:c r="S12" s="15" t="str">
        <x:f>IF(Q12="Champions","Invite to advisory program and cross-sell service plans",IF(Q12="Loyal Growth","Prioritize expansion offer and product education",IF(Q12="High Value At Risk","Assign sales recovery outreach within 14 days",IF(Q12="New Accounts","Launch 90-day onboarding and adoption sequence",IF(Q12="Promising","Nurture second purchase with use-case content",IF(Q12="Needs Nurture","Run product-fit review and re-engagement sequence","Move to low-frequency win-back program"))))))</x:f>
        <x:v>Run product-fit review and re-engagement sequence</x:v>
      </x:c>
      <x:c r="T12" s="1"/>
      <x:c r="U12" s="1"/>
      <x:c r="V12" s="1"/>
      <x:c r="W12" s="1"/>
      <x:c r="X12" s="1"/>
      <x:c r="Y12" s="1"/>
      <x:c r="Z12" s="1"/>
    </x:row>
    <x:row r="13">
      <x:c r="A13" s="7" t="str">
        <x:v>ACC-0012</x:v>
      </x:c>
      <x:c r="B13" s="7" t="str">
        <x:v>Northstar Solutions 012</x:v>
      </x:c>
      <x:c r="C13" s="7" t="str">
        <x:v>Midwest</x:v>
      </x:c>
      <x:c r="D13" s="7" t="str">
        <x:v>Pharmaceuticals</x:v>
      </x:c>
      <x:c r="E13" s="7" t="str">
        <x:v>Small</x:v>
      </x:c>
      <x:c r="F13" s="7" t="str">
        <x:v>Email</x:v>
      </x:c>
      <x:c r="G13" s="8" t="n">
        <x:v>45569</x:v>
      </x:c>
      <x:c r="H13" s="8" t="n">
        <x:v>45588</x:v>
      </x:c>
      <x:c r="I13" s="9" t="n">
        <x:v>2</x:v>
      </x:c>
      <x:c r="J13" s="10" t="n">
        <x:v>227000</x:v>
      </x:c>
      <x:c r="K13" s="10" t="n">
        <x:f>J13/I13</x:f>
        <x:v>113500</x:v>
      </x:c>
      <x:c r="L13" s="9" t="n">
        <x:f>DATE(2026,6,30)-H13</x:f>
        <x:v>615</x:v>
      </x:c>
      <x:c r="M13" s="9" t="n">
        <x:f>IF(L13&lt;=60,5,IF(L13&lt;=120,4,IF(L13&lt;=180,3,IF(L13&lt;=240,2,1))))</x:f>
        <x:v>1</x:v>
      </x:c>
      <x:c r="N13" s="9" t="n">
        <x:f>IF(I13&gt;=6,5,IF(I13&gt;=4,4,IF(I13=3,3,IF(I13=2,2,1))))</x:f>
        <x:v>2</x:v>
      </x:c>
      <x:c r="O13" s="9" t="n">
        <x:f>IF(J13&gt;=500000,5,IF(J13&gt;=300000,4,IF(J13&gt;=175000,3,IF(J13&gt;=75000,2,1))))</x:f>
        <x:v>3</x:v>
      </x:c>
      <x:c r="P13" s="7" t="str">
        <x:f>M13&amp;N13&amp;O13</x:f>
        <x:v>123</x:v>
      </x:c>
      <x:c r="Q13" s="7" t="str">
        <x:f>IF(AND(L13&lt;=60,I13&gt;=5,J13&gt;=300000),"Champions",IF(AND(L13&lt;=120,I13&gt;=3),"Loyal Growth",IF(AND(L13&gt;180,J13&gt;=300000),"High Value At Risk",IF(DATE(2026,6,30)-G13&lt;=90,"New Accounts",IF(AND(L13&lt;=120,I13=1),"Promising",IF(L13&lt;=240,"Needs Nurture","Dormant"))))))</x:f>
        <x:v>Dormant</x:v>
      </x:c>
      <x:c r="R13" s="7" t="str">
        <x:f>IF(DATE(2026,6,30)-G13&lt;=90,"New",IF(AND(L13&lt;=120,I13&gt;=2),"Active",IF(I13=1,"One-time",IF(L13&lt;=240,"At Risk","Lapsed"))))</x:f>
        <x:v>Lapsed</x:v>
      </x:c>
      <x:c r="S13" s="15" t="str">
        <x:f>IF(Q13="Champions","Invite to advisory program and cross-sell service plans",IF(Q13="Loyal Growth","Prioritize expansion offer and product education",IF(Q13="High Value At Risk","Assign sales recovery outreach within 14 days",IF(Q13="New Accounts","Launch 90-day onboarding and adoption sequence",IF(Q13="Promising","Nurture second purchase with use-case content",IF(Q13="Needs Nurture","Run product-fit review and re-engagement sequence","Move to low-frequency win-back program"))))))</x:f>
        <x:v>Move to low-frequency win-back program</x:v>
      </x:c>
      <x:c r="T13" s="1"/>
      <x:c r="U13" s="1"/>
      <x:c r="V13" s="1"/>
      <x:c r="W13" s="1"/>
      <x:c r="X13" s="1"/>
      <x:c r="Y13" s="1"/>
      <x:c r="Z13" s="1"/>
    </x:row>
    <x:row r="14">
      <x:c r="A14" s="7" t="str">
        <x:v>ACC-0013</x:v>
      </x:c>
      <x:c r="B14" s="7" t="str">
        <x:v>Crest Solutions 013</x:v>
      </x:c>
      <x:c r="C14" s="7" t="str">
        <x:v>West</x:v>
      </x:c>
      <x:c r="D14" s="7" t="str">
        <x:v>Pharmaceuticals</x:v>
      </x:c>
      <x:c r="E14" s="7" t="str">
        <x:v>Enterprise</x:v>
      </x:c>
      <x:c r="F14" s="7" t="str">
        <x:v>Trade Show</x:v>
      </x:c>
      <x:c r="G14" s="8" t="n">
        <x:v>46160</x:v>
      </x:c>
      <x:c r="H14" s="8" t="n">
        <x:v>46198</x:v>
      </x:c>
      <x:c r="I14" s="9" t="n">
        <x:v>2</x:v>
      </x:c>
      <x:c r="J14" s="10" t="n">
        <x:v>328200</x:v>
      </x:c>
      <x:c r="K14" s="10" t="n">
        <x:f>J14/I14</x:f>
        <x:v>164100</x:v>
      </x:c>
      <x:c r="L14" s="9" t="n">
        <x:f>DATE(2026,6,30)-H14</x:f>
        <x:v>5</x:v>
      </x:c>
      <x:c r="M14" s="9" t="n">
        <x:f>IF(L14&lt;=60,5,IF(L14&lt;=120,4,IF(L14&lt;=180,3,IF(L14&lt;=240,2,1))))</x:f>
        <x:v>5</x:v>
      </x:c>
      <x:c r="N14" s="9" t="n">
        <x:f>IF(I14&gt;=6,5,IF(I14&gt;=4,4,IF(I14=3,3,IF(I14=2,2,1))))</x:f>
        <x:v>2</x:v>
      </x:c>
      <x:c r="O14" s="9" t="n">
        <x:f>IF(J14&gt;=500000,5,IF(J14&gt;=300000,4,IF(J14&gt;=175000,3,IF(J14&gt;=75000,2,1))))</x:f>
        <x:v>4</x:v>
      </x:c>
      <x:c r="P14" s="7" t="str">
        <x:f>M14&amp;N14&amp;O14</x:f>
        <x:v>524</x:v>
      </x:c>
      <x:c r="Q14" s="7" t="str">
        <x:f>IF(AND(L14&lt;=60,I14&gt;=5,J14&gt;=300000),"Champions",IF(AND(L14&lt;=120,I14&gt;=3),"Loyal Growth",IF(AND(L14&gt;180,J14&gt;=300000),"High Value At Risk",IF(DATE(2026,6,30)-G14&lt;=90,"New Accounts",IF(AND(L14&lt;=120,I14=1),"Promising",IF(L14&lt;=240,"Needs Nurture","Dormant"))))))</x:f>
        <x:v>New Accounts</x:v>
      </x:c>
      <x:c r="R14" s="7" t="str">
        <x:f>IF(DATE(2026,6,30)-G14&lt;=90,"New",IF(AND(L14&lt;=120,I14&gt;=2),"Active",IF(I14=1,"One-time",IF(L14&lt;=240,"At Risk","Lapsed"))))</x:f>
        <x:v>New</x:v>
      </x:c>
      <x:c r="S14" s="15" t="str">
        <x:f>IF(Q14="Champions","Invite to advisory program and cross-sell service plans",IF(Q14="Loyal Growth","Prioritize expansion offer and product education",IF(Q14="High Value At Risk","Assign sales recovery outreach within 14 days",IF(Q14="New Accounts","Launch 90-day onboarding and adoption sequence",IF(Q14="Promising","Nurture second purchase with use-case content",IF(Q14="Needs Nurture","Run product-fit review and re-engagement sequence","Move to low-frequency win-back program"))))))</x:f>
        <x:v>Launch 90-day onboarding and adoption sequence</x:v>
      </x:c>
      <x:c r="T14" s="1"/>
      <x:c r="U14" s="1"/>
      <x:c r="V14" s="1"/>
      <x:c r="W14" s="1"/>
      <x:c r="X14" s="1"/>
      <x:c r="Y14" s="1"/>
      <x:c r="Z14" s="1"/>
    </x:row>
    <x:row r="15">
      <x:c r="A15" s="7" t="str">
        <x:v>ACC-0014</x:v>
      </x:c>
      <x:c r="B15" s="7" t="str">
        <x:v>Apex Packaging 014</x:v>
      </x:c>
      <x:c r="C15" s="7" t="str">
        <x:v>West</x:v>
      </x:c>
      <x:c r="D15" s="7" t="str">
        <x:v>Consumer Goods</x:v>
      </x:c>
      <x:c r="E15" s="7" t="str">
        <x:v>Enterprise</x:v>
      </x:c>
      <x:c r="F15" s="7" t="str">
        <x:v>Partner Referral</x:v>
      </x:c>
      <x:c r="G15" s="8" t="n">
        <x:v>45898</x:v>
      </x:c>
      <x:c r="H15" s="8" t="n">
        <x:v>46174</x:v>
      </x:c>
      <x:c r="I15" s="9" t="n">
        <x:v>5</x:v>
      </x:c>
      <x:c r="J15" s="10" t="n">
        <x:v>706900</x:v>
      </x:c>
      <x:c r="K15" s="10" t="n">
        <x:f>J15/I15</x:f>
        <x:v>141380</x:v>
      </x:c>
      <x:c r="L15" s="9" t="n">
        <x:f>DATE(2026,6,30)-H15</x:f>
        <x:v>29</x:v>
      </x:c>
      <x:c r="M15" s="9" t="n">
        <x:f>IF(L15&lt;=60,5,IF(L15&lt;=120,4,IF(L15&lt;=180,3,IF(L15&lt;=240,2,1))))</x:f>
        <x:v>5</x:v>
      </x:c>
      <x:c r="N15" s="9" t="n">
        <x:f>IF(I15&gt;=6,5,IF(I15&gt;=4,4,IF(I15=3,3,IF(I15=2,2,1))))</x:f>
        <x:v>4</x:v>
      </x:c>
      <x:c r="O15" s="9" t="n">
        <x:f>IF(J15&gt;=500000,5,IF(J15&gt;=300000,4,IF(J15&gt;=175000,3,IF(J15&gt;=75000,2,1))))</x:f>
        <x:v>5</x:v>
      </x:c>
      <x:c r="P15" s="7" t="str">
        <x:f>M15&amp;N15&amp;O15</x:f>
        <x:v>545</x:v>
      </x:c>
      <x:c r="Q15" s="7" t="str">
        <x:f>IF(AND(L15&lt;=60,I15&gt;=5,J15&gt;=300000),"Champions",IF(AND(L15&lt;=120,I15&gt;=3),"Loyal Growth",IF(AND(L15&gt;180,J15&gt;=300000),"High Value At Risk",IF(DATE(2026,6,30)-G15&lt;=90,"New Accounts",IF(AND(L15&lt;=120,I15=1),"Promising",IF(L15&lt;=240,"Needs Nurture","Dormant"))))))</x:f>
        <x:v>Champions</x:v>
      </x:c>
      <x:c r="R15" s="7" t="str">
        <x:f>IF(DATE(2026,6,30)-G15&lt;=90,"New",IF(AND(L15&lt;=120,I15&gt;=2),"Active",IF(I15=1,"One-time",IF(L15&lt;=240,"At Risk","Lapsed"))))</x:f>
        <x:v>Active</x:v>
      </x:c>
      <x:c r="S15" s="15" t="str">
        <x:f>IF(Q15="Champions","Invite to advisory program and cross-sell service plans",IF(Q15="Loyal Growth","Prioritize expansion offer and product education",IF(Q15="High Value At Risk","Assign sales recovery outreach within 14 days",IF(Q15="New Accounts","Launch 90-day onboarding and adoption sequence",IF(Q15="Promising","Nurture second purchase with use-case content",IF(Q15="Needs Nurture","Run product-fit review and re-engagement sequence","Move to low-frequency win-back program"))))))</x:f>
        <x:v>Invite to advisory program and cross-sell service plans</x:v>
      </x:c>
      <x:c r="T15" s="1"/>
      <x:c r="U15" s="1"/>
      <x:c r="V15" s="1"/>
      <x:c r="W15" s="1"/>
      <x:c r="X15" s="1"/>
      <x:c r="Y15" s="1"/>
      <x:c r="Z15" s="1"/>
    </x:row>
    <x:row r="16">
      <x:c r="A16" s="7" t="str">
        <x:v>ACC-0015</x:v>
      </x:c>
      <x:c r="B16" s="7" t="str">
        <x:v>Vertex Brands 015</x:v>
      </x:c>
      <x:c r="C16" s="7" t="str">
        <x:v>Northeast</x:v>
      </x:c>
      <x:c r="D16" s="7" t="str">
        <x:v>Food &amp; Beverage</x:v>
      </x:c>
      <x:c r="E16" s="7" t="str">
        <x:v>Enterprise</x:v>
      </x:c>
      <x:c r="F16" s="7" t="str">
        <x:v>Partner Referral</x:v>
      </x:c>
      <x:c r="G16" s="8" t="n">
        <x:v>45506</x:v>
      </x:c>
      <x:c r="H16" s="8" t="n">
        <x:v>45755</x:v>
      </x:c>
      <x:c r="I16" s="9" t="n">
        <x:v>3</x:v>
      </x:c>
      <x:c r="J16" s="10" t="n">
        <x:v>644000</x:v>
      </x:c>
      <x:c r="K16" s="10" t="n">
        <x:f>J16/I16</x:f>
        <x:v>214666.66666666666</x:v>
      </x:c>
      <x:c r="L16" s="9" t="n">
        <x:f>DATE(2026,6,30)-H16</x:f>
        <x:v>448</x:v>
      </x:c>
      <x:c r="M16" s="9" t="n">
        <x:f>IF(L16&lt;=60,5,IF(L16&lt;=120,4,IF(L16&lt;=180,3,IF(L16&lt;=240,2,1))))</x:f>
        <x:v>1</x:v>
      </x:c>
      <x:c r="N16" s="9" t="n">
        <x:f>IF(I16&gt;=6,5,IF(I16&gt;=4,4,IF(I16=3,3,IF(I16=2,2,1))))</x:f>
        <x:v>3</x:v>
      </x:c>
      <x:c r="O16" s="9" t="n">
        <x:f>IF(J16&gt;=500000,5,IF(J16&gt;=300000,4,IF(J16&gt;=175000,3,IF(J16&gt;=75000,2,1))))</x:f>
        <x:v>5</x:v>
      </x:c>
      <x:c r="P16" s="7" t="str">
        <x:f>M16&amp;N16&amp;O16</x:f>
        <x:v>135</x:v>
      </x:c>
      <x:c r="Q16" s="7" t="str">
        <x:f>IF(AND(L16&lt;=60,I16&gt;=5,J16&gt;=300000),"Champions",IF(AND(L16&lt;=120,I16&gt;=3),"Loyal Growth",IF(AND(L16&gt;180,J16&gt;=300000),"High Value At Risk",IF(DATE(2026,6,30)-G16&lt;=90,"New Accounts",IF(AND(L16&lt;=120,I16=1),"Promising",IF(L16&lt;=240,"Needs Nurture","Dormant"))))))</x:f>
        <x:v>High Value At Risk</x:v>
      </x:c>
      <x:c r="R16" s="7" t="str">
        <x:f>IF(DATE(2026,6,30)-G16&lt;=90,"New",IF(AND(L16&lt;=120,I16&gt;=2),"Active",IF(I16=1,"One-time",IF(L16&lt;=240,"At Risk","Lapsed"))))</x:f>
        <x:v>Lapsed</x:v>
      </x:c>
      <x:c r="S16" s="15" t="str">
        <x:f>IF(Q16="Champions","Invite to advisory program and cross-sell service plans",IF(Q16="Loyal Growth","Prioritize expansion offer and product education",IF(Q16="High Value At Risk","Assign sales recovery outreach within 14 days",IF(Q16="New Accounts","Launch 90-day onboarding and adoption sequence",IF(Q16="Promising","Nurture second purchase with use-case content",IF(Q16="Needs Nurture","Run product-fit review and re-engagement sequence","Move to low-frequency win-back program"))))))</x:f>
        <x:v>Assign sales recovery outreach within 14 days</x:v>
      </x:c>
      <x:c r="T16" s="1"/>
      <x:c r="U16" s="1"/>
      <x:c r="V16" s="1"/>
      <x:c r="W16" s="1"/>
      <x:c r="X16" s="1"/>
      <x:c r="Y16" s="1"/>
      <x:c r="Z16" s="1"/>
    </x:row>
    <x:row r="17">
      <x:c r="A17" s="7" t="str">
        <x:v>ACC-0016</x:v>
      </x:c>
      <x:c r="B17" s="7" t="str">
        <x:v>Titan Manufacturing 016</x:v>
      </x:c>
      <x:c r="C17" s="7" t="str">
        <x:v>South</x:v>
      </x:c>
      <x:c r="D17" s="7" t="str">
        <x:v>Food &amp; Beverage</x:v>
      </x:c>
      <x:c r="E17" s="7" t="str">
        <x:v>Mid-market</x:v>
      </x:c>
      <x:c r="F17" s="7" t="str">
        <x:v>Partner Referral</x:v>
      </x:c>
      <x:c r="G17" s="8" t="n">
        <x:v>45477</x:v>
      </x:c>
      <x:c r="H17" s="8" t="n">
        <x:v>46148</x:v>
      </x:c>
      <x:c r="I17" s="9" t="n">
        <x:v>6</x:v>
      </x:c>
      <x:c r="J17" s="10" t="n">
        <x:v>306100</x:v>
      </x:c>
      <x:c r="K17" s="10" t="n">
        <x:f>J17/I17</x:f>
        <x:v>51016.666666666664</x:v>
      </x:c>
      <x:c r="L17" s="9" t="n">
        <x:f>DATE(2026,6,30)-H17</x:f>
        <x:v>55</x:v>
      </x:c>
      <x:c r="M17" s="9" t="n">
        <x:f>IF(L17&lt;=60,5,IF(L17&lt;=120,4,IF(L17&lt;=180,3,IF(L17&lt;=240,2,1))))</x:f>
        <x:v>5</x:v>
      </x:c>
      <x:c r="N17" s="9" t="n">
        <x:f>IF(I17&gt;=6,5,IF(I17&gt;=4,4,IF(I17=3,3,IF(I17=2,2,1))))</x:f>
        <x:v>5</x:v>
      </x:c>
      <x:c r="O17" s="9" t="n">
        <x:f>IF(J17&gt;=500000,5,IF(J17&gt;=300000,4,IF(J17&gt;=175000,3,IF(J17&gt;=75000,2,1))))</x:f>
        <x:v>4</x:v>
      </x:c>
      <x:c r="P17" s="7" t="str">
        <x:f>M17&amp;N17&amp;O17</x:f>
        <x:v>554</x:v>
      </x:c>
      <x:c r="Q17" s="7" t="str">
        <x:f>IF(AND(L17&lt;=60,I17&gt;=5,J17&gt;=300000),"Champions",IF(AND(L17&lt;=120,I17&gt;=3),"Loyal Growth",IF(AND(L17&gt;180,J17&gt;=300000),"High Value At Risk",IF(DATE(2026,6,30)-G17&lt;=90,"New Accounts",IF(AND(L17&lt;=120,I17=1),"Promising",IF(L17&lt;=240,"Needs Nurture","Dormant"))))))</x:f>
        <x:v>Champions</x:v>
      </x:c>
      <x:c r="R17" s="7" t="str">
        <x:f>IF(DATE(2026,6,30)-G17&lt;=90,"New",IF(AND(L17&lt;=120,I17&gt;=2),"Active",IF(I17=1,"One-time",IF(L17&lt;=240,"At Risk","Lapsed"))))</x:f>
        <x:v>Active</x:v>
      </x:c>
      <x:c r="S17" s="15" t="str">
        <x:f>IF(Q17="Champions","Invite to advisory program and cross-sell service plans",IF(Q17="Loyal Growth","Prioritize expansion offer and product education",IF(Q17="High Value At Risk","Assign sales recovery outreach within 14 days",IF(Q17="New Accounts","Launch 90-day onboarding and adoption sequence",IF(Q17="Promising","Nurture second purchase with use-case content",IF(Q17="Needs Nurture","Run product-fit review and re-engagement sequence","Move to low-frequency win-back program"))))))</x:f>
        <x:v>Invite to advisory program and cross-sell service plans</x:v>
      </x:c>
      <x:c r="T17" s="1"/>
      <x:c r="U17" s="1"/>
      <x:c r="V17" s="1"/>
      <x:c r="W17" s="1"/>
      <x:c r="X17" s="1"/>
      <x:c r="Y17" s="1"/>
      <x:c r="Z17" s="1"/>
    </x:row>
    <x:row r="18">
      <x:c r="A18" s="7" t="str">
        <x:v>ACC-0017</x:v>
      </x:c>
      <x:c r="B18" s="7" t="str">
        <x:v>Keystone Manufacturing 017</x:v>
      </x:c>
      <x:c r="C18" s="7" t="str">
        <x:v>South</x:v>
      </x:c>
      <x:c r="D18" s="7" t="str">
        <x:v>Contract Packaging</x:v>
      </x:c>
      <x:c r="E18" s="7" t="str">
        <x:v>Small</x:v>
      </x:c>
      <x:c r="F18" s="7" t="str">
        <x:v>Partner Referral</x:v>
      </x:c>
      <x:c r="G18" s="8" t="n">
        <x:v>45306</x:v>
      </x:c>
      <x:c r="H18" s="8" t="n">
        <x:v>45995</x:v>
      </x:c>
      <x:c r="I18" s="9" t="n">
        <x:v>2</x:v>
      </x:c>
      <x:c r="J18" s="10" t="n">
        <x:v>258000</x:v>
      </x:c>
      <x:c r="K18" s="10" t="n">
        <x:f>J18/I18</x:f>
        <x:v>129000</x:v>
      </x:c>
      <x:c r="L18" s="9" t="n">
        <x:f>DATE(2026,6,30)-H18</x:f>
        <x:v>208</x:v>
      </x:c>
      <x:c r="M18" s="9" t="n">
        <x:f>IF(L18&lt;=60,5,IF(L18&lt;=120,4,IF(L18&lt;=180,3,IF(L18&lt;=240,2,1))))</x:f>
        <x:v>2</x:v>
      </x:c>
      <x:c r="N18" s="9" t="n">
        <x:f>IF(I18&gt;=6,5,IF(I18&gt;=4,4,IF(I18=3,3,IF(I18=2,2,1))))</x:f>
        <x:v>2</x:v>
      </x:c>
      <x:c r="O18" s="9" t="n">
        <x:f>IF(J18&gt;=500000,5,IF(J18&gt;=300000,4,IF(J18&gt;=175000,3,IF(J18&gt;=75000,2,1))))</x:f>
        <x:v>3</x:v>
      </x:c>
      <x:c r="P18" s="7" t="str">
        <x:f>M18&amp;N18&amp;O18</x:f>
        <x:v>223</x:v>
      </x:c>
      <x:c r="Q18" s="7" t="str">
        <x:f>IF(AND(L18&lt;=60,I18&gt;=5,J18&gt;=300000),"Champions",IF(AND(L18&lt;=120,I18&gt;=3),"Loyal Growth",IF(AND(L18&gt;180,J18&gt;=300000),"High Value At Risk",IF(DATE(2026,6,30)-G18&lt;=90,"New Accounts",IF(AND(L18&lt;=120,I18=1),"Promising",IF(L18&lt;=240,"Needs Nurture","Dormant"))))))</x:f>
        <x:v>Needs Nurture</x:v>
      </x:c>
      <x:c r="R18" s="7" t="str">
        <x:f>IF(DATE(2026,6,30)-G18&lt;=90,"New",IF(AND(L18&lt;=120,I18&gt;=2),"Active",IF(I18=1,"One-time",IF(L18&lt;=240,"At Risk","Lapsed"))))</x:f>
        <x:v>At Risk</x:v>
      </x:c>
      <x:c r="S18" s="15" t="str">
        <x:f>IF(Q18="Champions","Invite to advisory program and cross-sell service plans",IF(Q18="Loyal Growth","Prioritize expansion offer and product education",IF(Q18="High Value At Risk","Assign sales recovery outreach within 14 days",IF(Q18="New Accounts","Launch 90-day onboarding and adoption sequence",IF(Q18="Promising","Nurture second purchase with use-case content",IF(Q18="Needs Nurture","Run product-fit review and re-engagement sequence","Move to low-frequency win-back program"))))))</x:f>
        <x:v>Run product-fit review and re-engagement sequence</x:v>
      </x:c>
      <x:c r="T18" s="1"/>
      <x:c r="U18" s="1"/>
      <x:c r="V18" s="1"/>
      <x:c r="W18" s="1"/>
      <x:c r="X18" s="1"/>
      <x:c r="Y18" s="1"/>
      <x:c r="Z18" s="1"/>
    </x:row>
    <x:row r="19">
      <x:c r="A19" s="7" t="str">
        <x:v>ACC-0018</x:v>
      </x:c>
      <x:c r="B19" s="7" t="str">
        <x:v>Crest Solutions 018</x:v>
      </x:c>
      <x:c r="C19" s="7" t="str">
        <x:v>South</x:v>
      </x:c>
      <x:c r="D19" s="7" t="str">
        <x:v>Contract Packaging</x:v>
      </x:c>
      <x:c r="E19" s="7" t="str">
        <x:v>Enterprise</x:v>
      </x:c>
      <x:c r="F19" s="7" t="str">
        <x:v>Google Search</x:v>
      </x:c>
      <x:c r="G19" s="8" t="n">
        <x:v>45521</x:v>
      </x:c>
      <x:c r="H19" s="8" t="n">
        <x:v>45796</x:v>
      </x:c>
      <x:c r="I19" s="9" t="n">
        <x:v>4</x:v>
      </x:c>
      <x:c r="J19" s="10" t="n">
        <x:v>879400</x:v>
      </x:c>
      <x:c r="K19" s="10" t="n">
        <x:f>J19/I19</x:f>
        <x:v>219850</x:v>
      </x:c>
      <x:c r="L19" s="9" t="n">
        <x:f>DATE(2026,6,30)-H19</x:f>
        <x:v>407</x:v>
      </x:c>
      <x:c r="M19" s="9" t="n">
        <x:f>IF(L19&lt;=60,5,IF(L19&lt;=120,4,IF(L19&lt;=180,3,IF(L19&lt;=240,2,1))))</x:f>
        <x:v>1</x:v>
      </x:c>
      <x:c r="N19" s="9" t="n">
        <x:f>IF(I19&gt;=6,5,IF(I19&gt;=4,4,IF(I19=3,3,IF(I19=2,2,1))))</x:f>
        <x:v>4</x:v>
      </x:c>
      <x:c r="O19" s="9" t="n">
        <x:f>IF(J19&gt;=500000,5,IF(J19&gt;=300000,4,IF(J19&gt;=175000,3,IF(J19&gt;=75000,2,1))))</x:f>
        <x:v>5</x:v>
      </x:c>
      <x:c r="P19" s="7" t="str">
        <x:f>M19&amp;N19&amp;O19</x:f>
        <x:v>145</x:v>
      </x:c>
      <x:c r="Q19" s="7" t="str">
        <x:f>IF(AND(L19&lt;=60,I19&gt;=5,J19&gt;=300000),"Champions",IF(AND(L19&lt;=120,I19&gt;=3),"Loyal Growth",IF(AND(L19&gt;180,J19&gt;=300000),"High Value At Risk",IF(DATE(2026,6,30)-G19&lt;=90,"New Accounts",IF(AND(L19&lt;=120,I19=1),"Promising",IF(L19&lt;=240,"Needs Nurture","Dormant"))))))</x:f>
        <x:v>High Value At Risk</x:v>
      </x:c>
      <x:c r="R19" s="7" t="str">
        <x:f>IF(DATE(2026,6,30)-G19&lt;=90,"New",IF(AND(L19&lt;=120,I19&gt;=2),"Active",IF(I19=1,"One-time",IF(L19&lt;=240,"At Risk","Lapsed"))))</x:f>
        <x:v>Lapsed</x:v>
      </x:c>
      <x:c r="S19" s="15" t="str">
        <x:f>IF(Q19="Champions","Invite to advisory program and cross-sell service plans",IF(Q19="Loyal Growth","Prioritize expansion offer and product education",IF(Q19="High Value At Risk","Assign sales recovery outreach within 14 days",IF(Q19="New Accounts","Launch 90-day onboarding and adoption sequence",IF(Q19="Promising","Nurture second purchase with use-case content",IF(Q19="Needs Nurture","Run product-fit review and re-engagement sequence","Move to low-frequency win-back program"))))))</x:f>
        <x:v>Assign sales recovery outreach within 14 days</x:v>
      </x:c>
      <x:c r="T19" s="1"/>
      <x:c r="U19" s="1"/>
      <x:c r="V19" s="1"/>
      <x:c r="W19" s="1"/>
      <x:c r="X19" s="1"/>
      <x:c r="Y19" s="1"/>
      <x:c r="Z19" s="1"/>
    </x:row>
    <x:row r="20">
      <x:c r="A20" s="7" t="str">
        <x:v>ACC-0019</x:v>
      </x:c>
      <x:c r="B20" s="7" t="str">
        <x:v>Vertex Foods 019</x:v>
      </x:c>
      <x:c r="C20" s="7" t="str">
        <x:v>Northeast</x:v>
      </x:c>
      <x:c r="D20" s="7" t="str">
        <x:v>Consumer Goods</x:v>
      </x:c>
      <x:c r="E20" s="7" t="str">
        <x:v>Small</x:v>
      </x:c>
      <x:c r="F20" s="7" t="str">
        <x:v>Google Search</x:v>
      </x:c>
      <x:c r="G20" s="8" t="n">
        <x:v>46188</x:v>
      </x:c>
      <x:c r="H20" s="8" t="n">
        <x:v>46191</x:v>
      </x:c>
      <x:c r="I20" s="9" t="n">
        <x:v>2</x:v>
      </x:c>
      <x:c r="J20" s="10" t="n">
        <x:v>252900</x:v>
      </x:c>
      <x:c r="K20" s="10" t="n">
        <x:f>J20/I20</x:f>
        <x:v>126450</x:v>
      </x:c>
      <x:c r="L20" s="9" t="n">
        <x:f>DATE(2026,6,30)-H20</x:f>
        <x:v>12</x:v>
      </x:c>
      <x:c r="M20" s="9" t="n">
        <x:f>IF(L20&lt;=60,5,IF(L20&lt;=120,4,IF(L20&lt;=180,3,IF(L20&lt;=240,2,1))))</x:f>
        <x:v>5</x:v>
      </x:c>
      <x:c r="N20" s="9" t="n">
        <x:f>IF(I20&gt;=6,5,IF(I20&gt;=4,4,IF(I20=3,3,IF(I20=2,2,1))))</x:f>
        <x:v>2</x:v>
      </x:c>
      <x:c r="O20" s="9" t="n">
        <x:f>IF(J20&gt;=500000,5,IF(J20&gt;=300000,4,IF(J20&gt;=175000,3,IF(J20&gt;=75000,2,1))))</x:f>
        <x:v>3</x:v>
      </x:c>
      <x:c r="P20" s="7" t="str">
        <x:f>M20&amp;N20&amp;O20</x:f>
        <x:v>523</x:v>
      </x:c>
      <x:c r="Q20" s="7" t="str">
        <x:f>IF(AND(L20&lt;=60,I20&gt;=5,J20&gt;=300000),"Champions",IF(AND(L20&lt;=120,I20&gt;=3),"Loyal Growth",IF(AND(L20&gt;180,J20&gt;=300000),"High Value At Risk",IF(DATE(2026,6,30)-G20&lt;=90,"New Accounts",IF(AND(L20&lt;=120,I20=1),"Promising",IF(L20&lt;=240,"Needs Nurture","Dormant"))))))</x:f>
        <x:v>New Accounts</x:v>
      </x:c>
      <x:c r="R20" s="7" t="str">
        <x:f>IF(DATE(2026,6,30)-G20&lt;=90,"New",IF(AND(L20&lt;=120,I20&gt;=2),"Active",IF(I20=1,"One-time",IF(L20&lt;=240,"At Risk","Lapsed"))))</x:f>
        <x:v>New</x:v>
      </x:c>
      <x:c r="S20" s="15" t="str">
        <x:f>IF(Q20="Champions","Invite to advisory program and cross-sell service plans",IF(Q20="Loyal Growth","Prioritize expansion offer and product education",IF(Q20="High Value At Risk","Assign sales recovery outreach within 14 days",IF(Q20="New Accounts","Launch 90-day onboarding and adoption sequence",IF(Q20="Promising","Nurture second purchase with use-case content",IF(Q20="Needs Nurture","Run product-fit review and re-engagement sequence","Move to low-frequency win-back program"))))))</x:f>
        <x:v>Launch 90-day onboarding and adoption sequence</x:v>
      </x:c>
      <x:c r="T20" s="1"/>
      <x:c r="U20" s="1"/>
      <x:c r="V20" s="1"/>
      <x:c r="W20" s="1"/>
      <x:c r="X20" s="1"/>
      <x:c r="Y20" s="1"/>
      <x:c r="Z20" s="1"/>
    </x:row>
    <x:row r="21">
      <x:c r="A21" s="7" t="str">
        <x:v>ACC-0020</x:v>
      </x:c>
      <x:c r="B21" s="7" t="str">
        <x:v>Vertex Labs 020</x:v>
      </x:c>
      <x:c r="C21" s="7" t="str">
        <x:v>South</x:v>
      </x:c>
      <x:c r="D21" s="7" t="str">
        <x:v>Food &amp; Beverage</x:v>
      </x:c>
      <x:c r="E21" s="7" t="str">
        <x:v>Small</x:v>
      </x:c>
      <x:c r="F21" s="7" t="str">
        <x:v>Google Search</x:v>
      </x:c>
      <x:c r="G21" s="8" t="n">
        <x:v>45354</x:v>
      </x:c>
      <x:c r="H21" s="8" t="n">
        <x:v>45678</x:v>
      </x:c>
      <x:c r="I21" s="9" t="n">
        <x:v>4</x:v>
      </x:c>
      <x:c r="J21" s="10" t="n">
        <x:v>176600</x:v>
      </x:c>
      <x:c r="K21" s="10" t="n">
        <x:f>J21/I21</x:f>
        <x:v>44150</x:v>
      </x:c>
      <x:c r="L21" s="9" t="n">
        <x:f>DATE(2026,6,30)-H21</x:f>
        <x:v>525</x:v>
      </x:c>
      <x:c r="M21" s="9" t="n">
        <x:f>IF(L21&lt;=60,5,IF(L21&lt;=120,4,IF(L21&lt;=180,3,IF(L21&lt;=240,2,1))))</x:f>
        <x:v>1</x:v>
      </x:c>
      <x:c r="N21" s="9" t="n">
        <x:f>IF(I21&gt;=6,5,IF(I21&gt;=4,4,IF(I21=3,3,IF(I21=2,2,1))))</x:f>
        <x:v>4</x:v>
      </x:c>
      <x:c r="O21" s="9" t="n">
        <x:f>IF(J21&gt;=500000,5,IF(J21&gt;=300000,4,IF(J21&gt;=175000,3,IF(J21&gt;=75000,2,1))))</x:f>
        <x:v>3</x:v>
      </x:c>
      <x:c r="P21" s="7" t="str">
        <x:f>M21&amp;N21&amp;O21</x:f>
        <x:v>143</x:v>
      </x:c>
      <x:c r="Q21" s="7" t="str">
        <x:f>IF(AND(L21&lt;=60,I21&gt;=5,J21&gt;=300000),"Champions",IF(AND(L21&lt;=120,I21&gt;=3),"Loyal Growth",IF(AND(L21&gt;180,J21&gt;=300000),"High Value At Risk",IF(DATE(2026,6,30)-G21&lt;=90,"New Accounts",IF(AND(L21&lt;=120,I21=1),"Promising",IF(L21&lt;=240,"Needs Nurture","Dormant"))))))</x:f>
        <x:v>Dormant</x:v>
      </x:c>
      <x:c r="R21" s="7" t="str">
        <x:f>IF(DATE(2026,6,30)-G21&lt;=90,"New",IF(AND(L21&lt;=120,I21&gt;=2),"Active",IF(I21=1,"One-time",IF(L21&lt;=240,"At Risk","Lapsed"))))</x:f>
        <x:v>Lapsed</x:v>
      </x:c>
      <x:c r="S21" s="15" t="str">
        <x:f>IF(Q21="Champions","Invite to advisory program and cross-sell service plans",IF(Q21="Loyal Growth","Prioritize expansion offer and product education",IF(Q21="High Value At Risk","Assign sales recovery outreach within 14 days",IF(Q21="New Accounts","Launch 90-day onboarding and adoption sequence",IF(Q21="Promising","Nurture second purchase with use-case content",IF(Q21="Needs Nurture","Run product-fit review and re-engagement sequence","Move to low-frequency win-back program"))))))</x:f>
        <x:v>Move to low-frequency win-back program</x:v>
      </x:c>
      <x:c r="T21" s="1"/>
      <x:c r="U21" s="1"/>
      <x:c r="V21" s="1"/>
      <x:c r="W21" s="1"/>
      <x:c r="X21" s="1"/>
      <x:c r="Y21" s="1"/>
      <x:c r="Z21" s="1"/>
    </x:row>
    <x:row r="22">
      <x:c r="A22" s="7" t="str">
        <x:v>ACC-0021</x:v>
      </x:c>
      <x:c r="B22" s="7" t="str">
        <x:v>Northstar Solutions 021</x:v>
      </x:c>
      <x:c r="C22" s="7" t="str">
        <x:v>West</x:v>
      </x:c>
      <x:c r="D22" s="7" t="str">
        <x:v>Pharmaceuticals</x:v>
      </x:c>
      <x:c r="E22" s="7" t="str">
        <x:v>Enterprise</x:v>
      </x:c>
      <x:c r="F22" s="7" t="str">
        <x:v>Trade Show</x:v>
      </x:c>
      <x:c r="G22" s="8" t="n">
        <x:v>45296</x:v>
      </x:c>
      <x:c r="H22" s="8" t="n">
        <x:v>45954</x:v>
      </x:c>
      <x:c r="I22" s="9" t="n">
        <x:v>4</x:v>
      </x:c>
      <x:c r="J22" s="10" t="n">
        <x:v>577600</x:v>
      </x:c>
      <x:c r="K22" s="10" t="n">
        <x:f>J22/I22</x:f>
        <x:v>144400</x:v>
      </x:c>
      <x:c r="L22" s="9" t="n">
        <x:f>DATE(2026,6,30)-H22</x:f>
        <x:v>249</x:v>
      </x:c>
      <x:c r="M22" s="9" t="n">
        <x:f>IF(L22&lt;=60,5,IF(L22&lt;=120,4,IF(L22&lt;=180,3,IF(L22&lt;=240,2,1))))</x:f>
        <x:v>1</x:v>
      </x:c>
      <x:c r="N22" s="9" t="n">
        <x:f>IF(I22&gt;=6,5,IF(I22&gt;=4,4,IF(I22=3,3,IF(I22=2,2,1))))</x:f>
        <x:v>4</x:v>
      </x:c>
      <x:c r="O22" s="9" t="n">
        <x:f>IF(J22&gt;=500000,5,IF(J22&gt;=300000,4,IF(J22&gt;=175000,3,IF(J22&gt;=75000,2,1))))</x:f>
        <x:v>5</x:v>
      </x:c>
      <x:c r="P22" s="7" t="str">
        <x:f>M22&amp;N22&amp;O22</x:f>
        <x:v>145</x:v>
      </x:c>
      <x:c r="Q22" s="7" t="str">
        <x:f>IF(AND(L22&lt;=60,I22&gt;=5,J22&gt;=300000),"Champions",IF(AND(L22&lt;=120,I22&gt;=3),"Loyal Growth",IF(AND(L22&gt;180,J22&gt;=300000),"High Value At Risk",IF(DATE(2026,6,30)-G22&lt;=90,"New Accounts",IF(AND(L22&lt;=120,I22=1),"Promising",IF(L22&lt;=240,"Needs Nurture","Dormant"))))))</x:f>
        <x:v>High Value At Risk</x:v>
      </x:c>
      <x:c r="R22" s="7" t="str">
        <x:f>IF(DATE(2026,6,30)-G22&lt;=90,"New",IF(AND(L22&lt;=120,I22&gt;=2),"Active",IF(I22=1,"One-time",IF(L22&lt;=240,"At Risk","Lapsed"))))</x:f>
        <x:v>Lapsed</x:v>
      </x:c>
      <x:c r="S22" s="15" t="str">
        <x:f>IF(Q22="Champions","Invite to advisory program and cross-sell service plans",IF(Q22="Loyal Growth","Prioritize expansion offer and product education",IF(Q22="High Value At Risk","Assign sales recovery outreach within 14 days",IF(Q22="New Accounts","Launch 90-day onboarding and adoption sequence",IF(Q22="Promising","Nurture second purchase with use-case content",IF(Q22="Needs Nurture","Run product-fit review and re-engagement sequence","Move to low-frequency win-back program"))))))</x:f>
        <x:v>Assign sales recovery outreach within 14 days</x:v>
      </x:c>
      <x:c r="T22" s="1"/>
      <x:c r="U22" s="1"/>
      <x:c r="V22" s="1"/>
      <x:c r="W22" s="1"/>
      <x:c r="X22" s="1"/>
      <x:c r="Y22" s="1"/>
      <x:c r="Z22" s="1"/>
    </x:row>
    <x:row r="23">
      <x:c r="A23" s="7" t="str">
        <x:v>ACC-0022</x:v>
      </x:c>
      <x:c r="B23" s="7" t="str">
        <x:v>Apex Labs 022</x:v>
      </x:c>
      <x:c r="C23" s="7" t="str">
        <x:v>West</x:v>
      </x:c>
      <x:c r="D23" s="7" t="str">
        <x:v>Consumer Goods</x:v>
      </x:c>
      <x:c r="E23" s="7" t="str">
        <x:v>Mid-market</x:v>
      </x:c>
      <x:c r="F23" s="7" t="str">
        <x:v>LinkedIn</x:v>
      </x:c>
      <x:c r="G23" s="8" t="n">
        <x:v>45381</x:v>
      </x:c>
      <x:c r="H23" s="8" t="n">
        <x:v>45613</x:v>
      </x:c>
      <x:c r="I23" s="9" t="n">
        <x:v>3</x:v>
      </x:c>
      <x:c r="J23" s="10" t="n">
        <x:v>314600</x:v>
      </x:c>
      <x:c r="K23" s="10" t="n">
        <x:f>J23/I23</x:f>
        <x:v>104866.66666666667</x:v>
      </x:c>
      <x:c r="L23" s="9" t="n">
        <x:f>DATE(2026,6,30)-H23</x:f>
        <x:v>590</x:v>
      </x:c>
      <x:c r="M23" s="9" t="n">
        <x:f>IF(L23&lt;=60,5,IF(L23&lt;=120,4,IF(L23&lt;=180,3,IF(L23&lt;=240,2,1))))</x:f>
        <x:v>1</x:v>
      </x:c>
      <x:c r="N23" s="9" t="n">
        <x:f>IF(I23&gt;=6,5,IF(I23&gt;=4,4,IF(I23=3,3,IF(I23=2,2,1))))</x:f>
        <x:v>3</x:v>
      </x:c>
      <x:c r="O23" s="9" t="n">
        <x:f>IF(J23&gt;=500000,5,IF(J23&gt;=300000,4,IF(J23&gt;=175000,3,IF(J23&gt;=75000,2,1))))</x:f>
        <x:v>4</x:v>
      </x:c>
      <x:c r="P23" s="7" t="str">
        <x:f>M23&amp;N23&amp;O23</x:f>
        <x:v>134</x:v>
      </x:c>
      <x:c r="Q23" s="7" t="str">
        <x:f>IF(AND(L23&lt;=60,I23&gt;=5,J23&gt;=300000),"Champions",IF(AND(L23&lt;=120,I23&gt;=3),"Loyal Growth",IF(AND(L23&gt;180,J23&gt;=300000),"High Value At Risk",IF(DATE(2026,6,30)-G23&lt;=90,"New Accounts",IF(AND(L23&lt;=120,I23=1),"Promising",IF(L23&lt;=240,"Needs Nurture","Dormant"))))))</x:f>
        <x:v>High Value At Risk</x:v>
      </x:c>
      <x:c r="R23" s="7" t="str">
        <x:f>IF(DATE(2026,6,30)-G23&lt;=90,"New",IF(AND(L23&lt;=120,I23&gt;=2),"Active",IF(I23=1,"One-time",IF(L23&lt;=240,"At Risk","Lapsed"))))</x:f>
        <x:v>Lapsed</x:v>
      </x:c>
      <x:c r="S23" s="15" t="str">
        <x:f>IF(Q23="Champions","Invite to advisory program and cross-sell service plans",IF(Q23="Loyal Growth","Prioritize expansion offer and product education",IF(Q23="High Value At Risk","Assign sales recovery outreach within 14 days",IF(Q23="New Accounts","Launch 90-day onboarding and adoption sequence",IF(Q23="Promising","Nurture second purchase with use-case content",IF(Q23="Needs Nurture","Run product-fit review and re-engagement sequence","Move to low-frequency win-back program"))))))</x:f>
        <x:v>Assign sales recovery outreach within 14 days</x:v>
      </x:c>
      <x:c r="T23" s="1"/>
      <x:c r="U23" s="1"/>
      <x:c r="V23" s="1"/>
      <x:c r="W23" s="1"/>
      <x:c r="X23" s="1"/>
      <x:c r="Y23" s="1"/>
      <x:c r="Z23" s="1"/>
    </x:row>
    <x:row r="24">
      <x:c r="A24" s="7" t="str">
        <x:v>ACC-0023</x:v>
      </x:c>
      <x:c r="B24" s="7" t="str">
        <x:v>Vertex Packaging 023</x:v>
      </x:c>
      <x:c r="C24" s="7" t="str">
        <x:v>Midwest</x:v>
      </x:c>
      <x:c r="D24" s="7" t="str">
        <x:v>Food &amp; Beverage</x:v>
      </x:c>
      <x:c r="E24" s="7" t="str">
        <x:v>Enterprise</x:v>
      </x:c>
      <x:c r="F24" s="7" t="str">
        <x:v>Partner Referral</x:v>
      </x:c>
      <x:c r="G24" s="8" t="n">
        <x:v>45937</x:v>
      </x:c>
      <x:c r="H24" s="8" t="n">
        <x:v>46054</x:v>
      </x:c>
      <x:c r="I24" s="9" t="n">
        <x:v>3</x:v>
      </x:c>
      <x:c r="J24" s="10" t="n">
        <x:v>615000</x:v>
      </x:c>
      <x:c r="K24" s="10" t="n">
        <x:f>J24/I24</x:f>
        <x:v>205000</x:v>
      </x:c>
      <x:c r="L24" s="9" t="n">
        <x:f>DATE(2026,6,30)-H24</x:f>
        <x:v>149</x:v>
      </x:c>
      <x:c r="M24" s="9" t="n">
        <x:f>IF(L24&lt;=60,5,IF(L24&lt;=120,4,IF(L24&lt;=180,3,IF(L24&lt;=240,2,1))))</x:f>
        <x:v>3</x:v>
      </x:c>
      <x:c r="N24" s="9" t="n">
        <x:f>IF(I24&gt;=6,5,IF(I24&gt;=4,4,IF(I24=3,3,IF(I24=2,2,1))))</x:f>
        <x:v>3</x:v>
      </x:c>
      <x:c r="O24" s="9" t="n">
        <x:f>IF(J24&gt;=500000,5,IF(J24&gt;=300000,4,IF(J24&gt;=175000,3,IF(J24&gt;=75000,2,1))))</x:f>
        <x:v>5</x:v>
      </x:c>
      <x:c r="P24" s="7" t="str">
        <x:f>M24&amp;N24&amp;O24</x:f>
        <x:v>335</x:v>
      </x:c>
      <x:c r="Q24" s="7" t="str">
        <x:f>IF(AND(L24&lt;=60,I24&gt;=5,J24&gt;=300000),"Champions",IF(AND(L24&lt;=120,I24&gt;=3),"Loyal Growth",IF(AND(L24&gt;180,J24&gt;=300000),"High Value At Risk",IF(DATE(2026,6,30)-G24&lt;=90,"New Accounts",IF(AND(L24&lt;=120,I24=1),"Promising",IF(L24&lt;=240,"Needs Nurture","Dormant"))))))</x:f>
        <x:v>Needs Nurture</x:v>
      </x:c>
      <x:c r="R24" s="7" t="str">
        <x:f>IF(DATE(2026,6,30)-G24&lt;=90,"New",IF(AND(L24&lt;=120,I24&gt;=2),"Active",IF(I24=1,"One-time",IF(L24&lt;=240,"At Risk","Lapsed"))))</x:f>
        <x:v>At Risk</x:v>
      </x:c>
      <x:c r="S24" s="15" t="str">
        <x:f>IF(Q24="Champions","Invite to advisory program and cross-sell service plans",IF(Q24="Loyal Growth","Prioritize expansion offer and product education",IF(Q24="High Value At Risk","Assign sales recovery outreach within 14 days",IF(Q24="New Accounts","Launch 90-day onboarding and adoption sequence",IF(Q24="Promising","Nurture second purchase with use-case content",IF(Q24="Needs Nurture","Run product-fit review and re-engagement sequence","Move to low-frequency win-back program"))))))</x:f>
        <x:v>Run product-fit review and re-engagement sequence</x:v>
      </x:c>
      <x:c r="T24" s="1"/>
      <x:c r="U24" s="1"/>
      <x:c r="V24" s="1"/>
      <x:c r="W24" s="1"/>
      <x:c r="X24" s="1"/>
      <x:c r="Y24" s="1"/>
      <x:c r="Z24" s="1"/>
    </x:row>
    <x:row r="25">
      <x:c r="A25" s="7" t="str">
        <x:v>ACC-0024</x:v>
      </x:c>
      <x:c r="B25" s="7" t="str">
        <x:v>Northstar Industries 024</x:v>
      </x:c>
      <x:c r="C25" s="7" t="str">
        <x:v>South</x:v>
      </x:c>
      <x:c r="D25" s="7" t="str">
        <x:v>Consumer Goods</x:v>
      </x:c>
      <x:c r="E25" s="7" t="str">
        <x:v>Small</x:v>
      </x:c>
      <x:c r="F25" s="7" t="str">
        <x:v>LinkedIn</x:v>
      </x:c>
      <x:c r="G25" s="8" t="n">
        <x:v>45402</x:v>
      </x:c>
      <x:c r="H25" s="8" t="n">
        <x:v>46169</x:v>
      </x:c>
      <x:c r="I25" s="9" t="n">
        <x:v>2</x:v>
      </x:c>
      <x:c r="J25" s="10" t="n">
        <x:v>224600</x:v>
      </x:c>
      <x:c r="K25" s="10" t="n">
        <x:f>J25/I25</x:f>
        <x:v>112300</x:v>
      </x:c>
      <x:c r="L25" s="9" t="n">
        <x:f>DATE(2026,6,30)-H25</x:f>
        <x:v>34</x:v>
      </x:c>
      <x:c r="M25" s="9" t="n">
        <x:f>IF(L25&lt;=60,5,IF(L25&lt;=120,4,IF(L25&lt;=180,3,IF(L25&lt;=240,2,1))))</x:f>
        <x:v>5</x:v>
      </x:c>
      <x:c r="N25" s="9" t="n">
        <x:f>IF(I25&gt;=6,5,IF(I25&gt;=4,4,IF(I25=3,3,IF(I25=2,2,1))))</x:f>
        <x:v>2</x:v>
      </x:c>
      <x:c r="O25" s="9" t="n">
        <x:f>IF(J25&gt;=500000,5,IF(J25&gt;=300000,4,IF(J25&gt;=175000,3,IF(J25&gt;=75000,2,1))))</x:f>
        <x:v>3</x:v>
      </x:c>
      <x:c r="P25" s="7" t="str">
        <x:f>M25&amp;N25&amp;O25</x:f>
        <x:v>523</x:v>
      </x:c>
      <x:c r="Q25" s="7" t="str">
        <x:f>IF(AND(L25&lt;=60,I25&gt;=5,J25&gt;=300000),"Champions",IF(AND(L25&lt;=120,I25&gt;=3),"Loyal Growth",IF(AND(L25&gt;180,J25&gt;=300000),"High Value At Risk",IF(DATE(2026,6,30)-G25&lt;=90,"New Accounts",IF(AND(L25&lt;=120,I25=1),"Promising",IF(L25&lt;=240,"Needs Nurture","Dormant"))))))</x:f>
        <x:v>Needs Nurture</x:v>
      </x:c>
      <x:c r="R25" s="7" t="str">
        <x:f>IF(DATE(2026,6,30)-G25&lt;=90,"New",IF(AND(L25&lt;=120,I25&gt;=2),"Active",IF(I25=1,"One-time",IF(L25&lt;=240,"At Risk","Lapsed"))))</x:f>
        <x:v>Active</x:v>
      </x:c>
      <x:c r="S25" s="15" t="str">
        <x:f>IF(Q25="Champions","Invite to advisory program and cross-sell service plans",IF(Q25="Loyal Growth","Prioritize expansion offer and product education",IF(Q25="High Value At Risk","Assign sales recovery outreach within 14 days",IF(Q25="New Accounts","Launch 90-day onboarding and adoption sequence",IF(Q25="Promising","Nurture second purchase with use-case content",IF(Q25="Needs Nurture","Run product-fit review and re-engagement sequence","Move to low-frequency win-back program"))))))</x:f>
        <x:v>Run product-fit review and re-engagement sequence</x:v>
      </x:c>
      <x:c r="T25" s="1"/>
      <x:c r="U25" s="1"/>
      <x:c r="V25" s="1"/>
      <x:c r="W25" s="1"/>
      <x:c r="X25" s="1"/>
      <x:c r="Y25" s="1"/>
      <x:c r="Z25" s="1"/>
    </x:row>
    <x:row r="26">
      <x:c r="A26" s="7" t="str">
        <x:v>ACC-0025</x:v>
      </x:c>
      <x:c r="B26" s="7" t="str">
        <x:v>BlueRiver Packaging 025</x:v>
      </x:c>
      <x:c r="C26" s="7" t="str">
        <x:v>Midwest</x:v>
      </x:c>
      <x:c r="D26" s="7" t="str">
        <x:v>Pharmaceuticals</x:v>
      </x:c>
      <x:c r="E26" s="7" t="str">
        <x:v>Enterprise</x:v>
      </x:c>
      <x:c r="F26" s="7" t="str">
        <x:v>Trade Show</x:v>
      </x:c>
      <x:c r="G26" s="8" t="n">
        <x:v>45628</x:v>
      </x:c>
      <x:c r="H26" s="8" t="n">
        <x:v>46203</x:v>
      </x:c>
      <x:c r="I26" s="9" t="n">
        <x:v>6</x:v>
      </x:c>
      <x:c r="J26" s="10" t="n">
        <x:v>981300</x:v>
      </x:c>
      <x:c r="K26" s="10" t="n">
        <x:f>J26/I26</x:f>
        <x:v>163550</x:v>
      </x:c>
      <x:c r="L26" s="9" t="n">
        <x:f>DATE(2026,6,30)-H26</x:f>
        <x:v>0</x:v>
      </x:c>
      <x:c r="M26" s="9" t="n">
        <x:f>IF(L26&lt;=60,5,IF(L26&lt;=120,4,IF(L26&lt;=180,3,IF(L26&lt;=240,2,1))))</x:f>
        <x:v>5</x:v>
      </x:c>
      <x:c r="N26" s="9" t="n">
        <x:f>IF(I26&gt;=6,5,IF(I26&gt;=4,4,IF(I26=3,3,IF(I26=2,2,1))))</x:f>
        <x:v>5</x:v>
      </x:c>
      <x:c r="O26" s="9" t="n">
        <x:f>IF(J26&gt;=500000,5,IF(J26&gt;=300000,4,IF(J26&gt;=175000,3,IF(J26&gt;=75000,2,1))))</x:f>
        <x:v>5</x:v>
      </x:c>
      <x:c r="P26" s="7" t="str">
        <x:f>M26&amp;N26&amp;O26</x:f>
        <x:v>555</x:v>
      </x:c>
      <x:c r="Q26" s="7" t="str">
        <x:f>IF(AND(L26&lt;=60,I26&gt;=5,J26&gt;=300000),"Champions",IF(AND(L26&lt;=120,I26&gt;=3),"Loyal Growth",IF(AND(L26&gt;180,J26&gt;=300000),"High Value At Risk",IF(DATE(2026,6,30)-G26&lt;=90,"New Accounts",IF(AND(L26&lt;=120,I26=1),"Promising",IF(L26&lt;=240,"Needs Nurture","Dormant"))))))</x:f>
        <x:v>Champions</x:v>
      </x:c>
      <x:c r="R26" s="7" t="str">
        <x:f>IF(DATE(2026,6,30)-G26&lt;=90,"New",IF(AND(L26&lt;=120,I26&gt;=2),"Active",IF(I26=1,"One-time",IF(L26&lt;=240,"At Risk","Lapsed"))))</x:f>
        <x:v>Active</x:v>
      </x:c>
      <x:c r="S26" s="15" t="str">
        <x:f>IF(Q26="Champions","Invite to advisory program and cross-sell service plans",IF(Q26="Loyal Growth","Prioritize expansion offer and product education",IF(Q26="High Value At Risk","Assign sales recovery outreach within 14 days",IF(Q26="New Accounts","Launch 90-day onboarding and adoption sequence",IF(Q26="Promising","Nurture second purchase with use-case content",IF(Q26="Needs Nurture","Run product-fit review and re-engagement sequence","Move to low-frequency win-back program"))))))</x:f>
        <x:v>Invite to advisory program and cross-sell service plans</x:v>
      </x:c>
      <x:c r="T26" s="1"/>
      <x:c r="U26" s="1"/>
      <x:c r="V26" s="1"/>
      <x:c r="W26" s="1"/>
      <x:c r="X26" s="1"/>
      <x:c r="Y26" s="1"/>
      <x:c r="Z26" s="1"/>
    </x:row>
    <x:row r="27">
      <x:c r="A27" s="7" t="str">
        <x:v>ACC-0026</x:v>
      </x:c>
      <x:c r="B27" s="7" t="str">
        <x:v>Crest Manufacturing 026</x:v>
      </x:c>
      <x:c r="C27" s="7" t="str">
        <x:v>South</x:v>
      </x:c>
      <x:c r="D27" s="7" t="str">
        <x:v>Food &amp; Beverage</x:v>
      </x:c>
      <x:c r="E27" s="7" t="str">
        <x:v>Enterprise</x:v>
      </x:c>
      <x:c r="F27" s="7" t="str">
        <x:v>Google Search</x:v>
      </x:c>
      <x:c r="G27" s="8" t="n">
        <x:v>46022</x:v>
      </x:c>
      <x:c r="H27" s="8" t="n">
        <x:v>46175</x:v>
      </x:c>
      <x:c r="I27" s="9" t="n">
        <x:v>3</x:v>
      </x:c>
      <x:c r="J27" s="10" t="n">
        <x:v>282300</x:v>
      </x:c>
      <x:c r="K27" s="10" t="n">
        <x:f>J27/I27</x:f>
        <x:v>94100</x:v>
      </x:c>
      <x:c r="L27" s="9" t="n">
        <x:f>DATE(2026,6,30)-H27</x:f>
        <x:v>28</x:v>
      </x:c>
      <x:c r="M27" s="9" t="n">
        <x:f>IF(L27&lt;=60,5,IF(L27&lt;=120,4,IF(L27&lt;=180,3,IF(L27&lt;=240,2,1))))</x:f>
        <x:v>5</x:v>
      </x:c>
      <x:c r="N27" s="9" t="n">
        <x:f>IF(I27&gt;=6,5,IF(I27&gt;=4,4,IF(I27=3,3,IF(I27=2,2,1))))</x:f>
        <x:v>3</x:v>
      </x:c>
      <x:c r="O27" s="9" t="n">
        <x:f>IF(J27&gt;=500000,5,IF(J27&gt;=300000,4,IF(J27&gt;=175000,3,IF(J27&gt;=75000,2,1))))</x:f>
        <x:v>3</x:v>
      </x:c>
      <x:c r="P27" s="7" t="str">
        <x:f>M27&amp;N27&amp;O27</x:f>
        <x:v>533</x:v>
      </x:c>
      <x:c r="Q27" s="7" t="str">
        <x:f>IF(AND(L27&lt;=60,I27&gt;=5,J27&gt;=300000),"Champions",IF(AND(L27&lt;=120,I27&gt;=3),"Loyal Growth",IF(AND(L27&gt;180,J27&gt;=300000),"High Value At Risk",IF(DATE(2026,6,30)-G27&lt;=90,"New Accounts",IF(AND(L27&lt;=120,I27=1),"Promising",IF(L27&lt;=240,"Needs Nurture","Dormant"))))))</x:f>
        <x:v>Loyal Growth</x:v>
      </x:c>
      <x:c r="R27" s="7" t="str">
        <x:f>IF(DATE(2026,6,30)-G27&lt;=90,"New",IF(AND(L27&lt;=120,I27&gt;=2),"Active",IF(I27=1,"One-time",IF(L27&lt;=240,"At Risk","Lapsed"))))</x:f>
        <x:v>Active</x:v>
      </x:c>
      <x:c r="S27" s="15" t="str">
        <x:f>IF(Q27="Champions","Invite to advisory program and cross-sell service plans",IF(Q27="Loyal Growth","Prioritize expansion offer and product education",IF(Q27="High Value At Risk","Assign sales recovery outreach within 14 days",IF(Q27="New Accounts","Launch 90-day onboarding and adoption sequence",IF(Q27="Promising","Nurture second purchase with use-case content",IF(Q27="Needs Nurture","Run product-fit review and re-engagement sequence","Move to low-frequency win-back program"))))))</x:f>
        <x:v>Prioritize expansion offer and product education</x:v>
      </x:c>
      <x:c r="T27" s="1"/>
      <x:c r="U27" s="1"/>
      <x:c r="V27" s="1"/>
      <x:c r="W27" s="1"/>
      <x:c r="X27" s="1"/>
      <x:c r="Y27" s="1"/>
      <x:c r="Z27" s="1"/>
    </x:row>
    <x:row r="28">
      <x:c r="A28" s="7" t="str">
        <x:v>ACC-0027</x:v>
      </x:c>
      <x:c r="B28" s="7" t="str">
        <x:v>Titan Foods 027</x:v>
      </x:c>
      <x:c r="C28" s="7" t="str">
        <x:v>West</x:v>
      </x:c>
      <x:c r="D28" s="7" t="str">
        <x:v>Industrial Products</x:v>
      </x:c>
      <x:c r="E28" s="7" t="str">
        <x:v>Enterprise</x:v>
      </x:c>
      <x:c r="F28" s="7" t="str">
        <x:v>Email</x:v>
      </x:c>
      <x:c r="G28" s="8" t="n">
        <x:v>45398</x:v>
      </x:c>
      <x:c r="H28" s="8" t="n">
        <x:v>46019</x:v>
      </x:c>
      <x:c r="I28" s="9" t="n">
        <x:v>6</x:v>
      </x:c>
      <x:c r="J28" s="10" t="n">
        <x:v>1014400</x:v>
      </x:c>
      <x:c r="K28" s="10" t="n">
        <x:f>J28/I28</x:f>
        <x:v>169066.66666666666</x:v>
      </x:c>
      <x:c r="L28" s="9" t="n">
        <x:f>DATE(2026,6,30)-H28</x:f>
        <x:v>184</x:v>
      </x:c>
      <x:c r="M28" s="9" t="n">
        <x:f>IF(L28&lt;=60,5,IF(L28&lt;=120,4,IF(L28&lt;=180,3,IF(L28&lt;=240,2,1))))</x:f>
        <x:v>2</x:v>
      </x:c>
      <x:c r="N28" s="9" t="n">
        <x:f>IF(I28&gt;=6,5,IF(I28&gt;=4,4,IF(I28=3,3,IF(I28=2,2,1))))</x:f>
        <x:v>5</x:v>
      </x:c>
      <x:c r="O28" s="9" t="n">
        <x:f>IF(J28&gt;=500000,5,IF(J28&gt;=300000,4,IF(J28&gt;=175000,3,IF(J28&gt;=75000,2,1))))</x:f>
        <x:v>5</x:v>
      </x:c>
      <x:c r="P28" s="7" t="str">
        <x:f>M28&amp;N28&amp;O28</x:f>
        <x:v>255</x:v>
      </x:c>
      <x:c r="Q28" s="7" t="str">
        <x:f>IF(AND(L28&lt;=60,I28&gt;=5,J28&gt;=300000),"Champions",IF(AND(L28&lt;=120,I28&gt;=3),"Loyal Growth",IF(AND(L28&gt;180,J28&gt;=300000),"High Value At Risk",IF(DATE(2026,6,30)-G28&lt;=90,"New Accounts",IF(AND(L28&lt;=120,I28=1),"Promising",IF(L28&lt;=240,"Needs Nurture","Dormant"))))))</x:f>
        <x:v>High Value At Risk</x:v>
      </x:c>
      <x:c r="R28" s="7" t="str">
        <x:f>IF(DATE(2026,6,30)-G28&lt;=90,"New",IF(AND(L28&lt;=120,I28&gt;=2),"Active",IF(I28=1,"One-time",IF(L28&lt;=240,"At Risk","Lapsed"))))</x:f>
        <x:v>At Risk</x:v>
      </x:c>
      <x:c r="S28" s="15" t="str">
        <x:f>IF(Q28="Champions","Invite to advisory program and cross-sell service plans",IF(Q28="Loyal Growth","Prioritize expansion offer and product education",IF(Q28="High Value At Risk","Assign sales recovery outreach within 14 days",IF(Q28="New Accounts","Launch 90-day onboarding and adoption sequence",IF(Q28="Promising","Nurture second purchase with use-case content",IF(Q28="Needs Nurture","Run product-fit review and re-engagement sequence","Move to low-frequency win-back program"))))))</x:f>
        <x:v>Assign sales recovery outreach within 14 days</x:v>
      </x:c>
      <x:c r="T28" s="1"/>
      <x:c r="U28" s="1"/>
      <x:c r="V28" s="1"/>
      <x:c r="W28" s="1"/>
      <x:c r="X28" s="1"/>
      <x:c r="Y28" s="1"/>
      <x:c r="Z28" s="1"/>
    </x:row>
    <x:row r="29">
      <x:c r="A29" s="7" t="str">
        <x:v>ACC-0028</x:v>
      </x:c>
      <x:c r="B29" s="7" t="str">
        <x:v>Keystone Manufacturing 028</x:v>
      </x:c>
      <x:c r="C29" s="7" t="str">
        <x:v>South</x:v>
      </x:c>
      <x:c r="D29" s="7" t="str">
        <x:v>Pharmaceuticals</x:v>
      </x:c>
      <x:c r="E29" s="7" t="str">
        <x:v>Small</x:v>
      </x:c>
      <x:c r="F29" s="7" t="str">
        <x:v>Email</x:v>
      </x:c>
      <x:c r="G29" s="8" t="n">
        <x:v>45316</x:v>
      </x:c>
      <x:c r="H29" s="8" t="n">
        <x:v>45805</x:v>
      </x:c>
      <x:c r="I29" s="9" t="n">
        <x:v>3</x:v>
      </x:c>
      <x:c r="J29" s="10" t="n">
        <x:v>165400</x:v>
      </x:c>
      <x:c r="K29" s="10" t="n">
        <x:f>J29/I29</x:f>
        <x:v>55133.333333333336</x:v>
      </x:c>
      <x:c r="L29" s="9" t="n">
        <x:f>DATE(2026,6,30)-H29</x:f>
        <x:v>398</x:v>
      </x:c>
      <x:c r="M29" s="9" t="n">
        <x:f>IF(L29&lt;=60,5,IF(L29&lt;=120,4,IF(L29&lt;=180,3,IF(L29&lt;=240,2,1))))</x:f>
        <x:v>1</x:v>
      </x:c>
      <x:c r="N29" s="9" t="n">
        <x:f>IF(I29&gt;=6,5,IF(I29&gt;=4,4,IF(I29=3,3,IF(I29=2,2,1))))</x:f>
        <x:v>3</x:v>
      </x:c>
      <x:c r="O29" s="9" t="n">
        <x:f>IF(J29&gt;=500000,5,IF(J29&gt;=300000,4,IF(J29&gt;=175000,3,IF(J29&gt;=75000,2,1))))</x:f>
        <x:v>2</x:v>
      </x:c>
      <x:c r="P29" s="7" t="str">
        <x:f>M29&amp;N29&amp;O29</x:f>
        <x:v>132</x:v>
      </x:c>
      <x:c r="Q29" s="7" t="str">
        <x:f>IF(AND(L29&lt;=60,I29&gt;=5,J29&gt;=300000),"Champions",IF(AND(L29&lt;=120,I29&gt;=3),"Loyal Growth",IF(AND(L29&gt;180,J29&gt;=300000),"High Value At Risk",IF(DATE(2026,6,30)-G29&lt;=90,"New Accounts",IF(AND(L29&lt;=120,I29=1),"Promising",IF(L29&lt;=240,"Needs Nurture","Dormant"))))))</x:f>
        <x:v>Dormant</x:v>
      </x:c>
      <x:c r="R29" s="7" t="str">
        <x:f>IF(DATE(2026,6,30)-G29&lt;=90,"New",IF(AND(L29&lt;=120,I29&gt;=2),"Active",IF(I29=1,"One-time",IF(L29&lt;=240,"At Risk","Lapsed"))))</x:f>
        <x:v>Lapsed</x:v>
      </x:c>
      <x:c r="S29" s="15" t="str">
        <x:f>IF(Q29="Champions","Invite to advisory program and cross-sell service plans",IF(Q29="Loyal Growth","Prioritize expansion offer and product education",IF(Q29="High Value At Risk","Assign sales recovery outreach within 14 days",IF(Q29="New Accounts","Launch 90-day onboarding and adoption sequence",IF(Q29="Promising","Nurture second purchase with use-case content",IF(Q29="Needs Nurture","Run product-fit review and re-engagement sequence","Move to low-frequency win-back program"))))))</x:f>
        <x:v>Move to low-frequency win-back program</x:v>
      </x:c>
      <x:c r="T29" s="1"/>
      <x:c r="U29" s="1"/>
      <x:c r="V29" s="1"/>
      <x:c r="W29" s="1"/>
      <x:c r="X29" s="1"/>
      <x:c r="Y29" s="1"/>
      <x:c r="Z29" s="1"/>
    </x:row>
    <x:row r="30">
      <x:c r="A30" s="7" t="str">
        <x:v>ACC-0029</x:v>
      </x:c>
      <x:c r="B30" s="7" t="str">
        <x:v>Summit Labs 029</x:v>
      </x:c>
      <x:c r="C30" s="7" t="str">
        <x:v>West</x:v>
      </x:c>
      <x:c r="D30" s="7" t="str">
        <x:v>Industrial Products</x:v>
      </x:c>
      <x:c r="E30" s="7" t="str">
        <x:v>Enterprise</x:v>
      </x:c>
      <x:c r="F30" s="7" t="str">
        <x:v>Trade Show</x:v>
      </x:c>
      <x:c r="G30" s="8" t="n">
        <x:v>46185</x:v>
      </x:c>
      <x:c r="H30" s="8" t="n">
        <x:v>46191</x:v>
      </x:c>
      <x:c r="I30" s="9" t="n">
        <x:v>2</x:v>
      </x:c>
      <x:c r="J30" s="10" t="n">
        <x:v>191600</x:v>
      </x:c>
      <x:c r="K30" s="10" t="n">
        <x:f>J30/I30</x:f>
        <x:v>95800</x:v>
      </x:c>
      <x:c r="L30" s="9" t="n">
        <x:f>DATE(2026,6,30)-H30</x:f>
        <x:v>12</x:v>
      </x:c>
      <x:c r="M30" s="9" t="n">
        <x:f>IF(L30&lt;=60,5,IF(L30&lt;=120,4,IF(L30&lt;=180,3,IF(L30&lt;=240,2,1))))</x:f>
        <x:v>5</x:v>
      </x:c>
      <x:c r="N30" s="9" t="n">
        <x:f>IF(I30&gt;=6,5,IF(I30&gt;=4,4,IF(I30=3,3,IF(I30=2,2,1))))</x:f>
        <x:v>2</x:v>
      </x:c>
      <x:c r="O30" s="9" t="n">
        <x:f>IF(J30&gt;=500000,5,IF(J30&gt;=300000,4,IF(J30&gt;=175000,3,IF(J30&gt;=75000,2,1))))</x:f>
        <x:v>3</x:v>
      </x:c>
      <x:c r="P30" s="7" t="str">
        <x:f>M30&amp;N30&amp;O30</x:f>
        <x:v>523</x:v>
      </x:c>
      <x:c r="Q30" s="7" t="str">
        <x:f>IF(AND(L30&lt;=60,I30&gt;=5,J30&gt;=300000),"Champions",IF(AND(L30&lt;=120,I30&gt;=3),"Loyal Growth",IF(AND(L30&gt;180,J30&gt;=300000),"High Value At Risk",IF(DATE(2026,6,30)-G30&lt;=90,"New Accounts",IF(AND(L30&lt;=120,I30=1),"Promising",IF(L30&lt;=240,"Needs Nurture","Dormant"))))))</x:f>
        <x:v>New Accounts</x:v>
      </x:c>
      <x:c r="R30" s="7" t="str">
        <x:f>IF(DATE(2026,6,30)-G30&lt;=90,"New",IF(AND(L30&lt;=120,I30&gt;=2),"Active",IF(I30=1,"One-time",IF(L30&lt;=240,"At Risk","Lapsed"))))</x:f>
        <x:v>New</x:v>
      </x:c>
      <x:c r="S30" s="15" t="str">
        <x:f>IF(Q30="Champions","Invite to advisory program and cross-sell service plans",IF(Q30="Loyal Growth","Prioritize expansion offer and product education",IF(Q30="High Value At Risk","Assign sales recovery outreach within 14 days",IF(Q30="New Accounts","Launch 90-day onboarding and adoption sequence",IF(Q30="Promising","Nurture second purchase with use-case content",IF(Q30="Needs Nurture","Run product-fit review and re-engagement sequence","Move to low-frequency win-back program"))))))</x:f>
        <x:v>Launch 90-day onboarding and adoption sequence</x:v>
      </x:c>
      <x:c r="T30" s="1"/>
      <x:c r="U30" s="1"/>
      <x:c r="V30" s="1"/>
      <x:c r="W30" s="1"/>
      <x:c r="X30" s="1"/>
      <x:c r="Y30" s="1"/>
      <x:c r="Z30" s="1"/>
    </x:row>
    <x:row r="31">
      <x:c r="A31" s="7" t="str">
        <x:v>ACC-0030</x:v>
      </x:c>
      <x:c r="B31" s="7" t="str">
        <x:v>BlueRiver Solutions 030</x:v>
      </x:c>
      <x:c r="C31" s="7" t="str">
        <x:v>Northeast</x:v>
      </x:c>
      <x:c r="D31" s="7" t="str">
        <x:v>Contract Packaging</x:v>
      </x:c>
      <x:c r="E31" s="7" t="str">
        <x:v>Enterprise</x:v>
      </x:c>
      <x:c r="F31" s="7" t="str">
        <x:v>Partner Referral</x:v>
      </x:c>
      <x:c r="G31" s="8" t="n">
        <x:v>46000</x:v>
      </x:c>
      <x:c r="H31" s="8" t="n">
        <x:v>46051</x:v>
      </x:c>
      <x:c r="I31" s="9" t="n">
        <x:v>3</x:v>
      </x:c>
      <x:c r="J31" s="10" t="n">
        <x:v>404300</x:v>
      </x:c>
      <x:c r="K31" s="10" t="n">
        <x:f>J31/I31</x:f>
        <x:v>134766.66666666666</x:v>
      </x:c>
      <x:c r="L31" s="9" t="n">
        <x:f>DATE(2026,6,30)-H31</x:f>
        <x:v>152</x:v>
      </x:c>
      <x:c r="M31" s="9" t="n">
        <x:f>IF(L31&lt;=60,5,IF(L31&lt;=120,4,IF(L31&lt;=180,3,IF(L31&lt;=240,2,1))))</x:f>
        <x:v>3</x:v>
      </x:c>
      <x:c r="N31" s="9" t="n">
        <x:f>IF(I31&gt;=6,5,IF(I31&gt;=4,4,IF(I31=3,3,IF(I31=2,2,1))))</x:f>
        <x:v>3</x:v>
      </x:c>
      <x:c r="O31" s="9" t="n">
        <x:f>IF(J31&gt;=500000,5,IF(J31&gt;=300000,4,IF(J31&gt;=175000,3,IF(J31&gt;=75000,2,1))))</x:f>
        <x:v>4</x:v>
      </x:c>
      <x:c r="P31" s="7" t="str">
        <x:f>M31&amp;N31&amp;O31</x:f>
        <x:v>334</x:v>
      </x:c>
      <x:c r="Q31" s="7" t="str">
        <x:f>IF(AND(L31&lt;=60,I31&gt;=5,J31&gt;=300000),"Champions",IF(AND(L31&lt;=120,I31&gt;=3),"Loyal Growth",IF(AND(L31&gt;180,J31&gt;=300000),"High Value At Risk",IF(DATE(2026,6,30)-G31&lt;=90,"New Accounts",IF(AND(L31&lt;=120,I31=1),"Promising",IF(L31&lt;=240,"Needs Nurture","Dormant"))))))</x:f>
        <x:v>Needs Nurture</x:v>
      </x:c>
      <x:c r="R31" s="7" t="str">
        <x:f>IF(DATE(2026,6,30)-G31&lt;=90,"New",IF(AND(L31&lt;=120,I31&gt;=2),"Active",IF(I31=1,"One-time",IF(L31&lt;=240,"At Risk","Lapsed"))))</x:f>
        <x:v>At Risk</x:v>
      </x:c>
      <x:c r="S31" s="15" t="str">
        <x:f>IF(Q31="Champions","Invite to advisory program and cross-sell service plans",IF(Q31="Loyal Growth","Prioritize expansion offer and product education",IF(Q31="High Value At Risk","Assign sales recovery outreach within 14 days",IF(Q31="New Accounts","Launch 90-day onboarding and adoption sequence",IF(Q31="Promising","Nurture second purchase with use-case content",IF(Q31="Needs Nurture","Run product-fit review and re-engagement sequence","Move to low-frequency win-back program"))))))</x:f>
        <x:v>Run product-fit review and re-engagement sequence</x:v>
      </x:c>
      <x:c r="T31" s="1"/>
      <x:c r="U31" s="1"/>
      <x:c r="V31" s="1"/>
      <x:c r="W31" s="1"/>
      <x:c r="X31" s="1"/>
      <x:c r="Y31" s="1"/>
      <x:c r="Z31" s="1"/>
    </x:row>
    <x:row r="32">
      <x:c r="A32" s="7" t="str">
        <x:v>ACC-0031</x:v>
      </x:c>
      <x:c r="B32" s="7" t="str">
        <x:v>Frontier Packaging 031</x:v>
      </x:c>
      <x:c r="C32" s="7" t="str">
        <x:v>Northeast</x:v>
      </x:c>
      <x:c r="D32" s="7" t="str">
        <x:v>Food &amp; Beverage</x:v>
      </x:c>
      <x:c r="E32" s="7" t="str">
        <x:v>Mid-market</x:v>
      </x:c>
      <x:c r="F32" s="7" t="str">
        <x:v>LinkedIn</x:v>
      </x:c>
      <x:c r="G32" s="8" t="n">
        <x:v>45391</x:v>
      </x:c>
      <x:c r="H32" s="8" t="n">
        <x:v>45884</x:v>
      </x:c>
      <x:c r="I32" s="9" t="n">
        <x:v>5</x:v>
      </x:c>
      <x:c r="J32" s="10" t="n">
        <x:v>272600</x:v>
      </x:c>
      <x:c r="K32" s="10" t="n">
        <x:f>J32/I32</x:f>
        <x:v>54520</x:v>
      </x:c>
      <x:c r="L32" s="9" t="n">
        <x:f>DATE(2026,6,30)-H32</x:f>
        <x:v>319</x:v>
      </x:c>
      <x:c r="M32" s="9" t="n">
        <x:f>IF(L32&lt;=60,5,IF(L32&lt;=120,4,IF(L32&lt;=180,3,IF(L32&lt;=240,2,1))))</x:f>
        <x:v>1</x:v>
      </x:c>
      <x:c r="N32" s="9" t="n">
        <x:f>IF(I32&gt;=6,5,IF(I32&gt;=4,4,IF(I32=3,3,IF(I32=2,2,1))))</x:f>
        <x:v>4</x:v>
      </x:c>
      <x:c r="O32" s="9" t="n">
        <x:f>IF(J32&gt;=500000,5,IF(J32&gt;=300000,4,IF(J32&gt;=175000,3,IF(J32&gt;=75000,2,1))))</x:f>
        <x:v>3</x:v>
      </x:c>
      <x:c r="P32" s="7" t="str">
        <x:f>M32&amp;N32&amp;O32</x:f>
        <x:v>143</x:v>
      </x:c>
      <x:c r="Q32" s="7" t="str">
        <x:f>IF(AND(L32&lt;=60,I32&gt;=5,J32&gt;=300000),"Champions",IF(AND(L32&lt;=120,I32&gt;=3),"Loyal Growth",IF(AND(L32&gt;180,J32&gt;=300000),"High Value At Risk",IF(DATE(2026,6,30)-G32&lt;=90,"New Accounts",IF(AND(L32&lt;=120,I32=1),"Promising",IF(L32&lt;=240,"Needs Nurture","Dormant"))))))</x:f>
        <x:v>Dormant</x:v>
      </x:c>
      <x:c r="R32" s="7" t="str">
        <x:f>IF(DATE(2026,6,30)-G32&lt;=90,"New",IF(AND(L32&lt;=120,I32&gt;=2),"Active",IF(I32=1,"One-time",IF(L32&lt;=240,"At Risk","Lapsed"))))</x:f>
        <x:v>Lapsed</x:v>
      </x:c>
      <x:c r="S32" s="15" t="str">
        <x:f>IF(Q32="Champions","Invite to advisory program and cross-sell service plans",IF(Q32="Loyal Growth","Prioritize expansion offer and product education",IF(Q32="High Value At Risk","Assign sales recovery outreach within 14 days",IF(Q32="New Accounts","Launch 90-day onboarding and adoption sequence",IF(Q32="Promising","Nurture second purchase with use-case content",IF(Q32="Needs Nurture","Run product-fit review and re-engagement sequence","Move to low-frequency win-back program"))))))</x:f>
        <x:v>Move to low-frequency win-back program</x:v>
      </x:c>
      <x:c r="T32" s="1"/>
      <x:c r="U32" s="1"/>
      <x:c r="V32" s="1"/>
      <x:c r="W32" s="1"/>
      <x:c r="X32" s="1"/>
      <x:c r="Y32" s="1"/>
      <x:c r="Z32" s="1"/>
    </x:row>
    <x:row r="33">
      <x:c r="A33" s="7" t="str">
        <x:v>ACC-0032</x:v>
      </x:c>
      <x:c r="B33" s="7" t="str">
        <x:v>Evergreen Solutions 032</x:v>
      </x:c>
      <x:c r="C33" s="7" t="str">
        <x:v>Northeast</x:v>
      </x:c>
      <x:c r="D33" s="7" t="str">
        <x:v>Food &amp; Beverage</x:v>
      </x:c>
      <x:c r="E33" s="7" t="str">
        <x:v>Small</x:v>
      </x:c>
      <x:c r="F33" s="7" t="str">
        <x:v>Email</x:v>
      </x:c>
      <x:c r="G33" s="8" t="n">
        <x:v>46134</x:v>
      </x:c>
      <x:c r="H33" s="8" t="n">
        <x:v>46180</x:v>
      </x:c>
      <x:c r="I33" s="9" t="n">
        <x:v>2</x:v>
      </x:c>
      <x:c r="J33" s="10" t="n">
        <x:v>198500</x:v>
      </x:c>
      <x:c r="K33" s="10" t="n">
        <x:f>J33/I33</x:f>
        <x:v>99250</x:v>
      </x:c>
      <x:c r="L33" s="9" t="n">
        <x:f>DATE(2026,6,30)-H33</x:f>
        <x:v>23</x:v>
      </x:c>
      <x:c r="M33" s="9" t="n">
        <x:f>IF(L33&lt;=60,5,IF(L33&lt;=120,4,IF(L33&lt;=180,3,IF(L33&lt;=240,2,1))))</x:f>
        <x:v>5</x:v>
      </x:c>
      <x:c r="N33" s="9" t="n">
        <x:f>IF(I33&gt;=6,5,IF(I33&gt;=4,4,IF(I33=3,3,IF(I33=2,2,1))))</x:f>
        <x:v>2</x:v>
      </x:c>
      <x:c r="O33" s="9" t="n">
        <x:f>IF(J33&gt;=500000,5,IF(J33&gt;=300000,4,IF(J33&gt;=175000,3,IF(J33&gt;=75000,2,1))))</x:f>
        <x:v>3</x:v>
      </x:c>
      <x:c r="P33" s="7" t="str">
        <x:f>M33&amp;N33&amp;O33</x:f>
        <x:v>523</x:v>
      </x:c>
      <x:c r="Q33" s="7" t="str">
        <x:f>IF(AND(L33&lt;=60,I33&gt;=5,J33&gt;=300000),"Champions",IF(AND(L33&lt;=120,I33&gt;=3),"Loyal Growth",IF(AND(L33&gt;180,J33&gt;=300000),"High Value At Risk",IF(DATE(2026,6,30)-G33&lt;=90,"New Accounts",IF(AND(L33&lt;=120,I33=1),"Promising",IF(L33&lt;=240,"Needs Nurture","Dormant"))))))</x:f>
        <x:v>New Accounts</x:v>
      </x:c>
      <x:c r="R33" s="7" t="str">
        <x:f>IF(DATE(2026,6,30)-G33&lt;=90,"New",IF(AND(L33&lt;=120,I33&gt;=2),"Active",IF(I33=1,"One-time",IF(L33&lt;=240,"At Risk","Lapsed"))))</x:f>
        <x:v>New</x:v>
      </x:c>
      <x:c r="S33" s="15" t="str">
        <x:f>IF(Q33="Champions","Invite to advisory program and cross-sell service plans",IF(Q33="Loyal Growth","Prioritize expansion offer and product education",IF(Q33="High Value At Risk","Assign sales recovery outreach within 14 days",IF(Q33="New Accounts","Launch 90-day onboarding and adoption sequence",IF(Q33="Promising","Nurture second purchase with use-case content",IF(Q33="Needs Nurture","Run product-fit review and re-engagement sequence","Move to low-frequency win-back program"))))))</x:f>
        <x:v>Launch 90-day onboarding and adoption sequence</x:v>
      </x:c>
      <x:c r="T33" s="1"/>
      <x:c r="U33" s="1"/>
      <x:c r="V33" s="1"/>
      <x:c r="W33" s="1"/>
      <x:c r="X33" s="1"/>
      <x:c r="Y33" s="1"/>
      <x:c r="Z33" s="1"/>
    </x:row>
    <x:row r="34">
      <x:c r="A34" s="7" t="str">
        <x:v>ACC-0033</x:v>
      </x:c>
      <x:c r="B34" s="7" t="str">
        <x:v>Keystone Manufacturing 033</x:v>
      </x:c>
      <x:c r="C34" s="7" t="str">
        <x:v>South</x:v>
      </x:c>
      <x:c r="D34" s="7" t="str">
        <x:v>Pharmaceuticals</x:v>
      </x:c>
      <x:c r="E34" s="7" t="str">
        <x:v>Mid-market</x:v>
      </x:c>
      <x:c r="F34" s="7" t="str">
        <x:v>Google Search</x:v>
      </x:c>
      <x:c r="G34" s="8" t="n">
        <x:v>45430</x:v>
      </x:c>
      <x:c r="H34" s="8" t="n">
        <x:v>45737</x:v>
      </x:c>
      <x:c r="I34" s="9" t="n">
        <x:v>2</x:v>
      </x:c>
      <x:c r="J34" s="10" t="n">
        <x:v>312300</x:v>
      </x:c>
      <x:c r="K34" s="10" t="n">
        <x:f>J34/I34</x:f>
        <x:v>156150</x:v>
      </x:c>
      <x:c r="L34" s="9" t="n">
        <x:f>DATE(2026,6,30)-H34</x:f>
        <x:v>466</x:v>
      </x:c>
      <x:c r="M34" s="9" t="n">
        <x:f>IF(L34&lt;=60,5,IF(L34&lt;=120,4,IF(L34&lt;=180,3,IF(L34&lt;=240,2,1))))</x:f>
        <x:v>1</x:v>
      </x:c>
      <x:c r="N34" s="9" t="n">
        <x:f>IF(I34&gt;=6,5,IF(I34&gt;=4,4,IF(I34=3,3,IF(I34=2,2,1))))</x:f>
        <x:v>2</x:v>
      </x:c>
      <x:c r="O34" s="9" t="n">
        <x:f>IF(J34&gt;=500000,5,IF(J34&gt;=300000,4,IF(J34&gt;=175000,3,IF(J34&gt;=75000,2,1))))</x:f>
        <x:v>4</x:v>
      </x:c>
      <x:c r="P34" s="7" t="str">
        <x:f>M34&amp;N34&amp;O34</x:f>
        <x:v>124</x:v>
      </x:c>
      <x:c r="Q34" s="7" t="str">
        <x:f>IF(AND(L34&lt;=60,I34&gt;=5,J34&gt;=300000),"Champions",IF(AND(L34&lt;=120,I34&gt;=3),"Loyal Growth",IF(AND(L34&gt;180,J34&gt;=300000),"High Value At Risk",IF(DATE(2026,6,30)-G34&lt;=90,"New Accounts",IF(AND(L34&lt;=120,I34=1),"Promising",IF(L34&lt;=240,"Needs Nurture","Dormant"))))))</x:f>
        <x:v>High Value At Risk</x:v>
      </x:c>
      <x:c r="R34" s="7" t="str">
        <x:f>IF(DATE(2026,6,30)-G34&lt;=90,"New",IF(AND(L34&lt;=120,I34&gt;=2),"Active",IF(I34=1,"One-time",IF(L34&lt;=240,"At Risk","Lapsed"))))</x:f>
        <x:v>Lapsed</x:v>
      </x:c>
      <x:c r="S34" s="15" t="str">
        <x:f>IF(Q34="Champions","Invite to advisory program and cross-sell service plans",IF(Q34="Loyal Growth","Prioritize expansion offer and product education",IF(Q34="High Value At Risk","Assign sales recovery outreach within 14 days",IF(Q34="New Accounts","Launch 90-day onboarding and adoption sequence",IF(Q34="Promising","Nurture second purchase with use-case content",IF(Q34="Needs Nurture","Run product-fit review and re-engagement sequence","Move to low-frequency win-back program"))))))</x:f>
        <x:v>Assign sales recovery outreach within 14 days</x:v>
      </x:c>
      <x:c r="T34" s="1"/>
      <x:c r="U34" s="1"/>
      <x:c r="V34" s="1"/>
      <x:c r="W34" s="1"/>
      <x:c r="X34" s="1"/>
      <x:c r="Y34" s="1"/>
      <x:c r="Z34" s="1"/>
    </x:row>
    <x:row r="35">
      <x:c r="A35" s="7" t="str">
        <x:v>ACC-0034</x:v>
      </x:c>
      <x:c r="B35" s="7" t="str">
        <x:v>Granite Foods 034</x:v>
      </x:c>
      <x:c r="C35" s="7" t="str">
        <x:v>West</x:v>
      </x:c>
      <x:c r="D35" s="7" t="str">
        <x:v>Consumer Goods</x:v>
      </x:c>
      <x:c r="E35" s="7" t="str">
        <x:v>Small</x:v>
      </x:c>
      <x:c r="F35" s="7" t="str">
        <x:v>Google Search</x:v>
      </x:c>
      <x:c r="G35" s="8" t="n">
        <x:v>45571</x:v>
      </x:c>
      <x:c r="H35" s="8" t="n">
        <x:v>45771</x:v>
      </x:c>
      <x:c r="I35" s="9" t="n">
        <x:v>2</x:v>
      </x:c>
      <x:c r="J35" s="10" t="n">
        <x:v>182500</x:v>
      </x:c>
      <x:c r="K35" s="10" t="n">
        <x:f>J35/I35</x:f>
        <x:v>91250</x:v>
      </x:c>
      <x:c r="L35" s="9" t="n">
        <x:f>DATE(2026,6,30)-H35</x:f>
        <x:v>432</x:v>
      </x:c>
      <x:c r="M35" s="9" t="n">
        <x:f>IF(L35&lt;=60,5,IF(L35&lt;=120,4,IF(L35&lt;=180,3,IF(L35&lt;=240,2,1))))</x:f>
        <x:v>1</x:v>
      </x:c>
      <x:c r="N35" s="9" t="n">
        <x:f>IF(I35&gt;=6,5,IF(I35&gt;=4,4,IF(I35=3,3,IF(I35=2,2,1))))</x:f>
        <x:v>2</x:v>
      </x:c>
      <x:c r="O35" s="9" t="n">
        <x:f>IF(J35&gt;=500000,5,IF(J35&gt;=300000,4,IF(J35&gt;=175000,3,IF(J35&gt;=75000,2,1))))</x:f>
        <x:v>3</x:v>
      </x:c>
      <x:c r="P35" s="7" t="str">
        <x:f>M35&amp;N35&amp;O35</x:f>
        <x:v>123</x:v>
      </x:c>
      <x:c r="Q35" s="7" t="str">
        <x:f>IF(AND(L35&lt;=60,I35&gt;=5,J35&gt;=300000),"Champions",IF(AND(L35&lt;=120,I35&gt;=3),"Loyal Growth",IF(AND(L35&gt;180,J35&gt;=300000),"High Value At Risk",IF(DATE(2026,6,30)-G35&lt;=90,"New Accounts",IF(AND(L35&lt;=120,I35=1),"Promising",IF(L35&lt;=240,"Needs Nurture","Dormant"))))))</x:f>
        <x:v>Dormant</x:v>
      </x:c>
      <x:c r="R35" s="7" t="str">
        <x:f>IF(DATE(2026,6,30)-G35&lt;=90,"New",IF(AND(L35&lt;=120,I35&gt;=2),"Active",IF(I35=1,"One-time",IF(L35&lt;=240,"At Risk","Lapsed"))))</x:f>
        <x:v>Lapsed</x:v>
      </x:c>
      <x:c r="S35" s="15" t="str">
        <x:f>IF(Q35="Champions","Invite to advisory program and cross-sell service plans",IF(Q35="Loyal Growth","Prioritize expansion offer and product education",IF(Q35="High Value At Risk","Assign sales recovery outreach within 14 days",IF(Q35="New Accounts","Launch 90-day onboarding and adoption sequence",IF(Q35="Promising","Nurture second purchase with use-case content",IF(Q35="Needs Nurture","Run product-fit review and re-engagement sequence","Move to low-frequency win-back program"))))))</x:f>
        <x:v>Move to low-frequency win-back program</x:v>
      </x:c>
      <x:c r="T35" s="1"/>
      <x:c r="U35" s="1"/>
      <x:c r="V35" s="1"/>
      <x:c r="W35" s="1"/>
      <x:c r="X35" s="1"/>
      <x:c r="Y35" s="1"/>
      <x:c r="Z35" s="1"/>
    </x:row>
    <x:row r="36">
      <x:c r="A36" s="7" t="str">
        <x:v>ACC-0035</x:v>
      </x:c>
      <x:c r="B36" s="7" t="str">
        <x:v>Vertex Products 035</x:v>
      </x:c>
      <x:c r="C36" s="7" t="str">
        <x:v>West</x:v>
      </x:c>
      <x:c r="D36" s="7" t="str">
        <x:v>Consumer Goods</x:v>
      </x:c>
      <x:c r="E36" s="7" t="str">
        <x:v>Small</x:v>
      </x:c>
      <x:c r="F36" s="7" t="str">
        <x:v>Trade Show</x:v>
      </x:c>
      <x:c r="G36" s="8" t="n">
        <x:v>45966</x:v>
      </x:c>
      <x:c r="H36" s="8" t="n">
        <x:v>46202</x:v>
      </x:c>
      <x:c r="I36" s="9" t="n">
        <x:v>3</x:v>
      </x:c>
      <x:c r="J36" s="10" t="n">
        <x:v>393500</x:v>
      </x:c>
      <x:c r="K36" s="10" t="n">
        <x:f>J36/I36</x:f>
        <x:v>131166.66666666666</x:v>
      </x:c>
      <x:c r="L36" s="9" t="n">
        <x:f>DATE(2026,6,30)-H36</x:f>
        <x:v>1</x:v>
      </x:c>
      <x:c r="M36" s="9" t="n">
        <x:f>IF(L36&lt;=60,5,IF(L36&lt;=120,4,IF(L36&lt;=180,3,IF(L36&lt;=240,2,1))))</x:f>
        <x:v>5</x:v>
      </x:c>
      <x:c r="N36" s="9" t="n">
        <x:f>IF(I36&gt;=6,5,IF(I36&gt;=4,4,IF(I36=3,3,IF(I36=2,2,1))))</x:f>
        <x:v>3</x:v>
      </x:c>
      <x:c r="O36" s="9" t="n">
        <x:f>IF(J36&gt;=500000,5,IF(J36&gt;=300000,4,IF(J36&gt;=175000,3,IF(J36&gt;=75000,2,1))))</x:f>
        <x:v>4</x:v>
      </x:c>
      <x:c r="P36" s="7" t="str">
        <x:f>M36&amp;N36&amp;O36</x:f>
        <x:v>534</x:v>
      </x:c>
      <x:c r="Q36" s="7" t="str">
        <x:f>IF(AND(L36&lt;=60,I36&gt;=5,J36&gt;=300000),"Champions",IF(AND(L36&lt;=120,I36&gt;=3),"Loyal Growth",IF(AND(L36&gt;180,J36&gt;=300000),"High Value At Risk",IF(DATE(2026,6,30)-G36&lt;=90,"New Accounts",IF(AND(L36&lt;=120,I36=1),"Promising",IF(L36&lt;=240,"Needs Nurture","Dormant"))))))</x:f>
        <x:v>Loyal Growth</x:v>
      </x:c>
      <x:c r="R36" s="7" t="str">
        <x:f>IF(DATE(2026,6,30)-G36&lt;=90,"New",IF(AND(L36&lt;=120,I36&gt;=2),"Active",IF(I36=1,"One-time",IF(L36&lt;=240,"At Risk","Lapsed"))))</x:f>
        <x:v>Active</x:v>
      </x:c>
      <x:c r="S36" s="15" t="str">
        <x:f>IF(Q36="Champions","Invite to advisory program and cross-sell service plans",IF(Q36="Loyal Growth","Prioritize expansion offer and product education",IF(Q36="High Value At Risk","Assign sales recovery outreach within 14 days",IF(Q36="New Accounts","Launch 90-day onboarding and adoption sequence",IF(Q36="Promising","Nurture second purchase with use-case content",IF(Q36="Needs Nurture","Run product-fit review and re-engagement sequence","Move to low-frequency win-back program"))))))</x:f>
        <x:v>Prioritize expansion offer and product education</x:v>
      </x:c>
      <x:c r="T36" s="1"/>
      <x:c r="U36" s="1"/>
      <x:c r="V36" s="1"/>
      <x:c r="W36" s="1"/>
      <x:c r="X36" s="1"/>
      <x:c r="Y36" s="1"/>
      <x:c r="Z36" s="1"/>
    </x:row>
    <x:row r="37">
      <x:c r="A37" s="7" t="str">
        <x:v>ACC-0036</x:v>
      </x:c>
      <x:c r="B37" s="7" t="str">
        <x:v>Crest Solutions 036</x:v>
      </x:c>
      <x:c r="C37" s="7" t="str">
        <x:v>West</x:v>
      </x:c>
      <x:c r="D37" s="7" t="str">
        <x:v>Consumer Goods</x:v>
      </x:c>
      <x:c r="E37" s="7" t="str">
        <x:v>Mid-market</x:v>
      </x:c>
      <x:c r="F37" s="7" t="str">
        <x:v>Trade Show</x:v>
      </x:c>
      <x:c r="G37" s="8" t="n">
        <x:v>45895</x:v>
      </x:c>
      <x:c r="H37" s="8" t="n">
        <x:v>46187</x:v>
      </x:c>
      <x:c r="I37" s="9" t="n">
        <x:v>4</x:v>
      </x:c>
      <x:c r="J37" s="10" t="n">
        <x:v>484500</x:v>
      </x:c>
      <x:c r="K37" s="10" t="n">
        <x:f>J37/I37</x:f>
        <x:v>121125</x:v>
      </x:c>
      <x:c r="L37" s="9" t="n">
        <x:f>DATE(2026,6,30)-H37</x:f>
        <x:v>16</x:v>
      </x:c>
      <x:c r="M37" s="9" t="n">
        <x:f>IF(L37&lt;=60,5,IF(L37&lt;=120,4,IF(L37&lt;=180,3,IF(L37&lt;=240,2,1))))</x:f>
        <x:v>5</x:v>
      </x:c>
      <x:c r="N37" s="9" t="n">
        <x:f>IF(I37&gt;=6,5,IF(I37&gt;=4,4,IF(I37=3,3,IF(I37=2,2,1))))</x:f>
        <x:v>4</x:v>
      </x:c>
      <x:c r="O37" s="9" t="n">
        <x:f>IF(J37&gt;=500000,5,IF(J37&gt;=300000,4,IF(J37&gt;=175000,3,IF(J37&gt;=75000,2,1))))</x:f>
        <x:v>4</x:v>
      </x:c>
      <x:c r="P37" s="7" t="str">
        <x:f>M37&amp;N37&amp;O37</x:f>
        <x:v>544</x:v>
      </x:c>
      <x:c r="Q37" s="7" t="str">
        <x:f>IF(AND(L37&lt;=60,I37&gt;=5,J37&gt;=300000),"Champions",IF(AND(L37&lt;=120,I37&gt;=3),"Loyal Growth",IF(AND(L37&gt;180,J37&gt;=300000),"High Value At Risk",IF(DATE(2026,6,30)-G37&lt;=90,"New Accounts",IF(AND(L37&lt;=120,I37=1),"Promising",IF(L37&lt;=240,"Needs Nurture","Dormant"))))))</x:f>
        <x:v>Loyal Growth</x:v>
      </x:c>
      <x:c r="R37" s="7" t="str">
        <x:f>IF(DATE(2026,6,30)-G37&lt;=90,"New",IF(AND(L37&lt;=120,I37&gt;=2),"Active",IF(I37=1,"One-time",IF(L37&lt;=240,"At Risk","Lapsed"))))</x:f>
        <x:v>Active</x:v>
      </x:c>
      <x:c r="S37" s="15" t="str">
        <x:f>IF(Q37="Champions","Invite to advisory program and cross-sell service plans",IF(Q37="Loyal Growth","Prioritize expansion offer and product education",IF(Q37="High Value At Risk","Assign sales recovery outreach within 14 days",IF(Q37="New Accounts","Launch 90-day onboarding and adoption sequence",IF(Q37="Promising","Nurture second purchase with use-case content",IF(Q37="Needs Nurture","Run product-fit review and re-engagement sequence","Move to low-frequency win-back program"))))))</x:f>
        <x:v>Prioritize expansion offer and product education</x:v>
      </x:c>
      <x:c r="T37" s="1"/>
      <x:c r="U37" s="1"/>
      <x:c r="V37" s="1"/>
      <x:c r="W37" s="1"/>
      <x:c r="X37" s="1"/>
      <x:c r="Y37" s="1"/>
      <x:c r="Z37" s="1"/>
    </x:row>
    <x:row r="38">
      <x:c r="A38" s="7" t="str">
        <x:v>ACC-0037</x:v>
      </x:c>
      <x:c r="B38" s="7" t="str">
        <x:v>Vertex Products 037</x:v>
      </x:c>
      <x:c r="C38" s="7" t="str">
        <x:v>Northeast</x:v>
      </x:c>
      <x:c r="D38" s="7" t="str">
        <x:v>Pharmaceuticals</x:v>
      </x:c>
      <x:c r="E38" s="7" t="str">
        <x:v>Mid-market</x:v>
      </x:c>
      <x:c r="F38" s="7" t="str">
        <x:v>Google Search</x:v>
      </x:c>
      <x:c r="G38" s="8" t="n">
        <x:v>45589</x:v>
      </x:c>
      <x:c r="H38" s="8" t="n">
        <x:v>46102</x:v>
      </x:c>
      <x:c r="I38" s="9" t="n">
        <x:v>6</x:v>
      </x:c>
      <x:c r="J38" s="10" t="n">
        <x:v>607800</x:v>
      </x:c>
      <x:c r="K38" s="10" t="n">
        <x:f>J38/I38</x:f>
        <x:v>101300</x:v>
      </x:c>
      <x:c r="L38" s="9" t="n">
        <x:f>DATE(2026,6,30)-H38</x:f>
        <x:v>101</x:v>
      </x:c>
      <x:c r="M38" s="9" t="n">
        <x:f>IF(L38&lt;=60,5,IF(L38&lt;=120,4,IF(L38&lt;=180,3,IF(L38&lt;=240,2,1))))</x:f>
        <x:v>4</x:v>
      </x:c>
      <x:c r="N38" s="9" t="n">
        <x:f>IF(I38&gt;=6,5,IF(I38&gt;=4,4,IF(I38=3,3,IF(I38=2,2,1))))</x:f>
        <x:v>5</x:v>
      </x:c>
      <x:c r="O38" s="9" t="n">
        <x:f>IF(J38&gt;=500000,5,IF(J38&gt;=300000,4,IF(J38&gt;=175000,3,IF(J38&gt;=75000,2,1))))</x:f>
        <x:v>5</x:v>
      </x:c>
      <x:c r="P38" s="7" t="str">
        <x:f>M38&amp;N38&amp;O38</x:f>
        <x:v>455</x:v>
      </x:c>
      <x:c r="Q38" s="7" t="str">
        <x:f>IF(AND(L38&lt;=60,I38&gt;=5,J38&gt;=300000),"Champions",IF(AND(L38&lt;=120,I38&gt;=3),"Loyal Growth",IF(AND(L38&gt;180,J38&gt;=300000),"High Value At Risk",IF(DATE(2026,6,30)-G38&lt;=90,"New Accounts",IF(AND(L38&lt;=120,I38=1),"Promising",IF(L38&lt;=240,"Needs Nurture","Dormant"))))))</x:f>
        <x:v>Loyal Growth</x:v>
      </x:c>
      <x:c r="R38" s="7" t="str">
        <x:f>IF(DATE(2026,6,30)-G38&lt;=90,"New",IF(AND(L38&lt;=120,I38&gt;=2),"Active",IF(I38=1,"One-time",IF(L38&lt;=240,"At Risk","Lapsed"))))</x:f>
        <x:v>Active</x:v>
      </x:c>
      <x:c r="S38" s="15" t="str">
        <x:f>IF(Q38="Champions","Invite to advisory program and cross-sell service plans",IF(Q38="Loyal Growth","Prioritize expansion offer and product education",IF(Q38="High Value At Risk","Assign sales recovery outreach within 14 days",IF(Q38="New Accounts","Launch 90-day onboarding and adoption sequence",IF(Q38="Promising","Nurture second purchase with use-case content",IF(Q38="Needs Nurture","Run product-fit review and re-engagement sequence","Move to low-frequency win-back program"))))))</x:f>
        <x:v>Prioritize expansion offer and product education</x:v>
      </x:c>
      <x:c r="T38" s="1"/>
      <x:c r="U38" s="1"/>
      <x:c r="V38" s="1"/>
      <x:c r="W38" s="1"/>
      <x:c r="X38" s="1"/>
      <x:c r="Y38" s="1"/>
      <x:c r="Z38" s="1"/>
    </x:row>
    <x:row r="39">
      <x:c r="A39" s="7" t="str">
        <x:v>ACC-0038</x:v>
      </x:c>
      <x:c r="B39" s="7" t="str">
        <x:v>Granite Industries 038</x:v>
      </x:c>
      <x:c r="C39" s="7" t="str">
        <x:v>West</x:v>
      </x:c>
      <x:c r="D39" s="7" t="str">
        <x:v>Consumer Goods</x:v>
      </x:c>
      <x:c r="E39" s="7" t="str">
        <x:v>Enterprise</x:v>
      </x:c>
      <x:c r="F39" s="7" t="str">
        <x:v>Trade Show</x:v>
      </x:c>
      <x:c r="G39" s="8" t="n">
        <x:v>45927</x:v>
      </x:c>
      <x:c r="H39" s="8" t="n">
        <x:v>46138</x:v>
      </x:c>
      <x:c r="I39" s="9" t="n">
        <x:v>4</x:v>
      </x:c>
      <x:c r="J39" s="10" t="n">
        <x:v>308900</x:v>
      </x:c>
      <x:c r="K39" s="10" t="n">
        <x:f>J39/I39</x:f>
        <x:v>77225</x:v>
      </x:c>
      <x:c r="L39" s="9" t="n">
        <x:f>DATE(2026,6,30)-H39</x:f>
        <x:v>65</x:v>
      </x:c>
      <x:c r="M39" s="9" t="n">
        <x:f>IF(L39&lt;=60,5,IF(L39&lt;=120,4,IF(L39&lt;=180,3,IF(L39&lt;=240,2,1))))</x:f>
        <x:v>4</x:v>
      </x:c>
      <x:c r="N39" s="9" t="n">
        <x:f>IF(I39&gt;=6,5,IF(I39&gt;=4,4,IF(I39=3,3,IF(I39=2,2,1))))</x:f>
        <x:v>4</x:v>
      </x:c>
      <x:c r="O39" s="9" t="n">
        <x:f>IF(J39&gt;=500000,5,IF(J39&gt;=300000,4,IF(J39&gt;=175000,3,IF(J39&gt;=75000,2,1))))</x:f>
        <x:v>4</x:v>
      </x:c>
      <x:c r="P39" s="7" t="str">
        <x:f>M39&amp;N39&amp;O39</x:f>
        <x:v>444</x:v>
      </x:c>
      <x:c r="Q39" s="7" t="str">
        <x:f>IF(AND(L39&lt;=60,I39&gt;=5,J39&gt;=300000),"Champions",IF(AND(L39&lt;=120,I39&gt;=3),"Loyal Growth",IF(AND(L39&gt;180,J39&gt;=300000),"High Value At Risk",IF(DATE(2026,6,30)-G39&lt;=90,"New Accounts",IF(AND(L39&lt;=120,I39=1),"Promising",IF(L39&lt;=240,"Needs Nurture","Dormant"))))))</x:f>
        <x:v>Loyal Growth</x:v>
      </x:c>
      <x:c r="R39" s="7" t="str">
        <x:f>IF(DATE(2026,6,30)-G39&lt;=90,"New",IF(AND(L39&lt;=120,I39&gt;=2),"Active",IF(I39=1,"One-time",IF(L39&lt;=240,"At Risk","Lapsed"))))</x:f>
        <x:v>Active</x:v>
      </x:c>
      <x:c r="S39" s="15" t="str">
        <x:f>IF(Q39="Champions","Invite to advisory program and cross-sell service plans",IF(Q39="Loyal Growth","Prioritize expansion offer and product education",IF(Q39="High Value At Risk","Assign sales recovery outreach within 14 days",IF(Q39="New Accounts","Launch 90-day onboarding and adoption sequence",IF(Q39="Promising","Nurture second purchase with use-case content",IF(Q39="Needs Nurture","Run product-fit review and re-engagement sequence","Move to low-frequency win-back program"))))))</x:f>
        <x:v>Prioritize expansion offer and product education</x:v>
      </x:c>
      <x:c r="T39" s="1"/>
      <x:c r="U39" s="1"/>
      <x:c r="V39" s="1"/>
      <x:c r="W39" s="1"/>
      <x:c r="X39" s="1"/>
      <x:c r="Y39" s="1"/>
      <x:c r="Z39" s="1"/>
    </x:row>
    <x:row r="40">
      <x:c r="A40" s="7" t="str">
        <x:v>ACC-0039</x:v>
      </x:c>
      <x:c r="B40" s="7" t="str">
        <x:v>Apex Solutions 039</x:v>
      </x:c>
      <x:c r="C40" s="7" t="str">
        <x:v>South</x:v>
      </x:c>
      <x:c r="D40" s="7" t="str">
        <x:v>Contract Packaging</x:v>
      </x:c>
      <x:c r="E40" s="7" t="str">
        <x:v>Enterprise</x:v>
      </x:c>
      <x:c r="F40" s="7" t="str">
        <x:v>Partner Referral</x:v>
      </x:c>
      <x:c r="G40" s="8" t="n">
        <x:v>45312</x:v>
      </x:c>
      <x:c r="H40" s="8" t="n">
        <x:v>46124</x:v>
      </x:c>
      <x:c r="I40" s="9" t="n">
        <x:v>8</x:v>
      </x:c>
      <x:c r="J40" s="10" t="n">
        <x:v>1030400</x:v>
      </x:c>
      <x:c r="K40" s="10" t="n">
        <x:f>J40/I40</x:f>
        <x:v>128800</x:v>
      </x:c>
      <x:c r="L40" s="9" t="n">
        <x:f>DATE(2026,6,30)-H40</x:f>
        <x:v>79</x:v>
      </x:c>
      <x:c r="M40" s="9" t="n">
        <x:f>IF(L40&lt;=60,5,IF(L40&lt;=120,4,IF(L40&lt;=180,3,IF(L40&lt;=240,2,1))))</x:f>
        <x:v>4</x:v>
      </x:c>
      <x:c r="N40" s="9" t="n">
        <x:f>IF(I40&gt;=6,5,IF(I40&gt;=4,4,IF(I40=3,3,IF(I40=2,2,1))))</x:f>
        <x:v>5</x:v>
      </x:c>
      <x:c r="O40" s="9" t="n">
        <x:f>IF(J40&gt;=500000,5,IF(J40&gt;=300000,4,IF(J40&gt;=175000,3,IF(J40&gt;=75000,2,1))))</x:f>
        <x:v>5</x:v>
      </x:c>
      <x:c r="P40" s="7" t="str">
        <x:f>M40&amp;N40&amp;O40</x:f>
        <x:v>455</x:v>
      </x:c>
      <x:c r="Q40" s="7" t="str">
        <x:f>IF(AND(L40&lt;=60,I40&gt;=5,J40&gt;=300000),"Champions",IF(AND(L40&lt;=120,I40&gt;=3),"Loyal Growth",IF(AND(L40&gt;180,J40&gt;=300000),"High Value At Risk",IF(DATE(2026,6,30)-G40&lt;=90,"New Accounts",IF(AND(L40&lt;=120,I40=1),"Promising",IF(L40&lt;=240,"Needs Nurture","Dormant"))))))</x:f>
        <x:v>Loyal Growth</x:v>
      </x:c>
      <x:c r="R40" s="7" t="str">
        <x:f>IF(DATE(2026,6,30)-G40&lt;=90,"New",IF(AND(L40&lt;=120,I40&gt;=2),"Active",IF(I40=1,"One-time",IF(L40&lt;=240,"At Risk","Lapsed"))))</x:f>
        <x:v>Active</x:v>
      </x:c>
      <x:c r="S40" s="15" t="str">
        <x:f>IF(Q40="Champions","Invite to advisory program and cross-sell service plans",IF(Q40="Loyal Growth","Prioritize expansion offer and product education",IF(Q40="High Value At Risk","Assign sales recovery outreach within 14 days",IF(Q40="New Accounts","Launch 90-day onboarding and adoption sequence",IF(Q40="Promising","Nurture second purchase with use-case content",IF(Q40="Needs Nurture","Run product-fit review and re-engagement sequence","Move to low-frequency win-back program"))))))</x:f>
        <x:v>Prioritize expansion offer and product education</x:v>
      </x:c>
      <x:c r="T40" s="1"/>
      <x:c r="U40" s="1"/>
      <x:c r="V40" s="1"/>
      <x:c r="W40" s="1"/>
      <x:c r="X40" s="1"/>
      <x:c r="Y40" s="1"/>
      <x:c r="Z40" s="1"/>
    </x:row>
    <x:row r="41">
      <x:c r="A41" s="7" t="str">
        <x:v>ACC-0040</x:v>
      </x:c>
      <x:c r="B41" s="7" t="str">
        <x:v>Granite Products 040</x:v>
      </x:c>
      <x:c r="C41" s="7" t="str">
        <x:v>Midwest</x:v>
      </x:c>
      <x:c r="D41" s="7" t="str">
        <x:v>Food &amp; Beverage</x:v>
      </x:c>
      <x:c r="E41" s="7" t="str">
        <x:v>Mid-market</x:v>
      </x:c>
      <x:c r="F41" s="7" t="str">
        <x:v>Email</x:v>
      </x:c>
      <x:c r="G41" s="8" t="n">
        <x:v>45721</x:v>
      </x:c>
      <x:c r="H41" s="8" t="n">
        <x:v>46066</x:v>
      </x:c>
      <x:c r="I41" s="9" t="n">
        <x:v>6</x:v>
      </x:c>
      <x:c r="J41" s="10" t="n">
        <x:v>765300</x:v>
      </x:c>
      <x:c r="K41" s="10" t="n">
        <x:f>J41/I41</x:f>
        <x:v>127550</x:v>
      </x:c>
      <x:c r="L41" s="9" t="n">
        <x:f>DATE(2026,6,30)-H41</x:f>
        <x:v>137</x:v>
      </x:c>
      <x:c r="M41" s="9" t="n">
        <x:f>IF(L41&lt;=60,5,IF(L41&lt;=120,4,IF(L41&lt;=180,3,IF(L41&lt;=240,2,1))))</x:f>
        <x:v>3</x:v>
      </x:c>
      <x:c r="N41" s="9" t="n">
        <x:f>IF(I41&gt;=6,5,IF(I41&gt;=4,4,IF(I41=3,3,IF(I41=2,2,1))))</x:f>
        <x:v>5</x:v>
      </x:c>
      <x:c r="O41" s="9" t="n">
        <x:f>IF(J41&gt;=500000,5,IF(J41&gt;=300000,4,IF(J41&gt;=175000,3,IF(J41&gt;=75000,2,1))))</x:f>
        <x:v>5</x:v>
      </x:c>
      <x:c r="P41" s="7" t="str">
        <x:f>M41&amp;N41&amp;O41</x:f>
        <x:v>355</x:v>
      </x:c>
      <x:c r="Q41" s="7" t="str">
        <x:f>IF(AND(L41&lt;=60,I41&gt;=5,J41&gt;=300000),"Champions",IF(AND(L41&lt;=120,I41&gt;=3),"Loyal Growth",IF(AND(L41&gt;180,J41&gt;=300000),"High Value At Risk",IF(DATE(2026,6,30)-G41&lt;=90,"New Accounts",IF(AND(L41&lt;=120,I41=1),"Promising",IF(L41&lt;=240,"Needs Nurture","Dormant"))))))</x:f>
        <x:v>Needs Nurture</x:v>
      </x:c>
      <x:c r="R41" s="7" t="str">
        <x:f>IF(DATE(2026,6,30)-G41&lt;=90,"New",IF(AND(L41&lt;=120,I41&gt;=2),"Active",IF(I41=1,"One-time",IF(L41&lt;=240,"At Risk","Lapsed"))))</x:f>
        <x:v>At Risk</x:v>
      </x:c>
      <x:c r="S41" s="15" t="str">
        <x:f>IF(Q41="Champions","Invite to advisory program and cross-sell service plans",IF(Q41="Loyal Growth","Prioritize expansion offer and product education",IF(Q41="High Value At Risk","Assign sales recovery outreach within 14 days",IF(Q41="New Accounts","Launch 90-day onboarding and adoption sequence",IF(Q41="Promising","Nurture second purchase with use-case content",IF(Q41="Needs Nurture","Run product-fit review and re-engagement sequence","Move to low-frequency win-back program"))))))</x:f>
        <x:v>Run product-fit review and re-engagement sequence</x:v>
      </x:c>
      <x:c r="T41" s="1"/>
      <x:c r="U41" s="1"/>
      <x:c r="V41" s="1"/>
      <x:c r="W41" s="1"/>
      <x:c r="X41" s="1"/>
      <x:c r="Y41" s="1"/>
      <x:c r="Z41" s="1"/>
    </x:row>
    <x:row r="42">
      <x:c r="A42" s="7" t="str">
        <x:v>ACC-0041</x:v>
      </x:c>
      <x:c r="B42" s="7" t="str">
        <x:v>Evergreen Brands 041</x:v>
      </x:c>
      <x:c r="C42" s="7" t="str">
        <x:v>Midwest</x:v>
      </x:c>
      <x:c r="D42" s="7" t="str">
        <x:v>Industrial Products</x:v>
      </x:c>
      <x:c r="E42" s="7" t="str">
        <x:v>Mid-market</x:v>
      </x:c>
      <x:c r="F42" s="7" t="str">
        <x:v>Partner Referral</x:v>
      </x:c>
      <x:c r="G42" s="8" t="n">
        <x:v>46172</x:v>
      </x:c>
      <x:c r="H42" s="8" t="n">
        <x:v>46194</x:v>
      </x:c>
      <x:c r="I42" s="9" t="n">
        <x:v>2</x:v>
      </x:c>
      <x:c r="J42" s="10" t="n">
        <x:v>205200</x:v>
      </x:c>
      <x:c r="K42" s="10" t="n">
        <x:f>J42/I42</x:f>
        <x:v>102600</x:v>
      </x:c>
      <x:c r="L42" s="9" t="n">
        <x:f>DATE(2026,6,30)-H42</x:f>
        <x:v>9</x:v>
      </x:c>
      <x:c r="M42" s="9" t="n">
        <x:f>IF(L42&lt;=60,5,IF(L42&lt;=120,4,IF(L42&lt;=180,3,IF(L42&lt;=240,2,1))))</x:f>
        <x:v>5</x:v>
      </x:c>
      <x:c r="N42" s="9" t="n">
        <x:f>IF(I42&gt;=6,5,IF(I42&gt;=4,4,IF(I42=3,3,IF(I42=2,2,1))))</x:f>
        <x:v>2</x:v>
      </x:c>
      <x:c r="O42" s="9" t="n">
        <x:f>IF(J42&gt;=500000,5,IF(J42&gt;=300000,4,IF(J42&gt;=175000,3,IF(J42&gt;=75000,2,1))))</x:f>
        <x:v>3</x:v>
      </x:c>
      <x:c r="P42" s="7" t="str">
        <x:f>M42&amp;N42&amp;O42</x:f>
        <x:v>523</x:v>
      </x:c>
      <x:c r="Q42" s="7" t="str">
        <x:f>IF(AND(L42&lt;=60,I42&gt;=5,J42&gt;=300000),"Champions",IF(AND(L42&lt;=120,I42&gt;=3),"Loyal Growth",IF(AND(L42&gt;180,J42&gt;=300000),"High Value At Risk",IF(DATE(2026,6,30)-G42&lt;=90,"New Accounts",IF(AND(L42&lt;=120,I42=1),"Promising",IF(L42&lt;=240,"Needs Nurture","Dormant"))))))</x:f>
        <x:v>New Accounts</x:v>
      </x:c>
      <x:c r="R42" s="7" t="str">
        <x:f>IF(DATE(2026,6,30)-G42&lt;=90,"New",IF(AND(L42&lt;=120,I42&gt;=2),"Active",IF(I42=1,"One-time",IF(L42&lt;=240,"At Risk","Lapsed"))))</x:f>
        <x:v>New</x:v>
      </x:c>
      <x:c r="S42" s="15" t="str">
        <x:f>IF(Q42="Champions","Invite to advisory program and cross-sell service plans",IF(Q42="Loyal Growth","Prioritize expansion offer and product education",IF(Q42="High Value At Risk","Assign sales recovery outreach within 14 days",IF(Q42="New Accounts","Launch 90-day onboarding and adoption sequence",IF(Q42="Promising","Nurture second purchase with use-case content",IF(Q42="Needs Nurture","Run product-fit review and re-engagement sequence","Move to low-frequency win-back program"))))))</x:f>
        <x:v>Launch 90-day onboarding and adoption sequence</x:v>
      </x:c>
      <x:c r="T42" s="1"/>
      <x:c r="U42" s="1"/>
      <x:c r="V42" s="1"/>
      <x:c r="W42" s="1"/>
      <x:c r="X42" s="1"/>
      <x:c r="Y42" s="1"/>
      <x:c r="Z42" s="1"/>
    </x:row>
    <x:row r="43">
      <x:c r="A43" s="7" t="str">
        <x:v>ACC-0042</x:v>
      </x:c>
      <x:c r="B43" s="7" t="str">
        <x:v>Frontier Packaging 042</x:v>
      </x:c>
      <x:c r="C43" s="7" t="str">
        <x:v>Midwest</x:v>
      </x:c>
      <x:c r="D43" s="7" t="str">
        <x:v>Food &amp; Beverage</x:v>
      </x:c>
      <x:c r="E43" s="7" t="str">
        <x:v>Enterprise</x:v>
      </x:c>
      <x:c r="F43" s="7" t="str">
        <x:v>Trade Show</x:v>
      </x:c>
      <x:c r="G43" s="8" t="n">
        <x:v>45460</x:v>
      </x:c>
      <x:c r="H43" s="8" t="n">
        <x:v>46090</x:v>
      </x:c>
      <x:c r="I43" s="9" t="n">
        <x:v>7</x:v>
      </x:c>
      <x:c r="J43" s="10" t="n">
        <x:v>1228000</x:v>
      </x:c>
      <x:c r="K43" s="10" t="n">
        <x:f>J43/I43</x:f>
        <x:v>175428.57142857142</x:v>
      </x:c>
      <x:c r="L43" s="9" t="n">
        <x:f>DATE(2026,6,30)-H43</x:f>
        <x:v>113</x:v>
      </x:c>
      <x:c r="M43" s="9" t="n">
        <x:f>IF(L43&lt;=60,5,IF(L43&lt;=120,4,IF(L43&lt;=180,3,IF(L43&lt;=240,2,1))))</x:f>
        <x:v>4</x:v>
      </x:c>
      <x:c r="N43" s="9" t="n">
        <x:f>IF(I43&gt;=6,5,IF(I43&gt;=4,4,IF(I43=3,3,IF(I43=2,2,1))))</x:f>
        <x:v>5</x:v>
      </x:c>
      <x:c r="O43" s="9" t="n">
        <x:f>IF(J43&gt;=500000,5,IF(J43&gt;=300000,4,IF(J43&gt;=175000,3,IF(J43&gt;=75000,2,1))))</x:f>
        <x:v>5</x:v>
      </x:c>
      <x:c r="P43" s="7" t="str">
        <x:f>M43&amp;N43&amp;O43</x:f>
        <x:v>455</x:v>
      </x:c>
      <x:c r="Q43" s="7" t="str">
        <x:f>IF(AND(L43&lt;=60,I43&gt;=5,J43&gt;=300000),"Champions",IF(AND(L43&lt;=120,I43&gt;=3),"Loyal Growth",IF(AND(L43&gt;180,J43&gt;=300000),"High Value At Risk",IF(DATE(2026,6,30)-G43&lt;=90,"New Accounts",IF(AND(L43&lt;=120,I43=1),"Promising",IF(L43&lt;=240,"Needs Nurture","Dormant"))))))</x:f>
        <x:v>Loyal Growth</x:v>
      </x:c>
      <x:c r="R43" s="7" t="str">
        <x:f>IF(DATE(2026,6,30)-G43&lt;=90,"New",IF(AND(L43&lt;=120,I43&gt;=2),"Active",IF(I43=1,"One-time",IF(L43&lt;=240,"At Risk","Lapsed"))))</x:f>
        <x:v>Active</x:v>
      </x:c>
      <x:c r="S43" s="15" t="str">
        <x:f>IF(Q43="Champions","Invite to advisory program and cross-sell service plans",IF(Q43="Loyal Growth","Prioritize expansion offer and product education",IF(Q43="High Value At Risk","Assign sales recovery outreach within 14 days",IF(Q43="New Accounts","Launch 90-day onboarding and adoption sequence",IF(Q43="Promising","Nurture second purchase with use-case content",IF(Q43="Needs Nurture","Run product-fit review and re-engagement sequence","Move to low-frequency win-back program"))))))</x:f>
        <x:v>Prioritize expansion offer and product education</x:v>
      </x:c>
      <x:c r="T43" s="1"/>
      <x:c r="U43" s="1"/>
      <x:c r="V43" s="1"/>
      <x:c r="W43" s="1"/>
      <x:c r="X43" s="1"/>
      <x:c r="Y43" s="1"/>
      <x:c r="Z43" s="1"/>
    </x:row>
    <x:row r="44">
      <x:c r="A44" s="7" t="str">
        <x:v>ACC-0043</x:v>
      </x:c>
      <x:c r="B44" s="7" t="str">
        <x:v>Frontier Manufacturing 043</x:v>
      </x:c>
      <x:c r="C44" s="7" t="str">
        <x:v>West</x:v>
      </x:c>
      <x:c r="D44" s="7" t="str">
        <x:v>Pharmaceuticals</x:v>
      </x:c>
      <x:c r="E44" s="7" t="str">
        <x:v>Mid-market</x:v>
      </x:c>
      <x:c r="F44" s="7" t="str">
        <x:v>Email</x:v>
      </x:c>
      <x:c r="G44" s="8" t="n">
        <x:v>45573</x:v>
      </x:c>
      <x:c r="H44" s="8" t="n">
        <x:v>46167</x:v>
      </x:c>
      <x:c r="I44" s="9" t="n">
        <x:v>5</x:v>
      </x:c>
      <x:c r="J44" s="10" t="n">
        <x:v>269900</x:v>
      </x:c>
      <x:c r="K44" s="10" t="n">
        <x:f>J44/I44</x:f>
        <x:v>53980</x:v>
      </x:c>
      <x:c r="L44" s="9" t="n">
        <x:f>DATE(2026,6,30)-H44</x:f>
        <x:v>36</x:v>
      </x:c>
      <x:c r="M44" s="9" t="n">
        <x:f>IF(L44&lt;=60,5,IF(L44&lt;=120,4,IF(L44&lt;=180,3,IF(L44&lt;=240,2,1))))</x:f>
        <x:v>5</x:v>
      </x:c>
      <x:c r="N44" s="9" t="n">
        <x:f>IF(I44&gt;=6,5,IF(I44&gt;=4,4,IF(I44=3,3,IF(I44=2,2,1))))</x:f>
        <x:v>4</x:v>
      </x:c>
      <x:c r="O44" s="9" t="n">
        <x:f>IF(J44&gt;=500000,5,IF(J44&gt;=300000,4,IF(J44&gt;=175000,3,IF(J44&gt;=75000,2,1))))</x:f>
        <x:v>3</x:v>
      </x:c>
      <x:c r="P44" s="7" t="str">
        <x:f>M44&amp;N44&amp;O44</x:f>
        <x:v>543</x:v>
      </x:c>
      <x:c r="Q44" s="7" t="str">
        <x:f>IF(AND(L44&lt;=60,I44&gt;=5,J44&gt;=300000),"Champions",IF(AND(L44&lt;=120,I44&gt;=3),"Loyal Growth",IF(AND(L44&gt;180,J44&gt;=300000),"High Value At Risk",IF(DATE(2026,6,30)-G44&lt;=90,"New Accounts",IF(AND(L44&lt;=120,I44=1),"Promising",IF(L44&lt;=240,"Needs Nurture","Dormant"))))))</x:f>
        <x:v>Loyal Growth</x:v>
      </x:c>
      <x:c r="R44" s="7" t="str">
        <x:f>IF(DATE(2026,6,30)-G44&lt;=90,"New",IF(AND(L44&lt;=120,I44&gt;=2),"Active",IF(I44=1,"One-time",IF(L44&lt;=240,"At Risk","Lapsed"))))</x:f>
        <x:v>Active</x:v>
      </x:c>
      <x:c r="S44" s="15" t="str">
        <x:f>IF(Q44="Champions","Invite to advisory program and cross-sell service plans",IF(Q44="Loyal Growth","Prioritize expansion offer and product education",IF(Q44="High Value At Risk","Assign sales recovery outreach within 14 days",IF(Q44="New Accounts","Launch 90-day onboarding and adoption sequence",IF(Q44="Promising","Nurture second purchase with use-case content",IF(Q44="Needs Nurture","Run product-fit review and re-engagement sequence","Move to low-frequency win-back program"))))))</x:f>
        <x:v>Prioritize expansion offer and product education</x:v>
      </x:c>
      <x:c r="T44" s="1"/>
      <x:c r="U44" s="1"/>
      <x:c r="V44" s="1"/>
      <x:c r="W44" s="1"/>
      <x:c r="X44" s="1"/>
      <x:c r="Y44" s="1"/>
      <x:c r="Z44" s="1"/>
    </x:row>
    <x:row r="45">
      <x:c r="A45" s="7" t="str">
        <x:v>ACC-0044</x:v>
      </x:c>
      <x:c r="B45" s="7" t="str">
        <x:v>Summit Labs 044</x:v>
      </x:c>
      <x:c r="C45" s="7" t="str">
        <x:v>South</x:v>
      </x:c>
      <x:c r="D45" s="7" t="str">
        <x:v>Contract Packaging</x:v>
      </x:c>
      <x:c r="E45" s="7" t="str">
        <x:v>Enterprise</x:v>
      </x:c>
      <x:c r="F45" s="7" t="str">
        <x:v>Trade Show</x:v>
      </x:c>
      <x:c r="G45" s="8" t="n">
        <x:v>45456</x:v>
      </x:c>
      <x:c r="H45" s="8" t="n">
        <x:v>46096</x:v>
      </x:c>
      <x:c r="I45" s="9" t="n">
        <x:v>3</x:v>
      </x:c>
      <x:c r="J45" s="10" t="n">
        <x:v>239400</x:v>
      </x:c>
      <x:c r="K45" s="10" t="n">
        <x:f>J45/I45</x:f>
        <x:v>79800</x:v>
      </x:c>
      <x:c r="L45" s="9" t="n">
        <x:f>DATE(2026,6,30)-H45</x:f>
        <x:v>107</x:v>
      </x:c>
      <x:c r="M45" s="9" t="n">
        <x:f>IF(L45&lt;=60,5,IF(L45&lt;=120,4,IF(L45&lt;=180,3,IF(L45&lt;=240,2,1))))</x:f>
        <x:v>4</x:v>
      </x:c>
      <x:c r="N45" s="9" t="n">
        <x:f>IF(I45&gt;=6,5,IF(I45&gt;=4,4,IF(I45=3,3,IF(I45=2,2,1))))</x:f>
        <x:v>3</x:v>
      </x:c>
      <x:c r="O45" s="9" t="n">
        <x:f>IF(J45&gt;=500000,5,IF(J45&gt;=300000,4,IF(J45&gt;=175000,3,IF(J45&gt;=75000,2,1))))</x:f>
        <x:v>3</x:v>
      </x:c>
      <x:c r="P45" s="7" t="str">
        <x:f>M45&amp;N45&amp;O45</x:f>
        <x:v>433</x:v>
      </x:c>
      <x:c r="Q45" s="7" t="str">
        <x:f>IF(AND(L45&lt;=60,I45&gt;=5,J45&gt;=300000),"Champions",IF(AND(L45&lt;=120,I45&gt;=3),"Loyal Growth",IF(AND(L45&gt;180,J45&gt;=300000),"High Value At Risk",IF(DATE(2026,6,30)-G45&lt;=90,"New Accounts",IF(AND(L45&lt;=120,I45=1),"Promising",IF(L45&lt;=240,"Needs Nurture","Dormant"))))))</x:f>
        <x:v>Loyal Growth</x:v>
      </x:c>
      <x:c r="R45" s="7" t="str">
        <x:f>IF(DATE(2026,6,30)-G45&lt;=90,"New",IF(AND(L45&lt;=120,I45&gt;=2),"Active",IF(I45=1,"One-time",IF(L45&lt;=240,"At Risk","Lapsed"))))</x:f>
        <x:v>Active</x:v>
      </x:c>
      <x:c r="S45" s="15" t="str">
        <x:f>IF(Q45="Champions","Invite to advisory program and cross-sell service plans",IF(Q45="Loyal Growth","Prioritize expansion offer and product education",IF(Q45="High Value At Risk","Assign sales recovery outreach within 14 days",IF(Q45="New Accounts","Launch 90-day onboarding and adoption sequence",IF(Q45="Promising","Nurture second purchase with use-case content",IF(Q45="Needs Nurture","Run product-fit review and re-engagement sequence","Move to low-frequency win-back program"))))))</x:f>
        <x:v>Prioritize expansion offer and product education</x:v>
      </x:c>
      <x:c r="T45" s="1"/>
      <x:c r="U45" s="1"/>
      <x:c r="V45" s="1"/>
      <x:c r="W45" s="1"/>
      <x:c r="X45" s="1"/>
      <x:c r="Y45" s="1"/>
      <x:c r="Z45" s="1"/>
    </x:row>
    <x:row r="46">
      <x:c r="A46" s="7" t="str">
        <x:v>ACC-0045</x:v>
      </x:c>
      <x:c r="B46" s="7" t="str">
        <x:v>Evergreen Manufacturing 045</x:v>
      </x:c>
      <x:c r="C46" s="7" t="str">
        <x:v>South</x:v>
      </x:c>
      <x:c r="D46" s="7" t="str">
        <x:v>Industrial Products</x:v>
      </x:c>
      <x:c r="E46" s="7" t="str">
        <x:v>Mid-market</x:v>
      </x:c>
      <x:c r="F46" s="7" t="str">
        <x:v>LinkedIn</x:v>
      </x:c>
      <x:c r="G46" s="8" t="n">
        <x:v>45612</x:v>
      </x:c>
      <x:c r="H46" s="8" t="n">
        <x:v>46150</x:v>
      </x:c>
      <x:c r="I46" s="9" t="n">
        <x:v>4</x:v>
      </x:c>
      <x:c r="J46" s="10" t="n">
        <x:v>219200</x:v>
      </x:c>
      <x:c r="K46" s="10" t="n">
        <x:f>J46/I46</x:f>
        <x:v>54800</x:v>
      </x:c>
      <x:c r="L46" s="9" t="n">
        <x:f>DATE(2026,6,30)-H46</x:f>
        <x:v>53</x:v>
      </x:c>
      <x:c r="M46" s="9" t="n">
        <x:f>IF(L46&lt;=60,5,IF(L46&lt;=120,4,IF(L46&lt;=180,3,IF(L46&lt;=240,2,1))))</x:f>
        <x:v>5</x:v>
      </x:c>
      <x:c r="N46" s="9" t="n">
        <x:f>IF(I46&gt;=6,5,IF(I46&gt;=4,4,IF(I46=3,3,IF(I46=2,2,1))))</x:f>
        <x:v>4</x:v>
      </x:c>
      <x:c r="O46" s="9" t="n">
        <x:f>IF(J46&gt;=500000,5,IF(J46&gt;=300000,4,IF(J46&gt;=175000,3,IF(J46&gt;=75000,2,1))))</x:f>
        <x:v>3</x:v>
      </x:c>
      <x:c r="P46" s="7" t="str">
        <x:f>M46&amp;N46&amp;O46</x:f>
        <x:v>543</x:v>
      </x:c>
      <x:c r="Q46" s="7" t="str">
        <x:f>IF(AND(L46&lt;=60,I46&gt;=5,J46&gt;=300000),"Champions",IF(AND(L46&lt;=120,I46&gt;=3),"Loyal Growth",IF(AND(L46&gt;180,J46&gt;=300000),"High Value At Risk",IF(DATE(2026,6,30)-G46&lt;=90,"New Accounts",IF(AND(L46&lt;=120,I46=1),"Promising",IF(L46&lt;=240,"Needs Nurture","Dormant"))))))</x:f>
        <x:v>Loyal Growth</x:v>
      </x:c>
      <x:c r="R46" s="7" t="str">
        <x:f>IF(DATE(2026,6,30)-G46&lt;=90,"New",IF(AND(L46&lt;=120,I46&gt;=2),"Active",IF(I46=1,"One-time",IF(L46&lt;=240,"At Risk","Lapsed"))))</x:f>
        <x:v>Active</x:v>
      </x:c>
      <x:c r="S46" s="15" t="str">
        <x:f>IF(Q46="Champions","Invite to advisory program and cross-sell service plans",IF(Q46="Loyal Growth","Prioritize expansion offer and product education",IF(Q46="High Value At Risk","Assign sales recovery outreach within 14 days",IF(Q46="New Accounts","Launch 90-day onboarding and adoption sequence",IF(Q46="Promising","Nurture second purchase with use-case content",IF(Q46="Needs Nurture","Run product-fit review and re-engagement sequence","Move to low-frequency win-back program"))))))</x:f>
        <x:v>Prioritize expansion offer and product education</x:v>
      </x:c>
      <x:c r="T46" s="1"/>
      <x:c r="U46" s="1"/>
      <x:c r="V46" s="1"/>
      <x:c r="W46" s="1"/>
      <x:c r="X46" s="1"/>
      <x:c r="Y46" s="1"/>
      <x:c r="Z46" s="1"/>
    </x:row>
    <x:row r="47">
      <x:c r="A47" s="7" t="str">
        <x:v>ACC-0046</x:v>
      </x:c>
      <x:c r="B47" s="7" t="str">
        <x:v>Apex Foods 046</x:v>
      </x:c>
      <x:c r="C47" s="7" t="str">
        <x:v>Northeast</x:v>
      </x:c>
      <x:c r="D47" s="7" t="str">
        <x:v>Pharmaceuticals</x:v>
      </x:c>
      <x:c r="E47" s="7" t="str">
        <x:v>Mid-market</x:v>
      </x:c>
      <x:c r="F47" s="7" t="str">
        <x:v>Trade Show</x:v>
      </x:c>
      <x:c r="G47" s="8" t="n">
        <x:v>45689</x:v>
      </x:c>
      <x:c r="H47" s="8" t="n">
        <x:v>46179</x:v>
      </x:c>
      <x:c r="I47" s="9" t="n">
        <x:v>6</x:v>
      </x:c>
      <x:c r="J47" s="10" t="n">
        <x:v>813000</x:v>
      </x:c>
      <x:c r="K47" s="10" t="n">
        <x:f>J47/I47</x:f>
        <x:v>135500</x:v>
      </x:c>
      <x:c r="L47" s="9" t="n">
        <x:f>DATE(2026,6,30)-H47</x:f>
        <x:v>24</x:v>
      </x:c>
      <x:c r="M47" s="9" t="n">
        <x:f>IF(L47&lt;=60,5,IF(L47&lt;=120,4,IF(L47&lt;=180,3,IF(L47&lt;=240,2,1))))</x:f>
        <x:v>5</x:v>
      </x:c>
      <x:c r="N47" s="9" t="n">
        <x:f>IF(I47&gt;=6,5,IF(I47&gt;=4,4,IF(I47=3,3,IF(I47=2,2,1))))</x:f>
        <x:v>5</x:v>
      </x:c>
      <x:c r="O47" s="9" t="n">
        <x:f>IF(J47&gt;=500000,5,IF(J47&gt;=300000,4,IF(J47&gt;=175000,3,IF(J47&gt;=75000,2,1))))</x:f>
        <x:v>5</x:v>
      </x:c>
      <x:c r="P47" s="7" t="str">
        <x:f>M47&amp;N47&amp;O47</x:f>
        <x:v>555</x:v>
      </x:c>
      <x:c r="Q47" s="7" t="str">
        <x:f>IF(AND(L47&lt;=60,I47&gt;=5,J47&gt;=300000),"Champions",IF(AND(L47&lt;=120,I47&gt;=3),"Loyal Growth",IF(AND(L47&gt;180,J47&gt;=300000),"High Value At Risk",IF(DATE(2026,6,30)-G47&lt;=90,"New Accounts",IF(AND(L47&lt;=120,I47=1),"Promising",IF(L47&lt;=240,"Needs Nurture","Dormant"))))))</x:f>
        <x:v>Champions</x:v>
      </x:c>
      <x:c r="R47" s="7" t="str">
        <x:f>IF(DATE(2026,6,30)-G47&lt;=90,"New",IF(AND(L47&lt;=120,I47&gt;=2),"Active",IF(I47=1,"One-time",IF(L47&lt;=240,"At Risk","Lapsed"))))</x:f>
        <x:v>Active</x:v>
      </x:c>
      <x:c r="S47" s="15" t="str">
        <x:f>IF(Q47="Champions","Invite to advisory program and cross-sell service plans",IF(Q47="Loyal Growth","Prioritize expansion offer and product education",IF(Q47="High Value At Risk","Assign sales recovery outreach within 14 days",IF(Q47="New Accounts","Launch 90-day onboarding and adoption sequence",IF(Q47="Promising","Nurture second purchase with use-case content",IF(Q47="Needs Nurture","Run product-fit review and re-engagement sequence","Move to low-frequency win-back program"))))))</x:f>
        <x:v>Invite to advisory program and cross-sell service plans</x:v>
      </x:c>
      <x:c r="T47" s="1"/>
      <x:c r="U47" s="1"/>
      <x:c r="V47" s="1"/>
      <x:c r="W47" s="1"/>
      <x:c r="X47" s="1"/>
      <x:c r="Y47" s="1"/>
      <x:c r="Z47" s="1"/>
    </x:row>
    <x:row r="48">
      <x:c r="A48" s="7" t="str">
        <x:v>ACC-0047</x:v>
      </x:c>
      <x:c r="B48" s="7" t="str">
        <x:v>Summit Labs 047</x:v>
      </x:c>
      <x:c r="C48" s="7" t="str">
        <x:v>South</x:v>
      </x:c>
      <x:c r="D48" s="7" t="str">
        <x:v>Pharmaceuticals</x:v>
      </x:c>
      <x:c r="E48" s="7" t="str">
        <x:v>Mid-market</x:v>
      </x:c>
      <x:c r="F48" s="7" t="str">
        <x:v>Partner Referral</x:v>
      </x:c>
      <x:c r="G48" s="8" t="n">
        <x:v>45689</x:v>
      </x:c>
      <x:c r="H48" s="8" t="n">
        <x:v>45944</x:v>
      </x:c>
      <x:c r="I48" s="9" t="n">
        <x:v>6</x:v>
      </x:c>
      <x:c r="J48" s="10" t="n">
        <x:v>600400</x:v>
      </x:c>
      <x:c r="K48" s="10" t="n">
        <x:f>J48/I48</x:f>
        <x:v>100066.66666666667</x:v>
      </x:c>
      <x:c r="L48" s="9" t="n">
        <x:f>DATE(2026,6,30)-H48</x:f>
        <x:v>259</x:v>
      </x:c>
      <x:c r="M48" s="9" t="n">
        <x:f>IF(L48&lt;=60,5,IF(L48&lt;=120,4,IF(L48&lt;=180,3,IF(L48&lt;=240,2,1))))</x:f>
        <x:v>1</x:v>
      </x:c>
      <x:c r="N48" s="9" t="n">
        <x:f>IF(I48&gt;=6,5,IF(I48&gt;=4,4,IF(I48=3,3,IF(I48=2,2,1))))</x:f>
        <x:v>5</x:v>
      </x:c>
      <x:c r="O48" s="9" t="n">
        <x:f>IF(J48&gt;=500000,5,IF(J48&gt;=300000,4,IF(J48&gt;=175000,3,IF(J48&gt;=75000,2,1))))</x:f>
        <x:v>5</x:v>
      </x:c>
      <x:c r="P48" s="7" t="str">
        <x:f>M48&amp;N48&amp;O48</x:f>
        <x:v>155</x:v>
      </x:c>
      <x:c r="Q48" s="7" t="str">
        <x:f>IF(AND(L48&lt;=60,I48&gt;=5,J48&gt;=300000),"Champions",IF(AND(L48&lt;=120,I48&gt;=3),"Loyal Growth",IF(AND(L48&gt;180,J48&gt;=300000),"High Value At Risk",IF(DATE(2026,6,30)-G48&lt;=90,"New Accounts",IF(AND(L48&lt;=120,I48=1),"Promising",IF(L48&lt;=240,"Needs Nurture","Dormant"))))))</x:f>
        <x:v>High Value At Risk</x:v>
      </x:c>
      <x:c r="R48" s="7" t="str">
        <x:f>IF(DATE(2026,6,30)-G48&lt;=90,"New",IF(AND(L48&lt;=120,I48&gt;=2),"Active",IF(I48=1,"One-time",IF(L48&lt;=240,"At Risk","Lapsed"))))</x:f>
        <x:v>Lapsed</x:v>
      </x:c>
      <x:c r="S48" s="15" t="str">
        <x:f>IF(Q48="Champions","Invite to advisory program and cross-sell service plans",IF(Q48="Loyal Growth","Prioritize expansion offer and product education",IF(Q48="High Value At Risk","Assign sales recovery outreach within 14 days",IF(Q48="New Accounts","Launch 90-day onboarding and adoption sequence",IF(Q48="Promising","Nurture second purchase with use-case content",IF(Q48="Needs Nurture","Run product-fit review and re-engagement sequence","Move to low-frequency win-back program"))))))</x:f>
        <x:v>Assign sales recovery outreach within 14 days</x:v>
      </x:c>
      <x:c r="T48" s="1"/>
      <x:c r="U48" s="1"/>
      <x:c r="V48" s="1"/>
      <x:c r="W48" s="1"/>
      <x:c r="X48" s="1"/>
      <x:c r="Y48" s="1"/>
      <x:c r="Z48" s="1"/>
    </x:row>
    <x:row r="49">
      <x:c r="A49" s="7" t="str">
        <x:v>ACC-0048</x:v>
      </x:c>
      <x:c r="B49" s="7" t="str">
        <x:v>Meridian Packaging 048</x:v>
      </x:c>
      <x:c r="C49" s="7" t="str">
        <x:v>Midwest</x:v>
      </x:c>
      <x:c r="D49" s="7" t="str">
        <x:v>Pharmaceuticals</x:v>
      </x:c>
      <x:c r="E49" s="7" t="str">
        <x:v>Small</x:v>
      </x:c>
      <x:c r="F49" s="7" t="str">
        <x:v>Email</x:v>
      </x:c>
      <x:c r="G49" s="8" t="n">
        <x:v>45493</x:v>
      </x:c>
      <x:c r="H49" s="8" t="n">
        <x:v>45845</x:v>
      </x:c>
      <x:c r="I49" s="9" t="n">
        <x:v>4</x:v>
      </x:c>
      <x:c r="J49" s="10" t="n">
        <x:v>374700</x:v>
      </x:c>
      <x:c r="K49" s="10" t="n">
        <x:f>J49/I49</x:f>
        <x:v>93675</x:v>
      </x:c>
      <x:c r="L49" s="9" t="n">
        <x:f>DATE(2026,6,30)-H49</x:f>
        <x:v>358</x:v>
      </x:c>
      <x:c r="M49" s="9" t="n">
        <x:f>IF(L49&lt;=60,5,IF(L49&lt;=120,4,IF(L49&lt;=180,3,IF(L49&lt;=240,2,1))))</x:f>
        <x:v>1</x:v>
      </x:c>
      <x:c r="N49" s="9" t="n">
        <x:f>IF(I49&gt;=6,5,IF(I49&gt;=4,4,IF(I49=3,3,IF(I49=2,2,1))))</x:f>
        <x:v>4</x:v>
      </x:c>
      <x:c r="O49" s="9" t="n">
        <x:f>IF(J49&gt;=500000,5,IF(J49&gt;=300000,4,IF(J49&gt;=175000,3,IF(J49&gt;=75000,2,1))))</x:f>
        <x:v>4</x:v>
      </x:c>
      <x:c r="P49" s="7" t="str">
        <x:f>M49&amp;N49&amp;O49</x:f>
        <x:v>144</x:v>
      </x:c>
      <x:c r="Q49" s="7" t="str">
        <x:f>IF(AND(L49&lt;=60,I49&gt;=5,J49&gt;=300000),"Champions",IF(AND(L49&lt;=120,I49&gt;=3),"Loyal Growth",IF(AND(L49&gt;180,J49&gt;=300000),"High Value At Risk",IF(DATE(2026,6,30)-G49&lt;=90,"New Accounts",IF(AND(L49&lt;=120,I49=1),"Promising",IF(L49&lt;=240,"Needs Nurture","Dormant"))))))</x:f>
        <x:v>High Value At Risk</x:v>
      </x:c>
      <x:c r="R49" s="7" t="str">
        <x:f>IF(DATE(2026,6,30)-G49&lt;=90,"New",IF(AND(L49&lt;=120,I49&gt;=2),"Active",IF(I49=1,"One-time",IF(L49&lt;=240,"At Risk","Lapsed"))))</x:f>
        <x:v>Lapsed</x:v>
      </x:c>
      <x:c r="S49" s="15" t="str">
        <x:f>IF(Q49="Champions","Invite to advisory program and cross-sell service plans",IF(Q49="Loyal Growth","Prioritize expansion offer and product education",IF(Q49="High Value At Risk","Assign sales recovery outreach within 14 days",IF(Q49="New Accounts","Launch 90-day onboarding and adoption sequence",IF(Q49="Promising","Nurture second purchase with use-case content",IF(Q49="Needs Nurture","Run product-fit review and re-engagement sequence","Move to low-frequency win-back program"))))))</x:f>
        <x:v>Assign sales recovery outreach within 14 days</x:v>
      </x:c>
      <x:c r="T49" s="1"/>
      <x:c r="U49" s="1"/>
      <x:c r="V49" s="1"/>
      <x:c r="W49" s="1"/>
      <x:c r="X49" s="1"/>
      <x:c r="Y49" s="1"/>
      <x:c r="Z49" s="1"/>
    </x:row>
    <x:row r="50">
      <x:c r="A50" s="7" t="str">
        <x:v>ACC-0049</x:v>
      </x:c>
      <x:c r="B50" s="7" t="str">
        <x:v>BlueRiver Manufacturing 049</x:v>
      </x:c>
      <x:c r="C50" s="7" t="str">
        <x:v>Midwest</x:v>
      </x:c>
      <x:c r="D50" s="7" t="str">
        <x:v>Industrial Products</x:v>
      </x:c>
      <x:c r="E50" s="7" t="str">
        <x:v>Mid-market</x:v>
      </x:c>
      <x:c r="F50" s="7" t="str">
        <x:v>Email</x:v>
      </x:c>
      <x:c r="G50" s="8" t="n">
        <x:v>45541</x:v>
      </x:c>
      <x:c r="H50" s="8" t="n">
        <x:v>46197</x:v>
      </x:c>
      <x:c r="I50" s="9" t="n">
        <x:v>5</x:v>
      </x:c>
      <x:c r="J50" s="10" t="n">
        <x:v>359000</x:v>
      </x:c>
      <x:c r="K50" s="10" t="n">
        <x:f>J50/I50</x:f>
        <x:v>71800</x:v>
      </x:c>
      <x:c r="L50" s="9" t="n">
        <x:f>DATE(2026,6,30)-H50</x:f>
        <x:v>6</x:v>
      </x:c>
      <x:c r="M50" s="9" t="n">
        <x:f>IF(L50&lt;=60,5,IF(L50&lt;=120,4,IF(L50&lt;=180,3,IF(L50&lt;=240,2,1))))</x:f>
        <x:v>5</x:v>
      </x:c>
      <x:c r="N50" s="9" t="n">
        <x:f>IF(I50&gt;=6,5,IF(I50&gt;=4,4,IF(I50=3,3,IF(I50=2,2,1))))</x:f>
        <x:v>4</x:v>
      </x:c>
      <x:c r="O50" s="9" t="n">
        <x:f>IF(J50&gt;=500000,5,IF(J50&gt;=300000,4,IF(J50&gt;=175000,3,IF(J50&gt;=75000,2,1))))</x:f>
        <x:v>4</x:v>
      </x:c>
      <x:c r="P50" s="7" t="str">
        <x:f>M50&amp;N50&amp;O50</x:f>
        <x:v>544</x:v>
      </x:c>
      <x:c r="Q50" s="7" t="str">
        <x:f>IF(AND(L50&lt;=60,I50&gt;=5,J50&gt;=300000),"Champions",IF(AND(L50&lt;=120,I50&gt;=3),"Loyal Growth",IF(AND(L50&gt;180,J50&gt;=300000),"High Value At Risk",IF(DATE(2026,6,30)-G50&lt;=90,"New Accounts",IF(AND(L50&lt;=120,I50=1),"Promising",IF(L50&lt;=240,"Needs Nurture","Dormant"))))))</x:f>
        <x:v>Champions</x:v>
      </x:c>
      <x:c r="R50" s="7" t="str">
        <x:f>IF(DATE(2026,6,30)-G50&lt;=90,"New",IF(AND(L50&lt;=120,I50&gt;=2),"Active",IF(I50=1,"One-time",IF(L50&lt;=240,"At Risk","Lapsed"))))</x:f>
        <x:v>Active</x:v>
      </x:c>
      <x:c r="S50" s="15" t="str">
        <x:f>IF(Q50="Champions","Invite to advisory program and cross-sell service plans",IF(Q50="Loyal Growth","Prioritize expansion offer and product education",IF(Q50="High Value At Risk","Assign sales recovery outreach within 14 days",IF(Q50="New Accounts","Launch 90-day onboarding and adoption sequence",IF(Q50="Promising","Nurture second purchase with use-case content",IF(Q50="Needs Nurture","Run product-fit review and re-engagement sequence","Move to low-frequency win-back program"))))))</x:f>
        <x:v>Invite to advisory program and cross-sell service plans</x:v>
      </x:c>
      <x:c r="T50" s="1"/>
      <x:c r="U50" s="1"/>
      <x:c r="V50" s="1"/>
      <x:c r="W50" s="1"/>
      <x:c r="X50" s="1"/>
      <x:c r="Y50" s="1"/>
      <x:c r="Z50" s="1"/>
    </x:row>
    <x:row r="51">
      <x:c r="A51" s="7" t="str">
        <x:v>ACC-0050</x:v>
      </x:c>
      <x:c r="B51" s="7" t="str">
        <x:v>Meridian Labs 050</x:v>
      </x:c>
      <x:c r="C51" s="7" t="str">
        <x:v>Midwest</x:v>
      </x:c>
      <x:c r="D51" s="7" t="str">
        <x:v>Contract Packaging</x:v>
      </x:c>
      <x:c r="E51" s="7" t="str">
        <x:v>Small</x:v>
      </x:c>
      <x:c r="F51" s="7" t="str">
        <x:v>Partner Referral</x:v>
      </x:c>
      <x:c r="G51" s="8" t="n">
        <x:v>45488</x:v>
      </x:c>
      <x:c r="H51" s="8" t="n">
        <x:v>45720</x:v>
      </x:c>
      <x:c r="I51" s="9" t="n">
        <x:v>2</x:v>
      </x:c>
      <x:c r="J51" s="10" t="n">
        <x:v>177600</x:v>
      </x:c>
      <x:c r="K51" s="10" t="n">
        <x:f>J51/I51</x:f>
        <x:v>88800</x:v>
      </x:c>
      <x:c r="L51" s="9" t="n">
        <x:f>DATE(2026,6,30)-H51</x:f>
        <x:v>483</x:v>
      </x:c>
      <x:c r="M51" s="9" t="n">
        <x:f>IF(L51&lt;=60,5,IF(L51&lt;=120,4,IF(L51&lt;=180,3,IF(L51&lt;=240,2,1))))</x:f>
        <x:v>1</x:v>
      </x:c>
      <x:c r="N51" s="9" t="n">
        <x:f>IF(I51&gt;=6,5,IF(I51&gt;=4,4,IF(I51=3,3,IF(I51=2,2,1))))</x:f>
        <x:v>2</x:v>
      </x:c>
      <x:c r="O51" s="9" t="n">
        <x:f>IF(J51&gt;=500000,5,IF(J51&gt;=300000,4,IF(J51&gt;=175000,3,IF(J51&gt;=75000,2,1))))</x:f>
        <x:v>3</x:v>
      </x:c>
      <x:c r="P51" s="7" t="str">
        <x:f>M51&amp;N51&amp;O51</x:f>
        <x:v>123</x:v>
      </x:c>
      <x:c r="Q51" s="7" t="str">
        <x:f>IF(AND(L51&lt;=60,I51&gt;=5,J51&gt;=300000),"Champions",IF(AND(L51&lt;=120,I51&gt;=3),"Loyal Growth",IF(AND(L51&gt;180,J51&gt;=300000),"High Value At Risk",IF(DATE(2026,6,30)-G51&lt;=90,"New Accounts",IF(AND(L51&lt;=120,I51=1),"Promising",IF(L51&lt;=240,"Needs Nurture","Dormant"))))))</x:f>
        <x:v>Dormant</x:v>
      </x:c>
      <x:c r="R51" s="7" t="str">
        <x:f>IF(DATE(2026,6,30)-G51&lt;=90,"New",IF(AND(L51&lt;=120,I51&gt;=2),"Active",IF(I51=1,"One-time",IF(L51&lt;=240,"At Risk","Lapsed"))))</x:f>
        <x:v>Lapsed</x:v>
      </x:c>
      <x:c r="S51" s="15" t="str">
        <x:f>IF(Q51="Champions","Invite to advisory program and cross-sell service plans",IF(Q51="Loyal Growth","Prioritize expansion offer and product education",IF(Q51="High Value At Risk","Assign sales recovery outreach within 14 days",IF(Q51="New Accounts","Launch 90-day onboarding and adoption sequence",IF(Q51="Promising","Nurture second purchase with use-case content",IF(Q51="Needs Nurture","Run product-fit review and re-engagement sequence","Move to low-frequency win-back program"))))))</x:f>
        <x:v>Move to low-frequency win-back program</x:v>
      </x:c>
      <x:c r="T51" s="1"/>
      <x:c r="U51" s="1"/>
      <x:c r="V51" s="1"/>
      <x:c r="W51" s="1"/>
      <x:c r="X51" s="1"/>
      <x:c r="Y51" s="1"/>
      <x:c r="Z51" s="1"/>
    </x:row>
    <x:row r="52">
      <x:c r="A52" s="7" t="str">
        <x:v>ACC-0051</x:v>
      </x:c>
      <x:c r="B52" s="7" t="str">
        <x:v>BlueRiver Industries 051</x:v>
      </x:c>
      <x:c r="C52" s="7" t="str">
        <x:v>Midwest</x:v>
      </x:c>
      <x:c r="D52" s="7" t="str">
        <x:v>Industrial Products</x:v>
      </x:c>
      <x:c r="E52" s="7" t="str">
        <x:v>Enterprise</x:v>
      </x:c>
      <x:c r="F52" s="7" t="str">
        <x:v>Google Search</x:v>
      </x:c>
      <x:c r="G52" s="8" t="n">
        <x:v>45610</x:v>
      </x:c>
      <x:c r="H52" s="8" t="n">
        <x:v>46081</x:v>
      </x:c>
      <x:c r="I52" s="9" t="n">
        <x:v>3</x:v>
      </x:c>
      <x:c r="J52" s="10" t="n">
        <x:v>507000</x:v>
      </x:c>
      <x:c r="K52" s="10" t="n">
        <x:f>J52/I52</x:f>
        <x:v>169000</x:v>
      </x:c>
      <x:c r="L52" s="9" t="n">
        <x:f>DATE(2026,6,30)-H52</x:f>
        <x:v>122</x:v>
      </x:c>
      <x:c r="M52" s="9" t="n">
        <x:f>IF(L52&lt;=60,5,IF(L52&lt;=120,4,IF(L52&lt;=180,3,IF(L52&lt;=240,2,1))))</x:f>
        <x:v>3</x:v>
      </x:c>
      <x:c r="N52" s="9" t="n">
        <x:f>IF(I52&gt;=6,5,IF(I52&gt;=4,4,IF(I52=3,3,IF(I52=2,2,1))))</x:f>
        <x:v>3</x:v>
      </x:c>
      <x:c r="O52" s="9" t="n">
        <x:f>IF(J52&gt;=500000,5,IF(J52&gt;=300000,4,IF(J52&gt;=175000,3,IF(J52&gt;=75000,2,1))))</x:f>
        <x:v>5</x:v>
      </x:c>
      <x:c r="P52" s="7" t="str">
        <x:f>M52&amp;N52&amp;O52</x:f>
        <x:v>335</x:v>
      </x:c>
      <x:c r="Q52" s="7" t="str">
        <x:f>IF(AND(L52&lt;=60,I52&gt;=5,J52&gt;=300000),"Champions",IF(AND(L52&lt;=120,I52&gt;=3),"Loyal Growth",IF(AND(L52&gt;180,J52&gt;=300000),"High Value At Risk",IF(DATE(2026,6,30)-G52&lt;=90,"New Accounts",IF(AND(L52&lt;=120,I52=1),"Promising",IF(L52&lt;=240,"Needs Nurture","Dormant"))))))</x:f>
        <x:v>Needs Nurture</x:v>
      </x:c>
      <x:c r="R52" s="7" t="str">
        <x:f>IF(DATE(2026,6,30)-G52&lt;=90,"New",IF(AND(L52&lt;=120,I52&gt;=2),"Active",IF(I52=1,"One-time",IF(L52&lt;=240,"At Risk","Lapsed"))))</x:f>
        <x:v>At Risk</x:v>
      </x:c>
      <x:c r="S52" s="15" t="str">
        <x:f>IF(Q52="Champions","Invite to advisory program and cross-sell service plans",IF(Q52="Loyal Growth","Prioritize expansion offer and product education",IF(Q52="High Value At Risk","Assign sales recovery outreach within 14 days",IF(Q52="New Accounts","Launch 90-day onboarding and adoption sequence",IF(Q52="Promising","Nurture second purchase with use-case content",IF(Q52="Needs Nurture","Run product-fit review and re-engagement sequence","Move to low-frequency win-back program"))))))</x:f>
        <x:v>Run product-fit review and re-engagement sequence</x:v>
      </x:c>
      <x:c r="T52" s="1"/>
      <x:c r="U52" s="1"/>
      <x:c r="V52" s="1"/>
      <x:c r="W52" s="1"/>
      <x:c r="X52" s="1"/>
      <x:c r="Y52" s="1"/>
      <x:c r="Z52" s="1"/>
    </x:row>
    <x:row r="53">
      <x:c r="A53" s="7" t="str">
        <x:v>ACC-0052</x:v>
      </x:c>
      <x:c r="B53" s="7" t="str">
        <x:v>Northstar Foods 052</x:v>
      </x:c>
      <x:c r="C53" s="7" t="str">
        <x:v>West</x:v>
      </x:c>
      <x:c r="D53" s="7" t="str">
        <x:v>Industrial Products</x:v>
      </x:c>
      <x:c r="E53" s="7" t="str">
        <x:v>Enterprise</x:v>
      </x:c>
      <x:c r="F53" s="7" t="str">
        <x:v>Google Search</x:v>
      </x:c>
      <x:c r="G53" s="8" t="n">
        <x:v>46090</x:v>
      </x:c>
      <x:c r="H53" s="8" t="n">
        <x:v>46158</x:v>
      </x:c>
      <x:c r="I53" s="9" t="n">
        <x:v>2</x:v>
      </x:c>
      <x:c r="J53" s="10" t="n">
        <x:v>329400</x:v>
      </x:c>
      <x:c r="K53" s="10" t="n">
        <x:f>J53/I53</x:f>
        <x:v>164700</x:v>
      </x:c>
      <x:c r="L53" s="9" t="n">
        <x:f>DATE(2026,6,30)-H53</x:f>
        <x:v>45</x:v>
      </x:c>
      <x:c r="M53" s="9" t="n">
        <x:f>IF(L53&lt;=60,5,IF(L53&lt;=120,4,IF(L53&lt;=180,3,IF(L53&lt;=240,2,1))))</x:f>
        <x:v>5</x:v>
      </x:c>
      <x:c r="N53" s="9" t="n">
        <x:f>IF(I53&gt;=6,5,IF(I53&gt;=4,4,IF(I53=3,3,IF(I53=2,2,1))))</x:f>
        <x:v>2</x:v>
      </x:c>
      <x:c r="O53" s="9" t="n">
        <x:f>IF(J53&gt;=500000,5,IF(J53&gt;=300000,4,IF(J53&gt;=175000,3,IF(J53&gt;=75000,2,1))))</x:f>
        <x:v>4</x:v>
      </x:c>
      <x:c r="P53" s="7" t="str">
        <x:f>M53&amp;N53&amp;O53</x:f>
        <x:v>524</x:v>
      </x:c>
      <x:c r="Q53" s="7" t="str">
        <x:f>IF(AND(L53&lt;=60,I53&gt;=5,J53&gt;=300000),"Champions",IF(AND(L53&lt;=120,I53&gt;=3),"Loyal Growth",IF(AND(L53&gt;180,J53&gt;=300000),"High Value At Risk",IF(DATE(2026,6,30)-G53&lt;=90,"New Accounts",IF(AND(L53&lt;=120,I53=1),"Promising",IF(L53&lt;=240,"Needs Nurture","Dormant"))))))</x:f>
        <x:v>Needs Nurture</x:v>
      </x:c>
      <x:c r="R53" s="7" t="str">
        <x:f>IF(DATE(2026,6,30)-G53&lt;=90,"New",IF(AND(L53&lt;=120,I53&gt;=2),"Active",IF(I53=1,"One-time",IF(L53&lt;=240,"At Risk","Lapsed"))))</x:f>
        <x:v>Active</x:v>
      </x:c>
      <x:c r="S53" s="15" t="str">
        <x:f>IF(Q53="Champions","Invite to advisory program and cross-sell service plans",IF(Q53="Loyal Growth","Prioritize expansion offer and product education",IF(Q53="High Value At Risk","Assign sales recovery outreach within 14 days",IF(Q53="New Accounts","Launch 90-day onboarding and adoption sequence",IF(Q53="Promising","Nurture second purchase with use-case content",IF(Q53="Needs Nurture","Run product-fit review and re-engagement sequence","Move to low-frequency win-back program"))))))</x:f>
        <x:v>Run product-fit review and re-engagement sequence</x:v>
      </x:c>
      <x:c r="T53" s="1"/>
      <x:c r="U53" s="1"/>
      <x:c r="V53" s="1"/>
      <x:c r="W53" s="1"/>
      <x:c r="X53" s="1"/>
      <x:c r="Y53" s="1"/>
      <x:c r="Z53" s="1"/>
    </x:row>
    <x:row r="54">
      <x:c r="A54" s="7" t="str">
        <x:v>ACC-0053</x:v>
      </x:c>
      <x:c r="B54" s="7" t="str">
        <x:v>Apex Products 053</x:v>
      </x:c>
      <x:c r="C54" s="7" t="str">
        <x:v>Midwest</x:v>
      </x:c>
      <x:c r="D54" s="7" t="str">
        <x:v>Contract Packaging</x:v>
      </x:c>
      <x:c r="E54" s="7" t="str">
        <x:v>Enterprise</x:v>
      </x:c>
      <x:c r="F54" s="7" t="str">
        <x:v>Google Search</x:v>
      </x:c>
      <x:c r="G54" s="8" t="n">
        <x:v>45339</x:v>
      </x:c>
      <x:c r="H54" s="8" t="n">
        <x:v>46202</x:v>
      </x:c>
      <x:c r="I54" s="9" t="n">
        <x:v>7</x:v>
      </x:c>
      <x:c r="J54" s="10" t="n">
        <x:v>1001800</x:v>
      </x:c>
      <x:c r="K54" s="10" t="n">
        <x:f>J54/I54</x:f>
        <x:v>143114.2857142857</x:v>
      </x:c>
      <x:c r="L54" s="9" t="n">
        <x:f>DATE(2026,6,30)-H54</x:f>
        <x:v>1</x:v>
      </x:c>
      <x:c r="M54" s="9" t="n">
        <x:f>IF(L54&lt;=60,5,IF(L54&lt;=120,4,IF(L54&lt;=180,3,IF(L54&lt;=240,2,1))))</x:f>
        <x:v>5</x:v>
      </x:c>
      <x:c r="N54" s="9" t="n">
        <x:f>IF(I54&gt;=6,5,IF(I54&gt;=4,4,IF(I54=3,3,IF(I54=2,2,1))))</x:f>
        <x:v>5</x:v>
      </x:c>
      <x:c r="O54" s="9" t="n">
        <x:f>IF(J54&gt;=500000,5,IF(J54&gt;=300000,4,IF(J54&gt;=175000,3,IF(J54&gt;=75000,2,1))))</x:f>
        <x:v>5</x:v>
      </x:c>
      <x:c r="P54" s="7" t="str">
        <x:f>M54&amp;N54&amp;O54</x:f>
        <x:v>555</x:v>
      </x:c>
      <x:c r="Q54" s="7" t="str">
        <x:f>IF(AND(L54&lt;=60,I54&gt;=5,J54&gt;=300000),"Champions",IF(AND(L54&lt;=120,I54&gt;=3),"Loyal Growth",IF(AND(L54&gt;180,J54&gt;=300000),"High Value At Risk",IF(DATE(2026,6,30)-G54&lt;=90,"New Accounts",IF(AND(L54&lt;=120,I54=1),"Promising",IF(L54&lt;=240,"Needs Nurture","Dormant"))))))</x:f>
        <x:v>Champions</x:v>
      </x:c>
      <x:c r="R54" s="7" t="str">
        <x:f>IF(DATE(2026,6,30)-G54&lt;=90,"New",IF(AND(L54&lt;=120,I54&gt;=2),"Active",IF(I54=1,"One-time",IF(L54&lt;=240,"At Risk","Lapsed"))))</x:f>
        <x:v>Active</x:v>
      </x:c>
      <x:c r="S54" s="15" t="str">
        <x:f>IF(Q54="Champions","Invite to advisory program and cross-sell service plans",IF(Q54="Loyal Growth","Prioritize expansion offer and product education",IF(Q54="High Value At Risk","Assign sales recovery outreach within 14 days",IF(Q54="New Accounts","Launch 90-day onboarding and adoption sequence",IF(Q54="Promising","Nurture second purchase with use-case content",IF(Q54="Needs Nurture","Run product-fit review and re-engagement sequence","Move to low-frequency win-back program"))))))</x:f>
        <x:v>Invite to advisory program and cross-sell service plans</x:v>
      </x:c>
      <x:c r="T54" s="1"/>
      <x:c r="U54" s="1"/>
      <x:c r="V54" s="1"/>
      <x:c r="W54" s="1"/>
      <x:c r="X54" s="1"/>
      <x:c r="Y54" s="1"/>
      <x:c r="Z54" s="1"/>
    </x:row>
    <x:row r="55">
      <x:c r="A55" s="7" t="str">
        <x:v>ACC-0054</x:v>
      </x:c>
      <x:c r="B55" s="7" t="str">
        <x:v>Vertex Solutions 054</x:v>
      </x:c>
      <x:c r="C55" s="7" t="str">
        <x:v>South</x:v>
      </x:c>
      <x:c r="D55" s="7" t="str">
        <x:v>Contract Packaging</x:v>
      </x:c>
      <x:c r="E55" s="7" t="str">
        <x:v>Enterprise</x:v>
      </x:c>
      <x:c r="F55" s="7" t="str">
        <x:v>Partner Referral</x:v>
      </x:c>
      <x:c r="G55" s="8" t="n">
        <x:v>45563</x:v>
      </x:c>
      <x:c r="H55" s="8" t="n">
        <x:v>45972</x:v>
      </x:c>
      <x:c r="I55" s="9" t="n">
        <x:v>5</x:v>
      </x:c>
      <x:c r="J55" s="10" t="n">
        <x:v>979800</x:v>
      </x:c>
      <x:c r="K55" s="10" t="n">
        <x:f>J55/I55</x:f>
        <x:v>195960</x:v>
      </x:c>
      <x:c r="L55" s="9" t="n">
        <x:f>DATE(2026,6,30)-H55</x:f>
        <x:v>231</x:v>
      </x:c>
      <x:c r="M55" s="9" t="n">
        <x:f>IF(L55&lt;=60,5,IF(L55&lt;=120,4,IF(L55&lt;=180,3,IF(L55&lt;=240,2,1))))</x:f>
        <x:v>2</x:v>
      </x:c>
      <x:c r="N55" s="9" t="n">
        <x:f>IF(I55&gt;=6,5,IF(I55&gt;=4,4,IF(I55=3,3,IF(I55=2,2,1))))</x:f>
        <x:v>4</x:v>
      </x:c>
      <x:c r="O55" s="9" t="n">
        <x:f>IF(J55&gt;=500000,5,IF(J55&gt;=300000,4,IF(J55&gt;=175000,3,IF(J55&gt;=75000,2,1))))</x:f>
        <x:v>5</x:v>
      </x:c>
      <x:c r="P55" s="7" t="str">
        <x:f>M55&amp;N55&amp;O55</x:f>
        <x:v>245</x:v>
      </x:c>
      <x:c r="Q55" s="7" t="str">
        <x:f>IF(AND(L55&lt;=60,I55&gt;=5,J55&gt;=300000),"Champions",IF(AND(L55&lt;=120,I55&gt;=3),"Loyal Growth",IF(AND(L55&gt;180,J55&gt;=300000),"High Value At Risk",IF(DATE(2026,6,30)-G55&lt;=90,"New Accounts",IF(AND(L55&lt;=120,I55=1),"Promising",IF(L55&lt;=240,"Needs Nurture","Dormant"))))))</x:f>
        <x:v>High Value At Risk</x:v>
      </x:c>
      <x:c r="R55" s="7" t="str">
        <x:f>IF(DATE(2026,6,30)-G55&lt;=90,"New",IF(AND(L55&lt;=120,I55&gt;=2),"Active",IF(I55=1,"One-time",IF(L55&lt;=240,"At Risk","Lapsed"))))</x:f>
        <x:v>At Risk</x:v>
      </x:c>
      <x:c r="S55" s="15" t="str">
        <x:f>IF(Q55="Champions","Invite to advisory program and cross-sell service plans",IF(Q55="Loyal Growth","Prioritize expansion offer and product education",IF(Q55="High Value At Risk","Assign sales recovery outreach within 14 days",IF(Q55="New Accounts","Launch 90-day onboarding and adoption sequence",IF(Q55="Promising","Nurture second purchase with use-case content",IF(Q55="Needs Nurture","Run product-fit review and re-engagement sequence","Move to low-frequency win-back program"))))))</x:f>
        <x:v>Assign sales recovery outreach within 14 days</x:v>
      </x:c>
      <x:c r="T55" s="1"/>
      <x:c r="U55" s="1"/>
      <x:c r="V55" s="1"/>
      <x:c r="W55" s="1"/>
      <x:c r="X55" s="1"/>
      <x:c r="Y55" s="1"/>
      <x:c r="Z55" s="1"/>
    </x:row>
    <x:row r="56">
      <x:c r="A56" s="7" t="str">
        <x:v>ACC-0055</x:v>
      </x:c>
      <x:c r="B56" s="7" t="str">
        <x:v>Pioneer Products 055</x:v>
      </x:c>
      <x:c r="C56" s="7" t="str">
        <x:v>West</x:v>
      </x:c>
      <x:c r="D56" s="7" t="str">
        <x:v>Food &amp; Beverage</x:v>
      </x:c>
      <x:c r="E56" s="7" t="str">
        <x:v>Small</x:v>
      </x:c>
      <x:c r="F56" s="7" t="str">
        <x:v>LinkedIn</x:v>
      </x:c>
      <x:c r="G56" s="8" t="n">
        <x:v>45683</x:v>
      </x:c>
      <x:c r="H56" s="8" t="n">
        <x:v>45898</x:v>
      </x:c>
      <x:c r="I56" s="9" t="n">
        <x:v>3</x:v>
      </x:c>
      <x:c r="J56" s="10" t="n">
        <x:v>201500</x:v>
      </x:c>
      <x:c r="K56" s="10" t="n">
        <x:f>J56/I56</x:f>
        <x:v>67166.66666666667</x:v>
      </x:c>
      <x:c r="L56" s="9" t="n">
        <x:f>DATE(2026,6,30)-H56</x:f>
        <x:v>305</x:v>
      </x:c>
      <x:c r="M56" s="9" t="n">
        <x:f>IF(L56&lt;=60,5,IF(L56&lt;=120,4,IF(L56&lt;=180,3,IF(L56&lt;=240,2,1))))</x:f>
        <x:v>1</x:v>
      </x:c>
      <x:c r="N56" s="9" t="n">
        <x:f>IF(I56&gt;=6,5,IF(I56&gt;=4,4,IF(I56=3,3,IF(I56=2,2,1))))</x:f>
        <x:v>3</x:v>
      </x:c>
      <x:c r="O56" s="9" t="n">
        <x:f>IF(J56&gt;=500000,5,IF(J56&gt;=300000,4,IF(J56&gt;=175000,3,IF(J56&gt;=75000,2,1))))</x:f>
        <x:v>3</x:v>
      </x:c>
      <x:c r="P56" s="7" t="str">
        <x:f>M56&amp;N56&amp;O56</x:f>
        <x:v>133</x:v>
      </x:c>
      <x:c r="Q56" s="7" t="str">
        <x:f>IF(AND(L56&lt;=60,I56&gt;=5,J56&gt;=300000),"Champions",IF(AND(L56&lt;=120,I56&gt;=3),"Loyal Growth",IF(AND(L56&gt;180,J56&gt;=300000),"High Value At Risk",IF(DATE(2026,6,30)-G56&lt;=90,"New Accounts",IF(AND(L56&lt;=120,I56=1),"Promising",IF(L56&lt;=240,"Needs Nurture","Dormant"))))))</x:f>
        <x:v>Dormant</x:v>
      </x:c>
      <x:c r="R56" s="7" t="str">
        <x:f>IF(DATE(2026,6,30)-G56&lt;=90,"New",IF(AND(L56&lt;=120,I56&gt;=2),"Active",IF(I56=1,"One-time",IF(L56&lt;=240,"At Risk","Lapsed"))))</x:f>
        <x:v>Lapsed</x:v>
      </x:c>
      <x:c r="S56" s="15" t="str">
        <x:f>IF(Q56="Champions","Invite to advisory program and cross-sell service plans",IF(Q56="Loyal Growth","Prioritize expansion offer and product education",IF(Q56="High Value At Risk","Assign sales recovery outreach within 14 days",IF(Q56="New Accounts","Launch 90-day onboarding and adoption sequence",IF(Q56="Promising","Nurture second purchase with use-case content",IF(Q56="Needs Nurture","Run product-fit review and re-engagement sequence","Move to low-frequency win-back program"))))))</x:f>
        <x:v>Move to low-frequency win-back program</x:v>
      </x:c>
      <x:c r="T56" s="1"/>
      <x:c r="U56" s="1"/>
      <x:c r="V56" s="1"/>
      <x:c r="W56" s="1"/>
      <x:c r="X56" s="1"/>
      <x:c r="Y56" s="1"/>
      <x:c r="Z56" s="1"/>
    </x:row>
    <x:row r="57">
      <x:c r="A57" s="7" t="str">
        <x:v>ACC-0056</x:v>
      </x:c>
      <x:c r="B57" s="7" t="str">
        <x:v>Vertex Industries 056</x:v>
      </x:c>
      <x:c r="C57" s="7" t="str">
        <x:v>West</x:v>
      </x:c>
      <x:c r="D57" s="7" t="str">
        <x:v>Food &amp; Beverage</x:v>
      </x:c>
      <x:c r="E57" s="7" t="str">
        <x:v>Enterprise</x:v>
      </x:c>
      <x:c r="F57" s="7" t="str">
        <x:v>Email</x:v>
      </x:c>
      <x:c r="G57" s="8" t="n">
        <x:v>45426</x:v>
      </x:c>
      <x:c r="H57" s="8" t="n">
        <x:v>45712</x:v>
      </x:c>
      <x:c r="I57" s="9" t="n">
        <x:v>4</x:v>
      </x:c>
      <x:c r="J57" s="10" t="n">
        <x:v>442100</x:v>
      </x:c>
      <x:c r="K57" s="10" t="n">
        <x:f>J57/I57</x:f>
        <x:v>110525</x:v>
      </x:c>
      <x:c r="L57" s="9" t="n">
        <x:f>DATE(2026,6,30)-H57</x:f>
        <x:v>491</x:v>
      </x:c>
      <x:c r="M57" s="9" t="n">
        <x:f>IF(L57&lt;=60,5,IF(L57&lt;=120,4,IF(L57&lt;=180,3,IF(L57&lt;=240,2,1))))</x:f>
        <x:v>1</x:v>
      </x:c>
      <x:c r="N57" s="9" t="n">
        <x:f>IF(I57&gt;=6,5,IF(I57&gt;=4,4,IF(I57=3,3,IF(I57=2,2,1))))</x:f>
        <x:v>4</x:v>
      </x:c>
      <x:c r="O57" s="9" t="n">
        <x:f>IF(J57&gt;=500000,5,IF(J57&gt;=300000,4,IF(J57&gt;=175000,3,IF(J57&gt;=75000,2,1))))</x:f>
        <x:v>4</x:v>
      </x:c>
      <x:c r="P57" s="7" t="str">
        <x:f>M57&amp;N57&amp;O57</x:f>
        <x:v>144</x:v>
      </x:c>
      <x:c r="Q57" s="7" t="str">
        <x:f>IF(AND(L57&lt;=60,I57&gt;=5,J57&gt;=300000),"Champions",IF(AND(L57&lt;=120,I57&gt;=3),"Loyal Growth",IF(AND(L57&gt;180,J57&gt;=300000),"High Value At Risk",IF(DATE(2026,6,30)-G57&lt;=90,"New Accounts",IF(AND(L57&lt;=120,I57=1),"Promising",IF(L57&lt;=240,"Needs Nurture","Dormant"))))))</x:f>
        <x:v>High Value At Risk</x:v>
      </x:c>
      <x:c r="R57" s="7" t="str">
        <x:f>IF(DATE(2026,6,30)-G57&lt;=90,"New",IF(AND(L57&lt;=120,I57&gt;=2),"Active",IF(I57=1,"One-time",IF(L57&lt;=240,"At Risk","Lapsed"))))</x:f>
        <x:v>Lapsed</x:v>
      </x:c>
      <x:c r="S57" s="15" t="str">
        <x:f>IF(Q57="Champions","Invite to advisory program and cross-sell service plans",IF(Q57="Loyal Growth","Prioritize expansion offer and product education",IF(Q57="High Value At Risk","Assign sales recovery outreach within 14 days",IF(Q57="New Accounts","Launch 90-day onboarding and adoption sequence",IF(Q57="Promising","Nurture second purchase with use-case content",IF(Q57="Needs Nurture","Run product-fit review and re-engagement sequence","Move to low-frequency win-back program"))))))</x:f>
        <x:v>Assign sales recovery outreach within 14 days</x:v>
      </x:c>
      <x:c r="T57" s="1"/>
      <x:c r="U57" s="1"/>
      <x:c r="V57" s="1"/>
      <x:c r="W57" s="1"/>
      <x:c r="X57" s="1"/>
      <x:c r="Y57" s="1"/>
      <x:c r="Z57" s="1"/>
    </x:row>
    <x:row r="58">
      <x:c r="A58" s="7" t="str">
        <x:v>ACC-0057</x:v>
      </x:c>
      <x:c r="B58" s="7" t="str">
        <x:v>Frontier Manufacturing 057</x:v>
      </x:c>
      <x:c r="C58" s="7" t="str">
        <x:v>West</x:v>
      </x:c>
      <x:c r="D58" s="7" t="str">
        <x:v>Pharmaceuticals</x:v>
      </x:c>
      <x:c r="E58" s="7" t="str">
        <x:v>Small</x:v>
      </x:c>
      <x:c r="F58" s="7" t="str">
        <x:v>LinkedIn</x:v>
      </x:c>
      <x:c r="G58" s="8" t="n">
        <x:v>45400</x:v>
      </x:c>
      <x:c r="H58" s="8" t="n">
        <x:v>45948</x:v>
      </x:c>
      <x:c r="I58" s="9" t="n">
        <x:v>3</x:v>
      </x:c>
      <x:c r="J58" s="10" t="n">
        <x:v>337900</x:v>
      </x:c>
      <x:c r="K58" s="10" t="n">
        <x:f>J58/I58</x:f>
        <x:v>112633.33333333333</x:v>
      </x:c>
      <x:c r="L58" s="9" t="n">
        <x:f>DATE(2026,6,30)-H58</x:f>
        <x:v>255</x:v>
      </x:c>
      <x:c r="M58" s="9" t="n">
        <x:f>IF(L58&lt;=60,5,IF(L58&lt;=120,4,IF(L58&lt;=180,3,IF(L58&lt;=240,2,1))))</x:f>
        <x:v>1</x:v>
      </x:c>
      <x:c r="N58" s="9" t="n">
        <x:f>IF(I58&gt;=6,5,IF(I58&gt;=4,4,IF(I58=3,3,IF(I58=2,2,1))))</x:f>
        <x:v>3</x:v>
      </x:c>
      <x:c r="O58" s="9" t="n">
        <x:f>IF(J58&gt;=500000,5,IF(J58&gt;=300000,4,IF(J58&gt;=175000,3,IF(J58&gt;=75000,2,1))))</x:f>
        <x:v>4</x:v>
      </x:c>
      <x:c r="P58" s="7" t="str">
        <x:f>M58&amp;N58&amp;O58</x:f>
        <x:v>134</x:v>
      </x:c>
      <x:c r="Q58" s="7" t="str">
        <x:f>IF(AND(L58&lt;=60,I58&gt;=5,J58&gt;=300000),"Champions",IF(AND(L58&lt;=120,I58&gt;=3),"Loyal Growth",IF(AND(L58&gt;180,J58&gt;=300000),"High Value At Risk",IF(DATE(2026,6,30)-G58&lt;=90,"New Accounts",IF(AND(L58&lt;=120,I58=1),"Promising",IF(L58&lt;=240,"Needs Nurture","Dormant"))))))</x:f>
        <x:v>High Value At Risk</x:v>
      </x:c>
      <x:c r="R58" s="7" t="str">
        <x:f>IF(DATE(2026,6,30)-G58&lt;=90,"New",IF(AND(L58&lt;=120,I58&gt;=2),"Active",IF(I58=1,"One-time",IF(L58&lt;=240,"At Risk","Lapsed"))))</x:f>
        <x:v>Lapsed</x:v>
      </x:c>
      <x:c r="S58" s="15" t="str">
        <x:f>IF(Q58="Champions","Invite to advisory program and cross-sell service plans",IF(Q58="Loyal Growth","Prioritize expansion offer and product education",IF(Q58="High Value At Risk","Assign sales recovery outreach within 14 days",IF(Q58="New Accounts","Launch 90-day onboarding and adoption sequence",IF(Q58="Promising","Nurture second purchase with use-case content",IF(Q58="Needs Nurture","Run product-fit review and re-engagement sequence","Move to low-frequency win-back program"))))))</x:f>
        <x:v>Assign sales recovery outreach within 14 days</x:v>
      </x:c>
      <x:c r="T58" s="1"/>
      <x:c r="U58" s="1"/>
      <x:c r="V58" s="1"/>
      <x:c r="W58" s="1"/>
      <x:c r="X58" s="1"/>
      <x:c r="Y58" s="1"/>
      <x:c r="Z58" s="1"/>
    </x:row>
    <x:row r="59">
      <x:c r="A59" s="7" t="str">
        <x:v>ACC-0058</x:v>
      </x:c>
      <x:c r="B59" s="7" t="str">
        <x:v>Crest Foods 058</x:v>
      </x:c>
      <x:c r="C59" s="7" t="str">
        <x:v>Midwest</x:v>
      </x:c>
      <x:c r="D59" s="7" t="str">
        <x:v>Food &amp; Beverage</x:v>
      </x:c>
      <x:c r="E59" s="7" t="str">
        <x:v>Small</x:v>
      </x:c>
      <x:c r="F59" s="7" t="str">
        <x:v>Email</x:v>
      </x:c>
      <x:c r="G59" s="8" t="n">
        <x:v>45983</x:v>
      </x:c>
      <x:c r="H59" s="8" t="n">
        <x:v>46170</x:v>
      </x:c>
      <x:c r="I59" s="9" t="n">
        <x:v>4</x:v>
      </x:c>
      <x:c r="J59" s="10" t="n">
        <x:v>454500</x:v>
      </x:c>
      <x:c r="K59" s="10" t="n">
        <x:f>J59/I59</x:f>
        <x:v>113625</x:v>
      </x:c>
      <x:c r="L59" s="9" t="n">
        <x:f>DATE(2026,6,30)-H59</x:f>
        <x:v>33</x:v>
      </x:c>
      <x:c r="M59" s="9" t="n">
        <x:f>IF(L59&lt;=60,5,IF(L59&lt;=120,4,IF(L59&lt;=180,3,IF(L59&lt;=240,2,1))))</x:f>
        <x:v>5</x:v>
      </x:c>
      <x:c r="N59" s="9" t="n">
        <x:f>IF(I59&gt;=6,5,IF(I59&gt;=4,4,IF(I59=3,3,IF(I59=2,2,1))))</x:f>
        <x:v>4</x:v>
      </x:c>
      <x:c r="O59" s="9" t="n">
        <x:f>IF(J59&gt;=500000,5,IF(J59&gt;=300000,4,IF(J59&gt;=175000,3,IF(J59&gt;=75000,2,1))))</x:f>
        <x:v>4</x:v>
      </x:c>
      <x:c r="P59" s="7" t="str">
        <x:f>M59&amp;N59&amp;O59</x:f>
        <x:v>544</x:v>
      </x:c>
      <x:c r="Q59" s="7" t="str">
        <x:f>IF(AND(L59&lt;=60,I59&gt;=5,J59&gt;=300000),"Champions",IF(AND(L59&lt;=120,I59&gt;=3),"Loyal Growth",IF(AND(L59&gt;180,J59&gt;=300000),"High Value At Risk",IF(DATE(2026,6,30)-G59&lt;=90,"New Accounts",IF(AND(L59&lt;=120,I59=1),"Promising",IF(L59&lt;=240,"Needs Nurture","Dormant"))))))</x:f>
        <x:v>Loyal Growth</x:v>
      </x:c>
      <x:c r="R59" s="7" t="str">
        <x:f>IF(DATE(2026,6,30)-G59&lt;=90,"New",IF(AND(L59&lt;=120,I59&gt;=2),"Active",IF(I59=1,"One-time",IF(L59&lt;=240,"At Risk","Lapsed"))))</x:f>
        <x:v>Active</x:v>
      </x:c>
      <x:c r="S59" s="15" t="str">
        <x:f>IF(Q59="Champions","Invite to advisory program and cross-sell service plans",IF(Q59="Loyal Growth","Prioritize expansion offer and product education",IF(Q59="High Value At Risk","Assign sales recovery outreach within 14 days",IF(Q59="New Accounts","Launch 90-day onboarding and adoption sequence",IF(Q59="Promising","Nurture second purchase with use-case content",IF(Q59="Needs Nurture","Run product-fit review and re-engagement sequence","Move to low-frequency win-back program"))))))</x:f>
        <x:v>Prioritize expansion offer and product education</x:v>
      </x:c>
      <x:c r="T59" s="1"/>
      <x:c r="U59" s="1"/>
      <x:c r="V59" s="1"/>
      <x:c r="W59" s="1"/>
      <x:c r="X59" s="1"/>
      <x:c r="Y59" s="1"/>
      <x:c r="Z59" s="1"/>
    </x:row>
    <x:row r="60">
      <x:c r="A60" s="7" t="str">
        <x:v>ACC-0059</x:v>
      </x:c>
      <x:c r="B60" s="7" t="str">
        <x:v>Granite Solutions 059</x:v>
      </x:c>
      <x:c r="C60" s="7" t="str">
        <x:v>South</x:v>
      </x:c>
      <x:c r="D60" s="7" t="str">
        <x:v>Food &amp; Beverage</x:v>
      </x:c>
      <x:c r="E60" s="7" t="str">
        <x:v>Small</x:v>
      </x:c>
      <x:c r="F60" s="7" t="str">
        <x:v>Trade Show</x:v>
      </x:c>
      <x:c r="G60" s="8" t="n">
        <x:v>45729</x:v>
      </x:c>
      <x:c r="H60" s="8" t="n">
        <x:v>46132</x:v>
      </x:c>
      <x:c r="I60" s="9" t="n">
        <x:v>3</x:v>
      </x:c>
      <x:c r="J60" s="10" t="n">
        <x:v>103300</x:v>
      </x:c>
      <x:c r="K60" s="10" t="n">
        <x:f>J60/I60</x:f>
        <x:v>34433.333333333336</x:v>
      </x:c>
      <x:c r="L60" s="9" t="n">
        <x:f>DATE(2026,6,30)-H60</x:f>
        <x:v>71</x:v>
      </x:c>
      <x:c r="M60" s="9" t="n">
        <x:f>IF(L60&lt;=60,5,IF(L60&lt;=120,4,IF(L60&lt;=180,3,IF(L60&lt;=240,2,1))))</x:f>
        <x:v>4</x:v>
      </x:c>
      <x:c r="N60" s="9" t="n">
        <x:f>IF(I60&gt;=6,5,IF(I60&gt;=4,4,IF(I60=3,3,IF(I60=2,2,1))))</x:f>
        <x:v>3</x:v>
      </x:c>
      <x:c r="O60" s="9" t="n">
        <x:f>IF(J60&gt;=500000,5,IF(J60&gt;=300000,4,IF(J60&gt;=175000,3,IF(J60&gt;=75000,2,1))))</x:f>
        <x:v>2</x:v>
      </x:c>
      <x:c r="P60" s="7" t="str">
        <x:f>M60&amp;N60&amp;O60</x:f>
        <x:v>432</x:v>
      </x:c>
      <x:c r="Q60" s="7" t="str">
        <x:f>IF(AND(L60&lt;=60,I60&gt;=5,J60&gt;=300000),"Champions",IF(AND(L60&lt;=120,I60&gt;=3),"Loyal Growth",IF(AND(L60&gt;180,J60&gt;=300000),"High Value At Risk",IF(DATE(2026,6,30)-G60&lt;=90,"New Accounts",IF(AND(L60&lt;=120,I60=1),"Promising",IF(L60&lt;=240,"Needs Nurture","Dormant"))))))</x:f>
        <x:v>Loyal Growth</x:v>
      </x:c>
      <x:c r="R60" s="7" t="str">
        <x:f>IF(DATE(2026,6,30)-G60&lt;=90,"New",IF(AND(L60&lt;=120,I60&gt;=2),"Active",IF(I60=1,"One-time",IF(L60&lt;=240,"At Risk","Lapsed"))))</x:f>
        <x:v>Active</x:v>
      </x:c>
      <x:c r="S60" s="15" t="str">
        <x:f>IF(Q60="Champions","Invite to advisory program and cross-sell service plans",IF(Q60="Loyal Growth","Prioritize expansion offer and product education",IF(Q60="High Value At Risk","Assign sales recovery outreach within 14 days",IF(Q60="New Accounts","Launch 90-day onboarding and adoption sequence",IF(Q60="Promising","Nurture second purchase with use-case content",IF(Q60="Needs Nurture","Run product-fit review and re-engagement sequence","Move to low-frequency win-back program"))))))</x:f>
        <x:v>Prioritize expansion offer and product education</x:v>
      </x:c>
      <x:c r="T60" s="1"/>
      <x:c r="U60" s="1"/>
      <x:c r="V60" s="1"/>
      <x:c r="W60" s="1"/>
      <x:c r="X60" s="1"/>
      <x:c r="Y60" s="1"/>
      <x:c r="Z60" s="1"/>
    </x:row>
    <x:row r="61">
      <x:c r="A61" s="7" t="str">
        <x:v>ACC-0060</x:v>
      </x:c>
      <x:c r="B61" s="7" t="str">
        <x:v>Vertex Products 060</x:v>
      </x:c>
      <x:c r="C61" s="7" t="str">
        <x:v>Midwest</x:v>
      </x:c>
      <x:c r="D61" s="7" t="str">
        <x:v>Consumer Goods</x:v>
      </x:c>
      <x:c r="E61" s="7" t="str">
        <x:v>Enterprise</x:v>
      </x:c>
      <x:c r="F61" s="7" t="str">
        <x:v>Google Search</x:v>
      </x:c>
      <x:c r="G61" s="8" t="n">
        <x:v>45911</x:v>
      </x:c>
      <x:c r="H61" s="8" t="n">
        <x:v>45999</x:v>
      </x:c>
      <x:c r="I61" s="9" t="n">
        <x:v>3</x:v>
      </x:c>
      <x:c r="J61" s="10" t="n">
        <x:v>440300</x:v>
      </x:c>
      <x:c r="K61" s="10" t="n">
        <x:f>J61/I61</x:f>
        <x:v>146766.66666666666</x:v>
      </x:c>
      <x:c r="L61" s="9" t="n">
        <x:f>DATE(2026,6,30)-H61</x:f>
        <x:v>204</x:v>
      </x:c>
      <x:c r="M61" s="9" t="n">
        <x:f>IF(L61&lt;=60,5,IF(L61&lt;=120,4,IF(L61&lt;=180,3,IF(L61&lt;=240,2,1))))</x:f>
        <x:v>2</x:v>
      </x:c>
      <x:c r="N61" s="9" t="n">
        <x:f>IF(I61&gt;=6,5,IF(I61&gt;=4,4,IF(I61=3,3,IF(I61=2,2,1))))</x:f>
        <x:v>3</x:v>
      </x:c>
      <x:c r="O61" s="9" t="n">
        <x:f>IF(J61&gt;=500000,5,IF(J61&gt;=300000,4,IF(J61&gt;=175000,3,IF(J61&gt;=75000,2,1))))</x:f>
        <x:v>4</x:v>
      </x:c>
      <x:c r="P61" s="7" t="str">
        <x:f>M61&amp;N61&amp;O61</x:f>
        <x:v>234</x:v>
      </x:c>
      <x:c r="Q61" s="7" t="str">
        <x:f>IF(AND(L61&lt;=60,I61&gt;=5,J61&gt;=300000),"Champions",IF(AND(L61&lt;=120,I61&gt;=3),"Loyal Growth",IF(AND(L61&gt;180,J61&gt;=300000),"High Value At Risk",IF(DATE(2026,6,30)-G61&lt;=90,"New Accounts",IF(AND(L61&lt;=120,I61=1),"Promising",IF(L61&lt;=240,"Needs Nurture","Dormant"))))))</x:f>
        <x:v>High Value At Risk</x:v>
      </x:c>
      <x:c r="R61" s="7" t="str">
        <x:f>IF(DATE(2026,6,30)-G61&lt;=90,"New",IF(AND(L61&lt;=120,I61&gt;=2),"Active",IF(I61=1,"One-time",IF(L61&lt;=240,"At Risk","Lapsed"))))</x:f>
        <x:v>At Risk</x:v>
      </x:c>
      <x:c r="S61" s="15" t="str">
        <x:f>IF(Q61="Champions","Invite to advisory program and cross-sell service plans",IF(Q61="Loyal Growth","Prioritize expansion offer and product education",IF(Q61="High Value At Risk","Assign sales recovery outreach within 14 days",IF(Q61="New Accounts","Launch 90-day onboarding and adoption sequence",IF(Q61="Promising","Nurture second purchase with use-case content",IF(Q61="Needs Nurture","Run product-fit review and re-engagement sequence","Move to low-frequency win-back program"))))))</x:f>
        <x:v>Assign sales recovery outreach within 14 days</x:v>
      </x:c>
      <x:c r="T61" s="1"/>
      <x:c r="U61" s="1"/>
      <x:c r="V61" s="1"/>
      <x:c r="W61" s="1"/>
      <x:c r="X61" s="1"/>
      <x:c r="Y61" s="1"/>
      <x:c r="Z61" s="1"/>
    </x:row>
    <x:row r="62">
      <x:c r="A62" s="7" t="str">
        <x:v>ACC-0061</x:v>
      </x:c>
      <x:c r="B62" s="7" t="str">
        <x:v>Keystone Industries 061</x:v>
      </x:c>
      <x:c r="C62" s="7" t="str">
        <x:v>West</x:v>
      </x:c>
      <x:c r="D62" s="7" t="str">
        <x:v>Food &amp; Beverage</x:v>
      </x:c>
      <x:c r="E62" s="7" t="str">
        <x:v>Small</x:v>
      </x:c>
      <x:c r="F62" s="7" t="str">
        <x:v>LinkedIn</x:v>
      </x:c>
      <x:c r="G62" s="8" t="n">
        <x:v>46007</x:v>
      </x:c>
      <x:c r="H62" s="8" t="n">
        <x:v>46155</x:v>
      </x:c>
      <x:c r="I62" s="9" t="n">
        <x:v>3</x:v>
      </x:c>
      <x:c r="J62" s="10" t="n">
        <x:v>304900</x:v>
      </x:c>
      <x:c r="K62" s="10" t="n">
        <x:f>J62/I62</x:f>
        <x:v>101633.33333333333</x:v>
      </x:c>
      <x:c r="L62" s="9" t="n">
        <x:f>DATE(2026,6,30)-H62</x:f>
        <x:v>48</x:v>
      </x:c>
      <x:c r="M62" s="9" t="n">
        <x:f>IF(L62&lt;=60,5,IF(L62&lt;=120,4,IF(L62&lt;=180,3,IF(L62&lt;=240,2,1))))</x:f>
        <x:v>5</x:v>
      </x:c>
      <x:c r="N62" s="9" t="n">
        <x:f>IF(I62&gt;=6,5,IF(I62&gt;=4,4,IF(I62=3,3,IF(I62=2,2,1))))</x:f>
        <x:v>3</x:v>
      </x:c>
      <x:c r="O62" s="9" t="n">
        <x:f>IF(J62&gt;=500000,5,IF(J62&gt;=300000,4,IF(J62&gt;=175000,3,IF(J62&gt;=75000,2,1))))</x:f>
        <x:v>4</x:v>
      </x:c>
      <x:c r="P62" s="7" t="str">
        <x:f>M62&amp;N62&amp;O62</x:f>
        <x:v>534</x:v>
      </x:c>
      <x:c r="Q62" s="7" t="str">
        <x:f>IF(AND(L62&lt;=60,I62&gt;=5,J62&gt;=300000),"Champions",IF(AND(L62&lt;=120,I62&gt;=3),"Loyal Growth",IF(AND(L62&gt;180,J62&gt;=300000),"High Value At Risk",IF(DATE(2026,6,30)-G62&lt;=90,"New Accounts",IF(AND(L62&lt;=120,I62=1),"Promising",IF(L62&lt;=240,"Needs Nurture","Dormant"))))))</x:f>
        <x:v>Loyal Growth</x:v>
      </x:c>
      <x:c r="R62" s="7" t="str">
        <x:f>IF(DATE(2026,6,30)-G62&lt;=90,"New",IF(AND(L62&lt;=120,I62&gt;=2),"Active",IF(I62=1,"One-time",IF(L62&lt;=240,"At Risk","Lapsed"))))</x:f>
        <x:v>Active</x:v>
      </x:c>
      <x:c r="S62" s="15" t="str">
        <x:f>IF(Q62="Champions","Invite to advisory program and cross-sell service plans",IF(Q62="Loyal Growth","Prioritize expansion offer and product education",IF(Q62="High Value At Risk","Assign sales recovery outreach within 14 days",IF(Q62="New Accounts","Launch 90-day onboarding and adoption sequence",IF(Q62="Promising","Nurture second purchase with use-case content",IF(Q62="Needs Nurture","Run product-fit review and re-engagement sequence","Move to low-frequency win-back program"))))))</x:f>
        <x:v>Prioritize expansion offer and product education</x:v>
      </x:c>
      <x:c r="T62" s="1"/>
      <x:c r="U62" s="1"/>
      <x:c r="V62" s="1"/>
      <x:c r="W62" s="1"/>
      <x:c r="X62" s="1"/>
      <x:c r="Y62" s="1"/>
      <x:c r="Z62" s="1"/>
    </x:row>
    <x:row r="63">
      <x:c r="A63" s="7" t="str">
        <x:v>ACC-0062</x:v>
      </x:c>
      <x:c r="B63" s="7" t="str">
        <x:v>Vertex Foods 062</x:v>
      </x:c>
      <x:c r="C63" s="7" t="str">
        <x:v>West</x:v>
      </x:c>
      <x:c r="D63" s="7" t="str">
        <x:v>Industrial Products</x:v>
      </x:c>
      <x:c r="E63" s="7" t="str">
        <x:v>Small</x:v>
      </x:c>
      <x:c r="F63" s="7" t="str">
        <x:v>Email</x:v>
      </x:c>
      <x:c r="G63" s="8" t="n">
        <x:v>45834</x:v>
      </x:c>
      <x:c r="H63" s="8" t="n">
        <x:v>45834</x:v>
      </x:c>
      <x:c r="I63" s="9" t="n">
        <x:v>1</x:v>
      </x:c>
      <x:c r="J63" s="10" t="n">
        <x:v>137400</x:v>
      </x:c>
      <x:c r="K63" s="10" t="n">
        <x:f>J63/I63</x:f>
        <x:v>137400</x:v>
      </x:c>
      <x:c r="L63" s="9" t="n">
        <x:f>DATE(2026,6,30)-H63</x:f>
        <x:v>369</x:v>
      </x:c>
      <x:c r="M63" s="9" t="n">
        <x:f>IF(L63&lt;=60,5,IF(L63&lt;=120,4,IF(L63&lt;=180,3,IF(L63&lt;=240,2,1))))</x:f>
        <x:v>1</x:v>
      </x:c>
      <x:c r="N63" s="9" t="n">
        <x:f>IF(I63&gt;=6,5,IF(I63&gt;=4,4,IF(I63=3,3,IF(I63=2,2,1))))</x:f>
        <x:v>1</x:v>
      </x:c>
      <x:c r="O63" s="9" t="n">
        <x:f>IF(J63&gt;=500000,5,IF(J63&gt;=300000,4,IF(J63&gt;=175000,3,IF(J63&gt;=75000,2,1))))</x:f>
        <x:v>2</x:v>
      </x:c>
      <x:c r="P63" s="7" t="str">
        <x:f>M63&amp;N63&amp;O63</x:f>
        <x:v>112</x:v>
      </x:c>
      <x:c r="Q63" s="7" t="str">
        <x:f>IF(AND(L63&lt;=60,I63&gt;=5,J63&gt;=300000),"Champions",IF(AND(L63&lt;=120,I63&gt;=3),"Loyal Growth",IF(AND(L63&gt;180,J63&gt;=300000),"High Value At Risk",IF(DATE(2026,6,30)-G63&lt;=90,"New Accounts",IF(AND(L63&lt;=120,I63=1),"Promising",IF(L63&lt;=240,"Needs Nurture","Dormant"))))))</x:f>
        <x:v>Dormant</x:v>
      </x:c>
      <x:c r="R63" s="7" t="str">
        <x:f>IF(DATE(2026,6,30)-G63&lt;=90,"New",IF(AND(L63&lt;=120,I63&gt;=2),"Active",IF(I63=1,"One-time",IF(L63&lt;=240,"At Risk","Lapsed"))))</x:f>
        <x:v>One-time</x:v>
      </x:c>
      <x:c r="S63" s="15" t="str">
        <x:f>IF(Q63="Champions","Invite to advisory program and cross-sell service plans",IF(Q63="Loyal Growth","Prioritize expansion offer and product education",IF(Q63="High Value At Risk","Assign sales recovery outreach within 14 days",IF(Q63="New Accounts","Launch 90-day onboarding and adoption sequence",IF(Q63="Promising","Nurture second purchase with use-case content",IF(Q63="Needs Nurture","Run product-fit review and re-engagement sequence","Move to low-frequency win-back program"))))))</x:f>
        <x:v>Move to low-frequency win-back program</x:v>
      </x:c>
      <x:c r="T63" s="1"/>
      <x:c r="U63" s="1"/>
      <x:c r="V63" s="1"/>
      <x:c r="W63" s="1"/>
      <x:c r="X63" s="1"/>
      <x:c r="Y63" s="1"/>
      <x:c r="Z63" s="1"/>
    </x:row>
    <x:row r="64">
      <x:c r="A64" s="7" t="str">
        <x:v>ACC-0063</x:v>
      </x:c>
      <x:c r="B64" s="7" t="str">
        <x:v>Keystone Foods 063</x:v>
      </x:c>
      <x:c r="C64" s="7" t="str">
        <x:v>South</x:v>
      </x:c>
      <x:c r="D64" s="7" t="str">
        <x:v>Consumer Goods</x:v>
      </x:c>
      <x:c r="E64" s="7" t="str">
        <x:v>Enterprise</x:v>
      </x:c>
      <x:c r="F64" s="7" t="str">
        <x:v>Partner Referral</x:v>
      </x:c>
      <x:c r="G64" s="8" t="n">
        <x:v>46107</x:v>
      </x:c>
      <x:c r="H64" s="8" t="n">
        <x:v>46154</x:v>
      </x:c>
      <x:c r="I64" s="9" t="n">
        <x:v>2</x:v>
      </x:c>
      <x:c r="J64" s="10" t="n">
        <x:v>397100</x:v>
      </x:c>
      <x:c r="K64" s="10" t="n">
        <x:f>J64/I64</x:f>
        <x:v>198550</x:v>
      </x:c>
      <x:c r="L64" s="9" t="n">
        <x:f>DATE(2026,6,30)-H64</x:f>
        <x:v>49</x:v>
      </x:c>
      <x:c r="M64" s="9" t="n">
        <x:f>IF(L64&lt;=60,5,IF(L64&lt;=120,4,IF(L64&lt;=180,3,IF(L64&lt;=240,2,1))))</x:f>
        <x:v>5</x:v>
      </x:c>
      <x:c r="N64" s="9" t="n">
        <x:f>IF(I64&gt;=6,5,IF(I64&gt;=4,4,IF(I64=3,3,IF(I64=2,2,1))))</x:f>
        <x:v>2</x:v>
      </x:c>
      <x:c r="O64" s="9" t="n">
        <x:f>IF(J64&gt;=500000,5,IF(J64&gt;=300000,4,IF(J64&gt;=175000,3,IF(J64&gt;=75000,2,1))))</x:f>
        <x:v>4</x:v>
      </x:c>
      <x:c r="P64" s="7" t="str">
        <x:f>M64&amp;N64&amp;O64</x:f>
        <x:v>524</x:v>
      </x:c>
      <x:c r="Q64" s="7" t="str">
        <x:f>IF(AND(L64&lt;=60,I64&gt;=5,J64&gt;=300000),"Champions",IF(AND(L64&lt;=120,I64&gt;=3),"Loyal Growth",IF(AND(L64&gt;180,J64&gt;=300000),"High Value At Risk",IF(DATE(2026,6,30)-G64&lt;=90,"New Accounts",IF(AND(L64&lt;=120,I64=1),"Promising",IF(L64&lt;=240,"Needs Nurture","Dormant"))))))</x:f>
        <x:v>Needs Nurture</x:v>
      </x:c>
      <x:c r="R64" s="7" t="str">
        <x:f>IF(DATE(2026,6,30)-G64&lt;=90,"New",IF(AND(L64&lt;=120,I64&gt;=2),"Active",IF(I64=1,"One-time",IF(L64&lt;=240,"At Risk","Lapsed"))))</x:f>
        <x:v>Active</x:v>
      </x:c>
      <x:c r="S64" s="15" t="str">
        <x:f>IF(Q64="Champions","Invite to advisory program and cross-sell service plans",IF(Q64="Loyal Growth","Prioritize expansion offer and product education",IF(Q64="High Value At Risk","Assign sales recovery outreach within 14 days",IF(Q64="New Accounts","Launch 90-day onboarding and adoption sequence",IF(Q64="Promising","Nurture second purchase with use-case content",IF(Q64="Needs Nurture","Run product-fit review and re-engagement sequence","Move to low-frequency win-back program"))))))</x:f>
        <x:v>Run product-fit review and re-engagement sequence</x:v>
      </x:c>
      <x:c r="T64" s="1"/>
      <x:c r="U64" s="1"/>
      <x:c r="V64" s="1"/>
      <x:c r="W64" s="1"/>
      <x:c r="X64" s="1"/>
      <x:c r="Y64" s="1"/>
      <x:c r="Z64" s="1"/>
    </x:row>
    <x:row r="65">
      <x:c r="A65" s="7" t="str">
        <x:v>ACC-0064</x:v>
      </x:c>
      <x:c r="B65" s="7" t="str">
        <x:v>Vertex Foods 064</x:v>
      </x:c>
      <x:c r="C65" s="7" t="str">
        <x:v>Northeast</x:v>
      </x:c>
      <x:c r="D65" s="7" t="str">
        <x:v>Food &amp; Beverage</x:v>
      </x:c>
      <x:c r="E65" s="7" t="str">
        <x:v>Enterprise</x:v>
      </x:c>
      <x:c r="F65" s="7" t="str">
        <x:v>Email</x:v>
      </x:c>
      <x:c r="G65" s="8" t="n">
        <x:v>45298</x:v>
      </x:c>
      <x:c r="H65" s="8" t="n">
        <x:v>46190</x:v>
      </x:c>
      <x:c r="I65" s="9" t="n">
        <x:v>4</x:v>
      </x:c>
      <x:c r="J65" s="10" t="n">
        <x:v>557800</x:v>
      </x:c>
      <x:c r="K65" s="10" t="n">
        <x:f>J65/I65</x:f>
        <x:v>139450</x:v>
      </x:c>
      <x:c r="L65" s="9" t="n">
        <x:f>DATE(2026,6,30)-H65</x:f>
        <x:v>13</x:v>
      </x:c>
      <x:c r="M65" s="9" t="n">
        <x:f>IF(L65&lt;=60,5,IF(L65&lt;=120,4,IF(L65&lt;=180,3,IF(L65&lt;=240,2,1))))</x:f>
        <x:v>5</x:v>
      </x:c>
      <x:c r="N65" s="9" t="n">
        <x:f>IF(I65&gt;=6,5,IF(I65&gt;=4,4,IF(I65=3,3,IF(I65=2,2,1))))</x:f>
        <x:v>4</x:v>
      </x:c>
      <x:c r="O65" s="9" t="n">
        <x:f>IF(J65&gt;=500000,5,IF(J65&gt;=300000,4,IF(J65&gt;=175000,3,IF(J65&gt;=75000,2,1))))</x:f>
        <x:v>5</x:v>
      </x:c>
      <x:c r="P65" s="7" t="str">
        <x:f>M65&amp;N65&amp;O65</x:f>
        <x:v>545</x:v>
      </x:c>
      <x:c r="Q65" s="7" t="str">
        <x:f>IF(AND(L65&lt;=60,I65&gt;=5,J65&gt;=300000),"Champions",IF(AND(L65&lt;=120,I65&gt;=3),"Loyal Growth",IF(AND(L65&gt;180,J65&gt;=300000),"High Value At Risk",IF(DATE(2026,6,30)-G65&lt;=90,"New Accounts",IF(AND(L65&lt;=120,I65=1),"Promising",IF(L65&lt;=240,"Needs Nurture","Dormant"))))))</x:f>
        <x:v>Loyal Growth</x:v>
      </x:c>
      <x:c r="R65" s="7" t="str">
        <x:f>IF(DATE(2026,6,30)-G65&lt;=90,"New",IF(AND(L65&lt;=120,I65&gt;=2),"Active",IF(I65=1,"One-time",IF(L65&lt;=240,"At Risk","Lapsed"))))</x:f>
        <x:v>Active</x:v>
      </x:c>
      <x:c r="S65" s="15" t="str">
        <x:f>IF(Q65="Champions","Invite to advisory program and cross-sell service plans",IF(Q65="Loyal Growth","Prioritize expansion offer and product education",IF(Q65="High Value At Risk","Assign sales recovery outreach within 14 days",IF(Q65="New Accounts","Launch 90-day onboarding and adoption sequence",IF(Q65="Promising","Nurture second purchase with use-case content",IF(Q65="Needs Nurture","Run product-fit review and re-engagement sequence","Move to low-frequency win-back program"))))))</x:f>
        <x:v>Prioritize expansion offer and product education</x:v>
      </x:c>
      <x:c r="T65" s="1"/>
      <x:c r="U65" s="1"/>
      <x:c r="V65" s="1"/>
      <x:c r="W65" s="1"/>
      <x:c r="X65" s="1"/>
      <x:c r="Y65" s="1"/>
      <x:c r="Z65" s="1"/>
    </x:row>
    <x:row r="66">
      <x:c r="A66" s="7" t="str">
        <x:v>ACC-0065</x:v>
      </x:c>
      <x:c r="B66" s="7" t="str">
        <x:v>Evergreen Solutions 065</x:v>
      </x:c>
      <x:c r="C66" s="7" t="str">
        <x:v>West</x:v>
      </x:c>
      <x:c r="D66" s="7" t="str">
        <x:v>Food &amp; Beverage</x:v>
      </x:c>
      <x:c r="E66" s="7" t="str">
        <x:v>Enterprise</x:v>
      </x:c>
      <x:c r="F66" s="7" t="str">
        <x:v>Partner Referral</x:v>
      </x:c>
      <x:c r="G66" s="8" t="n">
        <x:v>45885</x:v>
      </x:c>
      <x:c r="H66" s="8" t="n">
        <x:v>46085</x:v>
      </x:c>
      <x:c r="I66" s="9" t="n">
        <x:v>5</x:v>
      </x:c>
      <x:c r="J66" s="10" t="n">
        <x:v>795300</x:v>
      </x:c>
      <x:c r="K66" s="10" t="n">
        <x:f>J66/I66</x:f>
        <x:v>159060</x:v>
      </x:c>
      <x:c r="L66" s="9" t="n">
        <x:f>DATE(2026,6,30)-H66</x:f>
        <x:v>118</x:v>
      </x:c>
      <x:c r="M66" s="9" t="n">
        <x:f>IF(L66&lt;=60,5,IF(L66&lt;=120,4,IF(L66&lt;=180,3,IF(L66&lt;=240,2,1))))</x:f>
        <x:v>4</x:v>
      </x:c>
      <x:c r="N66" s="9" t="n">
        <x:f>IF(I66&gt;=6,5,IF(I66&gt;=4,4,IF(I66=3,3,IF(I66=2,2,1))))</x:f>
        <x:v>4</x:v>
      </x:c>
      <x:c r="O66" s="9" t="n">
        <x:f>IF(J66&gt;=500000,5,IF(J66&gt;=300000,4,IF(J66&gt;=175000,3,IF(J66&gt;=75000,2,1))))</x:f>
        <x:v>5</x:v>
      </x:c>
      <x:c r="P66" s="7" t="str">
        <x:f>M66&amp;N66&amp;O66</x:f>
        <x:v>445</x:v>
      </x:c>
      <x:c r="Q66" s="7" t="str">
        <x:f>IF(AND(L66&lt;=60,I66&gt;=5,J66&gt;=300000),"Champions",IF(AND(L66&lt;=120,I66&gt;=3),"Loyal Growth",IF(AND(L66&gt;180,J66&gt;=300000),"High Value At Risk",IF(DATE(2026,6,30)-G66&lt;=90,"New Accounts",IF(AND(L66&lt;=120,I66=1),"Promising",IF(L66&lt;=240,"Needs Nurture","Dormant"))))))</x:f>
        <x:v>Loyal Growth</x:v>
      </x:c>
      <x:c r="R66" s="7" t="str">
        <x:f>IF(DATE(2026,6,30)-G66&lt;=90,"New",IF(AND(L66&lt;=120,I66&gt;=2),"Active",IF(I66=1,"One-time",IF(L66&lt;=240,"At Risk","Lapsed"))))</x:f>
        <x:v>Active</x:v>
      </x:c>
      <x:c r="S66" s="15" t="str">
        <x:f>IF(Q66="Champions","Invite to advisory program and cross-sell service plans",IF(Q66="Loyal Growth","Prioritize expansion offer and product education",IF(Q66="High Value At Risk","Assign sales recovery outreach within 14 days",IF(Q66="New Accounts","Launch 90-day onboarding and adoption sequence",IF(Q66="Promising","Nurture second purchase with use-case content",IF(Q66="Needs Nurture","Run product-fit review and re-engagement sequence","Move to low-frequency win-back program"))))))</x:f>
        <x:v>Prioritize expansion offer and product education</x:v>
      </x:c>
      <x:c r="T66" s="1"/>
      <x:c r="U66" s="1"/>
      <x:c r="V66" s="1"/>
      <x:c r="W66" s="1"/>
      <x:c r="X66" s="1"/>
      <x:c r="Y66" s="1"/>
      <x:c r="Z66" s="1"/>
    </x:row>
    <x:row r="67">
      <x:c r="A67" s="7" t="str">
        <x:v>ACC-0066</x:v>
      </x:c>
      <x:c r="B67" s="7" t="str">
        <x:v>Northstar Packaging 066</x:v>
      </x:c>
      <x:c r="C67" s="7" t="str">
        <x:v>South</x:v>
      </x:c>
      <x:c r="D67" s="7" t="str">
        <x:v>Consumer Goods</x:v>
      </x:c>
      <x:c r="E67" s="7" t="str">
        <x:v>Small</x:v>
      </x:c>
      <x:c r="F67" s="7" t="str">
        <x:v>LinkedIn</x:v>
      </x:c>
      <x:c r="G67" s="8" t="n">
        <x:v>45435</x:v>
      </x:c>
      <x:c r="H67" s="8" t="n">
        <x:v>45940</x:v>
      </x:c>
      <x:c r="I67" s="9" t="n">
        <x:v>3</x:v>
      </x:c>
      <x:c r="J67" s="10" t="n">
        <x:v>335500</x:v>
      </x:c>
      <x:c r="K67" s="10" t="n">
        <x:f>J67/I67</x:f>
        <x:v>111833.33333333333</x:v>
      </x:c>
      <x:c r="L67" s="9" t="n">
        <x:f>DATE(2026,6,30)-H67</x:f>
        <x:v>263</x:v>
      </x:c>
      <x:c r="M67" s="9" t="n">
        <x:f>IF(L67&lt;=60,5,IF(L67&lt;=120,4,IF(L67&lt;=180,3,IF(L67&lt;=240,2,1))))</x:f>
        <x:v>1</x:v>
      </x:c>
      <x:c r="N67" s="9" t="n">
        <x:f>IF(I67&gt;=6,5,IF(I67&gt;=4,4,IF(I67=3,3,IF(I67=2,2,1))))</x:f>
        <x:v>3</x:v>
      </x:c>
      <x:c r="O67" s="9" t="n">
        <x:f>IF(J67&gt;=500000,5,IF(J67&gt;=300000,4,IF(J67&gt;=175000,3,IF(J67&gt;=75000,2,1))))</x:f>
        <x:v>4</x:v>
      </x:c>
      <x:c r="P67" s="7" t="str">
        <x:f>M67&amp;N67&amp;O67</x:f>
        <x:v>134</x:v>
      </x:c>
      <x:c r="Q67" s="7" t="str">
        <x:f>IF(AND(L67&lt;=60,I67&gt;=5,J67&gt;=300000),"Champions",IF(AND(L67&lt;=120,I67&gt;=3),"Loyal Growth",IF(AND(L67&gt;180,J67&gt;=300000),"High Value At Risk",IF(DATE(2026,6,30)-G67&lt;=90,"New Accounts",IF(AND(L67&lt;=120,I67=1),"Promising",IF(L67&lt;=240,"Needs Nurture","Dormant"))))))</x:f>
        <x:v>High Value At Risk</x:v>
      </x:c>
      <x:c r="R67" s="7" t="str">
        <x:f>IF(DATE(2026,6,30)-G67&lt;=90,"New",IF(AND(L67&lt;=120,I67&gt;=2),"Active",IF(I67=1,"One-time",IF(L67&lt;=240,"At Risk","Lapsed"))))</x:f>
        <x:v>Lapsed</x:v>
      </x:c>
      <x:c r="S67" s="15" t="str">
        <x:f>IF(Q67="Champions","Invite to advisory program and cross-sell service plans",IF(Q67="Loyal Growth","Prioritize expansion offer and product education",IF(Q67="High Value At Risk","Assign sales recovery outreach within 14 days",IF(Q67="New Accounts","Launch 90-day onboarding and adoption sequence",IF(Q67="Promising","Nurture second purchase with use-case content",IF(Q67="Needs Nurture","Run product-fit review and re-engagement sequence","Move to low-frequency win-back program"))))))</x:f>
        <x:v>Assign sales recovery outreach within 14 days</x:v>
      </x:c>
      <x:c r="T67" s="1"/>
      <x:c r="U67" s="1"/>
      <x:c r="V67" s="1"/>
      <x:c r="W67" s="1"/>
      <x:c r="X67" s="1"/>
      <x:c r="Y67" s="1"/>
      <x:c r="Z67" s="1"/>
    </x:row>
    <x:row r="68">
      <x:c r="A68" s="7" t="str">
        <x:v>ACC-0067</x:v>
      </x:c>
      <x:c r="B68" s="7" t="str">
        <x:v>Vertex Manufacturing 067</x:v>
      </x:c>
      <x:c r="C68" s="7" t="str">
        <x:v>Northeast</x:v>
      </x:c>
      <x:c r="D68" s="7" t="str">
        <x:v>Contract Packaging</x:v>
      </x:c>
      <x:c r="E68" s="7" t="str">
        <x:v>Enterprise</x:v>
      </x:c>
      <x:c r="F68" s="7" t="str">
        <x:v>Trade Show</x:v>
      </x:c>
      <x:c r="G68" s="8" t="n">
        <x:v>45911</x:v>
      </x:c>
      <x:c r="H68" s="8" t="n">
        <x:v>46192</x:v>
      </x:c>
      <x:c r="I68" s="9" t="n">
        <x:v>5</x:v>
      </x:c>
      <x:c r="J68" s="10" t="n">
        <x:v>426800</x:v>
      </x:c>
      <x:c r="K68" s="10" t="n">
        <x:f>J68/I68</x:f>
        <x:v>85360</x:v>
      </x:c>
      <x:c r="L68" s="9" t="n">
        <x:f>DATE(2026,6,30)-H68</x:f>
        <x:v>11</x:v>
      </x:c>
      <x:c r="M68" s="9" t="n">
        <x:f>IF(L68&lt;=60,5,IF(L68&lt;=120,4,IF(L68&lt;=180,3,IF(L68&lt;=240,2,1))))</x:f>
        <x:v>5</x:v>
      </x:c>
      <x:c r="N68" s="9" t="n">
        <x:f>IF(I68&gt;=6,5,IF(I68&gt;=4,4,IF(I68=3,3,IF(I68=2,2,1))))</x:f>
        <x:v>4</x:v>
      </x:c>
      <x:c r="O68" s="9" t="n">
        <x:f>IF(J68&gt;=500000,5,IF(J68&gt;=300000,4,IF(J68&gt;=175000,3,IF(J68&gt;=75000,2,1))))</x:f>
        <x:v>4</x:v>
      </x:c>
      <x:c r="P68" s="7" t="str">
        <x:f>M68&amp;N68&amp;O68</x:f>
        <x:v>544</x:v>
      </x:c>
      <x:c r="Q68" s="7" t="str">
        <x:f>IF(AND(L68&lt;=60,I68&gt;=5,J68&gt;=300000),"Champions",IF(AND(L68&lt;=120,I68&gt;=3),"Loyal Growth",IF(AND(L68&gt;180,J68&gt;=300000),"High Value At Risk",IF(DATE(2026,6,30)-G68&lt;=90,"New Accounts",IF(AND(L68&lt;=120,I68=1),"Promising",IF(L68&lt;=240,"Needs Nurture","Dormant"))))))</x:f>
        <x:v>Champions</x:v>
      </x:c>
      <x:c r="R68" s="7" t="str">
        <x:f>IF(DATE(2026,6,30)-G68&lt;=90,"New",IF(AND(L68&lt;=120,I68&gt;=2),"Active",IF(I68=1,"One-time",IF(L68&lt;=240,"At Risk","Lapsed"))))</x:f>
        <x:v>Active</x:v>
      </x:c>
      <x:c r="S68" s="15" t="str">
        <x:f>IF(Q68="Champions","Invite to advisory program and cross-sell service plans",IF(Q68="Loyal Growth","Prioritize expansion offer and product education",IF(Q68="High Value At Risk","Assign sales recovery outreach within 14 days",IF(Q68="New Accounts","Launch 90-day onboarding and adoption sequence",IF(Q68="Promising","Nurture second purchase with use-case content",IF(Q68="Needs Nurture","Run product-fit review and re-engagement sequence","Move to low-frequency win-back program"))))))</x:f>
        <x:v>Invite to advisory program and cross-sell service plans</x:v>
      </x:c>
      <x:c r="T68" s="1"/>
      <x:c r="U68" s="1"/>
      <x:c r="V68" s="1"/>
      <x:c r="W68" s="1"/>
      <x:c r="X68" s="1"/>
      <x:c r="Y68" s="1"/>
      <x:c r="Z68" s="1"/>
    </x:row>
    <x:row r="69">
      <x:c r="A69" s="7" t="str">
        <x:v>ACC-0068</x:v>
      </x:c>
      <x:c r="B69" s="7" t="str">
        <x:v>Northstar Products 068</x:v>
      </x:c>
      <x:c r="C69" s="7" t="str">
        <x:v>South</x:v>
      </x:c>
      <x:c r="D69" s="7" t="str">
        <x:v>Industrial Products</x:v>
      </x:c>
      <x:c r="E69" s="7" t="str">
        <x:v>Mid-market</x:v>
      </x:c>
      <x:c r="F69" s="7" t="str">
        <x:v>Google Search</x:v>
      </x:c>
      <x:c r="G69" s="8" t="n">
        <x:v>45687</x:v>
      </x:c>
      <x:c r="H69" s="8" t="n">
        <x:v>46119</x:v>
      </x:c>
      <x:c r="I69" s="9" t="n">
        <x:v>2</x:v>
      </x:c>
      <x:c r="J69" s="10" t="n">
        <x:v>305200</x:v>
      </x:c>
      <x:c r="K69" s="10" t="n">
        <x:f>J69/I69</x:f>
        <x:v>152600</x:v>
      </x:c>
      <x:c r="L69" s="9" t="n">
        <x:f>DATE(2026,6,30)-H69</x:f>
        <x:v>84</x:v>
      </x:c>
      <x:c r="M69" s="9" t="n">
        <x:f>IF(L69&lt;=60,5,IF(L69&lt;=120,4,IF(L69&lt;=180,3,IF(L69&lt;=240,2,1))))</x:f>
        <x:v>4</x:v>
      </x:c>
      <x:c r="N69" s="9" t="n">
        <x:f>IF(I69&gt;=6,5,IF(I69&gt;=4,4,IF(I69=3,3,IF(I69=2,2,1))))</x:f>
        <x:v>2</x:v>
      </x:c>
      <x:c r="O69" s="9" t="n">
        <x:f>IF(J69&gt;=500000,5,IF(J69&gt;=300000,4,IF(J69&gt;=175000,3,IF(J69&gt;=75000,2,1))))</x:f>
        <x:v>4</x:v>
      </x:c>
      <x:c r="P69" s="7" t="str">
        <x:f>M69&amp;N69&amp;O69</x:f>
        <x:v>424</x:v>
      </x:c>
      <x:c r="Q69" s="7" t="str">
        <x:f>IF(AND(L69&lt;=60,I69&gt;=5,J69&gt;=300000),"Champions",IF(AND(L69&lt;=120,I69&gt;=3),"Loyal Growth",IF(AND(L69&gt;180,J69&gt;=300000),"High Value At Risk",IF(DATE(2026,6,30)-G69&lt;=90,"New Accounts",IF(AND(L69&lt;=120,I69=1),"Promising",IF(L69&lt;=240,"Needs Nurture","Dormant"))))))</x:f>
        <x:v>Needs Nurture</x:v>
      </x:c>
      <x:c r="R69" s="7" t="str">
        <x:f>IF(DATE(2026,6,30)-G69&lt;=90,"New",IF(AND(L69&lt;=120,I69&gt;=2),"Active",IF(I69=1,"One-time",IF(L69&lt;=240,"At Risk","Lapsed"))))</x:f>
        <x:v>Active</x:v>
      </x:c>
      <x:c r="S69" s="15" t="str">
        <x:f>IF(Q69="Champions","Invite to advisory program and cross-sell service plans",IF(Q69="Loyal Growth","Prioritize expansion offer and product education",IF(Q69="High Value At Risk","Assign sales recovery outreach within 14 days",IF(Q69="New Accounts","Launch 90-day onboarding and adoption sequence",IF(Q69="Promising","Nurture second purchase with use-case content",IF(Q69="Needs Nurture","Run product-fit review and re-engagement sequence","Move to low-frequency win-back program"))))))</x:f>
        <x:v>Run product-fit review and re-engagement sequence</x:v>
      </x:c>
      <x:c r="T69" s="1"/>
      <x:c r="U69" s="1"/>
      <x:c r="V69" s="1"/>
      <x:c r="W69" s="1"/>
      <x:c r="X69" s="1"/>
      <x:c r="Y69" s="1"/>
      <x:c r="Z69" s="1"/>
    </x:row>
    <x:row r="70">
      <x:c r="A70" s="7" t="str">
        <x:v>ACC-0069</x:v>
      </x:c>
      <x:c r="B70" s="7" t="str">
        <x:v>Harbor Labs 069</x:v>
      </x:c>
      <x:c r="C70" s="7" t="str">
        <x:v>South</x:v>
      </x:c>
      <x:c r="D70" s="7" t="str">
        <x:v>Pharmaceuticals</x:v>
      </x:c>
      <x:c r="E70" s="7" t="str">
        <x:v>Enterprise</x:v>
      </x:c>
      <x:c r="F70" s="7" t="str">
        <x:v>Google Search</x:v>
      </x:c>
      <x:c r="G70" s="8" t="n">
        <x:v>45933</x:v>
      </x:c>
      <x:c r="H70" s="8" t="n">
        <x:v>46155</x:v>
      </x:c>
      <x:c r="I70" s="9" t="n">
        <x:v>4</x:v>
      </x:c>
      <x:c r="J70" s="10" t="n">
        <x:v>509600</x:v>
      </x:c>
      <x:c r="K70" s="10" t="n">
        <x:f>J70/I70</x:f>
        <x:v>127400</x:v>
      </x:c>
      <x:c r="L70" s="9" t="n">
        <x:f>DATE(2026,6,30)-H70</x:f>
        <x:v>48</x:v>
      </x:c>
      <x:c r="M70" s="9" t="n">
        <x:f>IF(L70&lt;=60,5,IF(L70&lt;=120,4,IF(L70&lt;=180,3,IF(L70&lt;=240,2,1))))</x:f>
        <x:v>5</x:v>
      </x:c>
      <x:c r="N70" s="9" t="n">
        <x:f>IF(I70&gt;=6,5,IF(I70&gt;=4,4,IF(I70=3,3,IF(I70=2,2,1))))</x:f>
        <x:v>4</x:v>
      </x:c>
      <x:c r="O70" s="9" t="n">
        <x:f>IF(J70&gt;=500000,5,IF(J70&gt;=300000,4,IF(J70&gt;=175000,3,IF(J70&gt;=75000,2,1))))</x:f>
        <x:v>5</x:v>
      </x:c>
      <x:c r="P70" s="7" t="str">
        <x:f>M70&amp;N70&amp;O70</x:f>
        <x:v>545</x:v>
      </x:c>
      <x:c r="Q70" s="7" t="str">
        <x:f>IF(AND(L70&lt;=60,I70&gt;=5,J70&gt;=300000),"Champions",IF(AND(L70&lt;=120,I70&gt;=3),"Loyal Growth",IF(AND(L70&gt;180,J70&gt;=300000),"High Value At Risk",IF(DATE(2026,6,30)-G70&lt;=90,"New Accounts",IF(AND(L70&lt;=120,I70=1),"Promising",IF(L70&lt;=240,"Needs Nurture","Dormant"))))))</x:f>
        <x:v>Loyal Growth</x:v>
      </x:c>
      <x:c r="R70" s="7" t="str">
        <x:f>IF(DATE(2026,6,30)-G70&lt;=90,"New",IF(AND(L70&lt;=120,I70&gt;=2),"Active",IF(I70=1,"One-time",IF(L70&lt;=240,"At Risk","Lapsed"))))</x:f>
        <x:v>Active</x:v>
      </x:c>
      <x:c r="S70" s="15" t="str">
        <x:f>IF(Q70="Champions","Invite to advisory program and cross-sell service plans",IF(Q70="Loyal Growth","Prioritize expansion offer and product education",IF(Q70="High Value At Risk","Assign sales recovery outreach within 14 days",IF(Q70="New Accounts","Launch 90-day onboarding and adoption sequence",IF(Q70="Promising","Nurture second purchase with use-case content",IF(Q70="Needs Nurture","Run product-fit review and re-engagement sequence","Move to low-frequency win-back program"))))))</x:f>
        <x:v>Prioritize expansion offer and product education</x:v>
      </x:c>
      <x:c r="T70" s="1"/>
      <x:c r="U70" s="1"/>
      <x:c r="V70" s="1"/>
      <x:c r="W70" s="1"/>
      <x:c r="X70" s="1"/>
      <x:c r="Y70" s="1"/>
      <x:c r="Z70" s="1"/>
    </x:row>
    <x:row r="71">
      <x:c r="A71" s="7" t="str">
        <x:v>ACC-0070</x:v>
      </x:c>
      <x:c r="B71" s="7" t="str">
        <x:v>Crest Products 070</x:v>
      </x:c>
      <x:c r="C71" s="7" t="str">
        <x:v>South</x:v>
      </x:c>
      <x:c r="D71" s="7" t="str">
        <x:v>Food &amp; Beverage</x:v>
      </x:c>
      <x:c r="E71" s="7" t="str">
        <x:v>Enterprise</x:v>
      </x:c>
      <x:c r="F71" s="7" t="str">
        <x:v>Email</x:v>
      </x:c>
      <x:c r="G71" s="8" t="n">
        <x:v>45937</x:v>
      </x:c>
      <x:c r="H71" s="8" t="n">
        <x:v>46038</x:v>
      </x:c>
      <x:c r="I71" s="9" t="n">
        <x:v>4</x:v>
      </x:c>
      <x:c r="J71" s="10" t="n">
        <x:v>696100</x:v>
      </x:c>
      <x:c r="K71" s="10" t="n">
        <x:f>J71/I71</x:f>
        <x:v>174025</x:v>
      </x:c>
      <x:c r="L71" s="9" t="n">
        <x:f>DATE(2026,6,30)-H71</x:f>
        <x:v>165</x:v>
      </x:c>
      <x:c r="M71" s="9" t="n">
        <x:f>IF(L71&lt;=60,5,IF(L71&lt;=120,4,IF(L71&lt;=180,3,IF(L71&lt;=240,2,1))))</x:f>
        <x:v>3</x:v>
      </x:c>
      <x:c r="N71" s="9" t="n">
        <x:f>IF(I71&gt;=6,5,IF(I71&gt;=4,4,IF(I71=3,3,IF(I71=2,2,1))))</x:f>
        <x:v>4</x:v>
      </x:c>
      <x:c r="O71" s="9" t="n">
        <x:f>IF(J71&gt;=500000,5,IF(J71&gt;=300000,4,IF(J71&gt;=175000,3,IF(J71&gt;=75000,2,1))))</x:f>
        <x:v>5</x:v>
      </x:c>
      <x:c r="P71" s="7" t="str">
        <x:f>M71&amp;N71&amp;O71</x:f>
        <x:v>345</x:v>
      </x:c>
      <x:c r="Q71" s="7" t="str">
        <x:f>IF(AND(L71&lt;=60,I71&gt;=5,J71&gt;=300000),"Champions",IF(AND(L71&lt;=120,I71&gt;=3),"Loyal Growth",IF(AND(L71&gt;180,J71&gt;=300000),"High Value At Risk",IF(DATE(2026,6,30)-G71&lt;=90,"New Accounts",IF(AND(L71&lt;=120,I71=1),"Promising",IF(L71&lt;=240,"Needs Nurture","Dormant"))))))</x:f>
        <x:v>Needs Nurture</x:v>
      </x:c>
      <x:c r="R71" s="7" t="str">
        <x:f>IF(DATE(2026,6,30)-G71&lt;=90,"New",IF(AND(L71&lt;=120,I71&gt;=2),"Active",IF(I71=1,"One-time",IF(L71&lt;=240,"At Risk","Lapsed"))))</x:f>
        <x:v>At Risk</x:v>
      </x:c>
      <x:c r="S71" s="15" t="str">
        <x:f>IF(Q71="Champions","Invite to advisory program and cross-sell service plans",IF(Q71="Loyal Growth","Prioritize expansion offer and product education",IF(Q71="High Value At Risk","Assign sales recovery outreach within 14 days",IF(Q71="New Accounts","Launch 90-day onboarding and adoption sequence",IF(Q71="Promising","Nurture second purchase with use-case content",IF(Q71="Needs Nurture","Run product-fit review and re-engagement sequence","Move to low-frequency win-back program"))))))</x:f>
        <x:v>Run product-fit review and re-engagement sequence</x:v>
      </x:c>
      <x:c r="T71" s="1"/>
      <x:c r="U71" s="1"/>
      <x:c r="V71" s="1"/>
      <x:c r="W71" s="1"/>
      <x:c r="X71" s="1"/>
      <x:c r="Y71" s="1"/>
      <x:c r="Z71" s="1"/>
    </x:row>
    <x:row r="72">
      <x:c r="A72" s="7" t="str">
        <x:v>ACC-0071</x:v>
      </x:c>
      <x:c r="B72" s="7" t="str">
        <x:v>Summit Solutions 071</x:v>
      </x:c>
      <x:c r="C72" s="7" t="str">
        <x:v>Northeast</x:v>
      </x:c>
      <x:c r="D72" s="7" t="str">
        <x:v>Industrial Products</x:v>
      </x:c>
      <x:c r="E72" s="7" t="str">
        <x:v>Enterprise</x:v>
      </x:c>
      <x:c r="F72" s="7" t="str">
        <x:v>Google Search</x:v>
      </x:c>
      <x:c r="G72" s="8" t="n">
        <x:v>45708</x:v>
      </x:c>
      <x:c r="H72" s="8" t="n">
        <x:v>46179</x:v>
      </x:c>
      <x:c r="I72" s="9" t="n">
        <x:v>7</x:v>
      </x:c>
      <x:c r="J72" s="10" t="n">
        <x:v>1295000</x:v>
      </x:c>
      <x:c r="K72" s="10" t="n">
        <x:f>J72/I72</x:f>
        <x:v>185000</x:v>
      </x:c>
      <x:c r="L72" s="9" t="n">
        <x:f>DATE(2026,6,30)-H72</x:f>
        <x:v>24</x:v>
      </x:c>
      <x:c r="M72" s="9" t="n">
        <x:f>IF(L72&lt;=60,5,IF(L72&lt;=120,4,IF(L72&lt;=180,3,IF(L72&lt;=240,2,1))))</x:f>
        <x:v>5</x:v>
      </x:c>
      <x:c r="N72" s="9" t="n">
        <x:f>IF(I72&gt;=6,5,IF(I72&gt;=4,4,IF(I72=3,3,IF(I72=2,2,1))))</x:f>
        <x:v>5</x:v>
      </x:c>
      <x:c r="O72" s="9" t="n">
        <x:f>IF(J72&gt;=500000,5,IF(J72&gt;=300000,4,IF(J72&gt;=175000,3,IF(J72&gt;=75000,2,1))))</x:f>
        <x:v>5</x:v>
      </x:c>
      <x:c r="P72" s="7" t="str">
        <x:f>M72&amp;N72&amp;O72</x:f>
        <x:v>555</x:v>
      </x:c>
      <x:c r="Q72" s="7" t="str">
        <x:f>IF(AND(L72&lt;=60,I72&gt;=5,J72&gt;=300000),"Champions",IF(AND(L72&lt;=120,I72&gt;=3),"Loyal Growth",IF(AND(L72&gt;180,J72&gt;=300000),"High Value At Risk",IF(DATE(2026,6,30)-G72&lt;=90,"New Accounts",IF(AND(L72&lt;=120,I72=1),"Promising",IF(L72&lt;=240,"Needs Nurture","Dormant"))))))</x:f>
        <x:v>Champions</x:v>
      </x:c>
      <x:c r="R72" s="7" t="str">
        <x:f>IF(DATE(2026,6,30)-G72&lt;=90,"New",IF(AND(L72&lt;=120,I72&gt;=2),"Active",IF(I72=1,"One-time",IF(L72&lt;=240,"At Risk","Lapsed"))))</x:f>
        <x:v>Active</x:v>
      </x:c>
      <x:c r="S72" s="15" t="str">
        <x:f>IF(Q72="Champions","Invite to advisory program and cross-sell service plans",IF(Q72="Loyal Growth","Prioritize expansion offer and product education",IF(Q72="High Value At Risk","Assign sales recovery outreach within 14 days",IF(Q72="New Accounts","Launch 90-day onboarding and adoption sequence",IF(Q72="Promising","Nurture second purchase with use-case content",IF(Q72="Needs Nurture","Run product-fit review and re-engagement sequence","Move to low-frequency win-back program"))))))</x:f>
        <x:v>Invite to advisory program and cross-sell service plans</x:v>
      </x:c>
      <x:c r="T72" s="1"/>
      <x:c r="U72" s="1"/>
      <x:c r="V72" s="1"/>
      <x:c r="W72" s="1"/>
      <x:c r="X72" s="1"/>
      <x:c r="Y72" s="1"/>
      <x:c r="Z72" s="1"/>
    </x:row>
    <x:row r="73">
      <x:c r="A73" s="7" t="str">
        <x:v>ACC-0072</x:v>
      </x:c>
      <x:c r="B73" s="7" t="str">
        <x:v>Crest Products 072</x:v>
      </x:c>
      <x:c r="C73" s="7" t="str">
        <x:v>South</x:v>
      </x:c>
      <x:c r="D73" s="7" t="str">
        <x:v>Pharmaceuticals</x:v>
      </x:c>
      <x:c r="E73" s="7" t="str">
        <x:v>Small</x:v>
      </x:c>
      <x:c r="F73" s="7" t="str">
        <x:v>Email</x:v>
      </x:c>
      <x:c r="G73" s="8" t="n">
        <x:v>45928</x:v>
      </x:c>
      <x:c r="H73" s="8" t="n">
        <x:v>46115</x:v>
      </x:c>
      <x:c r="I73" s="9" t="n">
        <x:v>2</x:v>
      </x:c>
      <x:c r="J73" s="10" t="n">
        <x:v>215200</x:v>
      </x:c>
      <x:c r="K73" s="10" t="n">
        <x:f>J73/I73</x:f>
        <x:v>107600</x:v>
      </x:c>
      <x:c r="L73" s="9" t="n">
        <x:f>DATE(2026,6,30)-H73</x:f>
        <x:v>88</x:v>
      </x:c>
      <x:c r="M73" s="9" t="n">
        <x:f>IF(L73&lt;=60,5,IF(L73&lt;=120,4,IF(L73&lt;=180,3,IF(L73&lt;=240,2,1))))</x:f>
        <x:v>4</x:v>
      </x:c>
      <x:c r="N73" s="9" t="n">
        <x:f>IF(I73&gt;=6,5,IF(I73&gt;=4,4,IF(I73=3,3,IF(I73=2,2,1))))</x:f>
        <x:v>2</x:v>
      </x:c>
      <x:c r="O73" s="9" t="n">
        <x:f>IF(J73&gt;=500000,5,IF(J73&gt;=300000,4,IF(J73&gt;=175000,3,IF(J73&gt;=75000,2,1))))</x:f>
        <x:v>3</x:v>
      </x:c>
      <x:c r="P73" s="7" t="str">
        <x:f>M73&amp;N73&amp;O73</x:f>
        <x:v>423</x:v>
      </x:c>
      <x:c r="Q73" s="7" t="str">
        <x:f>IF(AND(L73&lt;=60,I73&gt;=5,J73&gt;=300000),"Champions",IF(AND(L73&lt;=120,I73&gt;=3),"Loyal Growth",IF(AND(L73&gt;180,J73&gt;=300000),"High Value At Risk",IF(DATE(2026,6,30)-G73&lt;=90,"New Accounts",IF(AND(L73&lt;=120,I73=1),"Promising",IF(L73&lt;=240,"Needs Nurture","Dormant"))))))</x:f>
        <x:v>Needs Nurture</x:v>
      </x:c>
      <x:c r="R73" s="7" t="str">
        <x:f>IF(DATE(2026,6,30)-G73&lt;=90,"New",IF(AND(L73&lt;=120,I73&gt;=2),"Active",IF(I73=1,"One-time",IF(L73&lt;=240,"At Risk","Lapsed"))))</x:f>
        <x:v>Active</x:v>
      </x:c>
      <x:c r="S73" s="15" t="str">
        <x:f>IF(Q73="Champions","Invite to advisory program and cross-sell service plans",IF(Q73="Loyal Growth","Prioritize expansion offer and product education",IF(Q73="High Value At Risk","Assign sales recovery outreach within 14 days",IF(Q73="New Accounts","Launch 90-day onboarding and adoption sequence",IF(Q73="Promising","Nurture second purchase with use-case content",IF(Q73="Needs Nurture","Run product-fit review and re-engagement sequence","Move to low-frequency win-back program"))))))</x:f>
        <x:v>Run product-fit review and re-engagement sequence</x:v>
      </x:c>
      <x:c r="T73" s="1"/>
      <x:c r="U73" s="1"/>
      <x:c r="V73" s="1"/>
      <x:c r="W73" s="1"/>
      <x:c r="X73" s="1"/>
      <x:c r="Y73" s="1"/>
      <x:c r="Z73" s="1"/>
    </x:row>
    <x:row r="74">
      <x:c r="A74" s="7" t="str">
        <x:v>ACC-0073</x:v>
      </x:c>
      <x:c r="B74" s="7" t="str">
        <x:v>Apex Solutions 073</x:v>
      </x:c>
      <x:c r="C74" s="7" t="str">
        <x:v>Midwest</x:v>
      </x:c>
      <x:c r="D74" s="7" t="str">
        <x:v>Industrial Products</x:v>
      </x:c>
      <x:c r="E74" s="7" t="str">
        <x:v>Enterprise</x:v>
      </x:c>
      <x:c r="F74" s="7" t="str">
        <x:v>Partner Referral</x:v>
      </x:c>
      <x:c r="G74" s="8" t="n">
        <x:v>45942</x:v>
      </x:c>
      <x:c r="H74" s="8" t="n">
        <x:v>46115</x:v>
      </x:c>
      <x:c r="I74" s="9" t="n">
        <x:v>4</x:v>
      </x:c>
      <x:c r="J74" s="10" t="n">
        <x:v>739800</x:v>
      </x:c>
      <x:c r="K74" s="10" t="n">
        <x:f>J74/I74</x:f>
        <x:v>184950</x:v>
      </x:c>
      <x:c r="L74" s="9" t="n">
        <x:f>DATE(2026,6,30)-H74</x:f>
        <x:v>88</x:v>
      </x:c>
      <x:c r="M74" s="9" t="n">
        <x:f>IF(L74&lt;=60,5,IF(L74&lt;=120,4,IF(L74&lt;=180,3,IF(L74&lt;=240,2,1))))</x:f>
        <x:v>4</x:v>
      </x:c>
      <x:c r="N74" s="9" t="n">
        <x:f>IF(I74&gt;=6,5,IF(I74&gt;=4,4,IF(I74=3,3,IF(I74=2,2,1))))</x:f>
        <x:v>4</x:v>
      </x:c>
      <x:c r="O74" s="9" t="n">
        <x:f>IF(J74&gt;=500000,5,IF(J74&gt;=300000,4,IF(J74&gt;=175000,3,IF(J74&gt;=75000,2,1))))</x:f>
        <x:v>5</x:v>
      </x:c>
      <x:c r="P74" s="7" t="str">
        <x:f>M74&amp;N74&amp;O74</x:f>
        <x:v>445</x:v>
      </x:c>
      <x:c r="Q74" s="7" t="str">
        <x:f>IF(AND(L74&lt;=60,I74&gt;=5,J74&gt;=300000),"Champions",IF(AND(L74&lt;=120,I74&gt;=3),"Loyal Growth",IF(AND(L74&gt;180,J74&gt;=300000),"High Value At Risk",IF(DATE(2026,6,30)-G74&lt;=90,"New Accounts",IF(AND(L74&lt;=120,I74=1),"Promising",IF(L74&lt;=240,"Needs Nurture","Dormant"))))))</x:f>
        <x:v>Loyal Growth</x:v>
      </x:c>
      <x:c r="R74" s="7" t="str">
        <x:f>IF(DATE(2026,6,30)-G74&lt;=90,"New",IF(AND(L74&lt;=120,I74&gt;=2),"Active",IF(I74=1,"One-time",IF(L74&lt;=240,"At Risk","Lapsed"))))</x:f>
        <x:v>Active</x:v>
      </x:c>
      <x:c r="S74" s="15" t="str">
        <x:f>IF(Q74="Champions","Invite to advisory program and cross-sell service plans",IF(Q74="Loyal Growth","Prioritize expansion offer and product education",IF(Q74="High Value At Risk","Assign sales recovery outreach within 14 days",IF(Q74="New Accounts","Launch 90-day onboarding and adoption sequence",IF(Q74="Promising","Nurture second purchase with use-case content",IF(Q74="Needs Nurture","Run product-fit review and re-engagement sequence","Move to low-frequency win-back program"))))))</x:f>
        <x:v>Prioritize expansion offer and product education</x:v>
      </x:c>
      <x:c r="T74" s="1"/>
      <x:c r="U74" s="1"/>
      <x:c r="V74" s="1"/>
      <x:c r="W74" s="1"/>
      <x:c r="X74" s="1"/>
      <x:c r="Y74" s="1"/>
      <x:c r="Z74" s="1"/>
    </x:row>
    <x:row r="75">
      <x:c r="A75" s="7" t="str">
        <x:v>ACC-0074</x:v>
      </x:c>
      <x:c r="B75" s="7" t="str">
        <x:v>BlueRiver Solutions 074</x:v>
      </x:c>
      <x:c r="C75" s="7" t="str">
        <x:v>West</x:v>
      </x:c>
      <x:c r="D75" s="7" t="str">
        <x:v>Consumer Goods</x:v>
      </x:c>
      <x:c r="E75" s="7" t="str">
        <x:v>Enterprise</x:v>
      </x:c>
      <x:c r="F75" s="7" t="str">
        <x:v>Google Search</x:v>
      </x:c>
      <x:c r="G75" s="8" t="n">
        <x:v>45646</x:v>
      </x:c>
      <x:c r="H75" s="8" t="n">
        <x:v>46185</x:v>
      </x:c>
      <x:c r="I75" s="9" t="n">
        <x:v>7</x:v>
      </x:c>
      <x:c r="J75" s="10" t="n">
        <x:v>529400</x:v>
      </x:c>
      <x:c r="K75" s="10" t="n">
        <x:f>J75/I75</x:f>
        <x:v>75628.57142857143</x:v>
      </x:c>
      <x:c r="L75" s="9" t="n">
        <x:f>DATE(2026,6,30)-H75</x:f>
        <x:v>18</x:v>
      </x:c>
      <x:c r="M75" s="9" t="n">
        <x:f>IF(L75&lt;=60,5,IF(L75&lt;=120,4,IF(L75&lt;=180,3,IF(L75&lt;=240,2,1))))</x:f>
        <x:v>5</x:v>
      </x:c>
      <x:c r="N75" s="9" t="n">
        <x:f>IF(I75&gt;=6,5,IF(I75&gt;=4,4,IF(I75=3,3,IF(I75=2,2,1))))</x:f>
        <x:v>5</x:v>
      </x:c>
      <x:c r="O75" s="9" t="n">
        <x:f>IF(J75&gt;=500000,5,IF(J75&gt;=300000,4,IF(J75&gt;=175000,3,IF(J75&gt;=75000,2,1))))</x:f>
        <x:v>5</x:v>
      </x:c>
      <x:c r="P75" s="7" t="str">
        <x:f>M75&amp;N75&amp;O75</x:f>
        <x:v>555</x:v>
      </x:c>
      <x:c r="Q75" s="7" t="str">
        <x:f>IF(AND(L75&lt;=60,I75&gt;=5,J75&gt;=300000),"Champions",IF(AND(L75&lt;=120,I75&gt;=3),"Loyal Growth",IF(AND(L75&gt;180,J75&gt;=300000),"High Value At Risk",IF(DATE(2026,6,30)-G75&lt;=90,"New Accounts",IF(AND(L75&lt;=120,I75=1),"Promising",IF(L75&lt;=240,"Needs Nurture","Dormant"))))))</x:f>
        <x:v>Champions</x:v>
      </x:c>
      <x:c r="R75" s="7" t="str">
        <x:f>IF(DATE(2026,6,30)-G75&lt;=90,"New",IF(AND(L75&lt;=120,I75&gt;=2),"Active",IF(I75=1,"One-time",IF(L75&lt;=240,"At Risk","Lapsed"))))</x:f>
        <x:v>Active</x:v>
      </x:c>
      <x:c r="S75" s="15" t="str">
        <x:f>IF(Q75="Champions","Invite to advisory program and cross-sell service plans",IF(Q75="Loyal Growth","Prioritize expansion offer and product education",IF(Q75="High Value At Risk","Assign sales recovery outreach within 14 days",IF(Q75="New Accounts","Launch 90-day onboarding and adoption sequence",IF(Q75="Promising","Nurture second purchase with use-case content",IF(Q75="Needs Nurture","Run product-fit review and re-engagement sequence","Move to low-frequency win-back program"))))))</x:f>
        <x:v>Invite to advisory program and cross-sell service plans</x:v>
      </x:c>
      <x:c r="T75" s="1"/>
      <x:c r="U75" s="1"/>
      <x:c r="V75" s="1"/>
      <x:c r="W75" s="1"/>
      <x:c r="X75" s="1"/>
      <x:c r="Y75" s="1"/>
      <x:c r="Z75" s="1"/>
    </x:row>
    <x:row r="76">
      <x:c r="A76" s="7" t="str">
        <x:v>ACC-0075</x:v>
      </x:c>
      <x:c r="B76" s="7" t="str">
        <x:v>Evergreen Foods 075</x:v>
      </x:c>
      <x:c r="C76" s="7" t="str">
        <x:v>Northeast</x:v>
      </x:c>
      <x:c r="D76" s="7" t="str">
        <x:v>Food &amp; Beverage</x:v>
      </x:c>
      <x:c r="E76" s="7" t="str">
        <x:v>Small</x:v>
      </x:c>
      <x:c r="F76" s="7" t="str">
        <x:v>Trade Show</x:v>
      </x:c>
      <x:c r="G76" s="8" t="n">
        <x:v>45586</x:v>
      </x:c>
      <x:c r="H76" s="8" t="n">
        <x:v>45678</x:v>
      </x:c>
      <x:c r="I76" s="9" t="n">
        <x:v>4</x:v>
      </x:c>
      <x:c r="J76" s="10" t="n">
        <x:v>384900</x:v>
      </x:c>
      <x:c r="K76" s="10" t="n">
        <x:f>J76/I76</x:f>
        <x:v>96225</x:v>
      </x:c>
      <x:c r="L76" s="9" t="n">
        <x:f>DATE(2026,6,30)-H76</x:f>
        <x:v>525</x:v>
      </x:c>
      <x:c r="M76" s="9" t="n">
        <x:f>IF(L76&lt;=60,5,IF(L76&lt;=120,4,IF(L76&lt;=180,3,IF(L76&lt;=240,2,1))))</x:f>
        <x:v>1</x:v>
      </x:c>
      <x:c r="N76" s="9" t="n">
        <x:f>IF(I76&gt;=6,5,IF(I76&gt;=4,4,IF(I76=3,3,IF(I76=2,2,1))))</x:f>
        <x:v>4</x:v>
      </x:c>
      <x:c r="O76" s="9" t="n">
        <x:f>IF(J76&gt;=500000,5,IF(J76&gt;=300000,4,IF(J76&gt;=175000,3,IF(J76&gt;=75000,2,1))))</x:f>
        <x:v>4</x:v>
      </x:c>
      <x:c r="P76" s="7" t="str">
        <x:f>M76&amp;N76&amp;O76</x:f>
        <x:v>144</x:v>
      </x:c>
      <x:c r="Q76" s="7" t="str">
        <x:f>IF(AND(L76&lt;=60,I76&gt;=5,J76&gt;=300000),"Champions",IF(AND(L76&lt;=120,I76&gt;=3),"Loyal Growth",IF(AND(L76&gt;180,J76&gt;=300000),"High Value At Risk",IF(DATE(2026,6,30)-G76&lt;=90,"New Accounts",IF(AND(L76&lt;=120,I76=1),"Promising",IF(L76&lt;=240,"Needs Nurture","Dormant"))))))</x:f>
        <x:v>High Value At Risk</x:v>
      </x:c>
      <x:c r="R76" s="7" t="str">
        <x:f>IF(DATE(2026,6,30)-G76&lt;=90,"New",IF(AND(L76&lt;=120,I76&gt;=2),"Active",IF(I76=1,"One-time",IF(L76&lt;=240,"At Risk","Lapsed"))))</x:f>
        <x:v>Lapsed</x:v>
      </x:c>
      <x:c r="S76" s="15" t="str">
        <x:f>IF(Q76="Champions","Invite to advisory program and cross-sell service plans",IF(Q76="Loyal Growth","Prioritize expansion offer and product education",IF(Q76="High Value At Risk","Assign sales recovery outreach within 14 days",IF(Q76="New Accounts","Launch 90-day onboarding and adoption sequence",IF(Q76="Promising","Nurture second purchase with use-case content",IF(Q76="Needs Nurture","Run product-fit review and re-engagement sequence","Move to low-frequency win-back program"))))))</x:f>
        <x:v>Assign sales recovery outreach within 14 days</x:v>
      </x:c>
      <x:c r="T76" s="1"/>
      <x:c r="U76" s="1"/>
      <x:c r="V76" s="1"/>
      <x:c r="W76" s="1"/>
      <x:c r="X76" s="1"/>
      <x:c r="Y76" s="1"/>
      <x:c r="Z76" s="1"/>
    </x:row>
    <x:row r="77">
      <x:c r="A77" s="7" t="str">
        <x:v>ACC-0076</x:v>
      </x:c>
      <x:c r="B77" s="7" t="str">
        <x:v>Keystone Foods 076</x:v>
      </x:c>
      <x:c r="C77" s="7" t="str">
        <x:v>South</x:v>
      </x:c>
      <x:c r="D77" s="7" t="str">
        <x:v>Pharmaceuticals</x:v>
      </x:c>
      <x:c r="E77" s="7" t="str">
        <x:v>Enterprise</x:v>
      </x:c>
      <x:c r="F77" s="7" t="str">
        <x:v>Google Search</x:v>
      </x:c>
      <x:c r="G77" s="8" t="n">
        <x:v>45465</x:v>
      </x:c>
      <x:c r="H77" s="8" t="n">
        <x:v>46127</x:v>
      </x:c>
      <x:c r="I77" s="9" t="n">
        <x:v>6</x:v>
      </x:c>
      <x:c r="J77" s="10" t="n">
        <x:v>763100</x:v>
      </x:c>
      <x:c r="K77" s="10" t="n">
        <x:f>J77/I77</x:f>
        <x:v>127183.33333333333</x:v>
      </x:c>
      <x:c r="L77" s="9" t="n">
        <x:f>DATE(2026,6,30)-H77</x:f>
        <x:v>76</x:v>
      </x:c>
      <x:c r="M77" s="9" t="n">
        <x:f>IF(L77&lt;=60,5,IF(L77&lt;=120,4,IF(L77&lt;=180,3,IF(L77&lt;=240,2,1))))</x:f>
        <x:v>4</x:v>
      </x:c>
      <x:c r="N77" s="9" t="n">
        <x:f>IF(I77&gt;=6,5,IF(I77&gt;=4,4,IF(I77=3,3,IF(I77=2,2,1))))</x:f>
        <x:v>5</x:v>
      </x:c>
      <x:c r="O77" s="9" t="n">
        <x:f>IF(J77&gt;=500000,5,IF(J77&gt;=300000,4,IF(J77&gt;=175000,3,IF(J77&gt;=75000,2,1))))</x:f>
        <x:v>5</x:v>
      </x:c>
      <x:c r="P77" s="7" t="str">
        <x:f>M77&amp;N77&amp;O77</x:f>
        <x:v>455</x:v>
      </x:c>
      <x:c r="Q77" s="7" t="str">
        <x:f>IF(AND(L77&lt;=60,I77&gt;=5,J77&gt;=300000),"Champions",IF(AND(L77&lt;=120,I77&gt;=3),"Loyal Growth",IF(AND(L77&gt;180,J77&gt;=300000),"High Value At Risk",IF(DATE(2026,6,30)-G77&lt;=90,"New Accounts",IF(AND(L77&lt;=120,I77=1),"Promising",IF(L77&lt;=240,"Needs Nurture","Dormant"))))))</x:f>
        <x:v>Loyal Growth</x:v>
      </x:c>
      <x:c r="R77" s="7" t="str">
        <x:f>IF(DATE(2026,6,30)-G77&lt;=90,"New",IF(AND(L77&lt;=120,I77&gt;=2),"Active",IF(I77=1,"One-time",IF(L77&lt;=240,"At Risk","Lapsed"))))</x:f>
        <x:v>Active</x:v>
      </x:c>
      <x:c r="S77" s="15" t="str">
        <x:f>IF(Q77="Champions","Invite to advisory program and cross-sell service plans",IF(Q77="Loyal Growth","Prioritize expansion offer and product education",IF(Q77="High Value At Risk","Assign sales recovery outreach within 14 days",IF(Q77="New Accounts","Launch 90-day onboarding and adoption sequence",IF(Q77="Promising","Nurture second purchase with use-case content",IF(Q77="Needs Nurture","Run product-fit review and re-engagement sequence","Move to low-frequency win-back program"))))))</x:f>
        <x:v>Prioritize expansion offer and product education</x:v>
      </x:c>
      <x:c r="T77" s="1"/>
      <x:c r="U77" s="1"/>
      <x:c r="V77" s="1"/>
      <x:c r="W77" s="1"/>
      <x:c r="X77" s="1"/>
      <x:c r="Y77" s="1"/>
      <x:c r="Z77" s="1"/>
    </x:row>
    <x:row r="78">
      <x:c r="A78" s="7" t="str">
        <x:v>ACC-0077</x:v>
      </x:c>
      <x:c r="B78" s="7" t="str">
        <x:v>Beacon Brands 077</x:v>
      </x:c>
      <x:c r="C78" s="7" t="str">
        <x:v>Northeast</x:v>
      </x:c>
      <x:c r="D78" s="7" t="str">
        <x:v>Food &amp; Beverage</x:v>
      </x:c>
      <x:c r="E78" s="7" t="str">
        <x:v>Small</x:v>
      </x:c>
      <x:c r="F78" s="7" t="str">
        <x:v>Trade Show</x:v>
      </x:c>
      <x:c r="G78" s="8" t="n">
        <x:v>45635</x:v>
      </x:c>
      <x:c r="H78" s="8" t="n">
        <x:v>45979</x:v>
      </x:c>
      <x:c r="I78" s="9" t="n">
        <x:v>4</x:v>
      </x:c>
      <x:c r="J78" s="10" t="n">
        <x:v>249900</x:v>
      </x:c>
      <x:c r="K78" s="10" t="n">
        <x:f>J78/I78</x:f>
        <x:v>62475</x:v>
      </x:c>
      <x:c r="L78" s="9" t="n">
        <x:f>DATE(2026,6,30)-H78</x:f>
        <x:v>224</x:v>
      </x:c>
      <x:c r="M78" s="9" t="n">
        <x:f>IF(L78&lt;=60,5,IF(L78&lt;=120,4,IF(L78&lt;=180,3,IF(L78&lt;=240,2,1))))</x:f>
        <x:v>2</x:v>
      </x:c>
      <x:c r="N78" s="9" t="n">
        <x:f>IF(I78&gt;=6,5,IF(I78&gt;=4,4,IF(I78=3,3,IF(I78=2,2,1))))</x:f>
        <x:v>4</x:v>
      </x:c>
      <x:c r="O78" s="9" t="n">
        <x:f>IF(J78&gt;=500000,5,IF(J78&gt;=300000,4,IF(J78&gt;=175000,3,IF(J78&gt;=75000,2,1))))</x:f>
        <x:v>3</x:v>
      </x:c>
      <x:c r="P78" s="7" t="str">
        <x:f>M78&amp;N78&amp;O78</x:f>
        <x:v>243</x:v>
      </x:c>
      <x:c r="Q78" s="7" t="str">
        <x:f>IF(AND(L78&lt;=60,I78&gt;=5,J78&gt;=300000),"Champions",IF(AND(L78&lt;=120,I78&gt;=3),"Loyal Growth",IF(AND(L78&gt;180,J78&gt;=300000),"High Value At Risk",IF(DATE(2026,6,30)-G78&lt;=90,"New Accounts",IF(AND(L78&lt;=120,I78=1),"Promising",IF(L78&lt;=240,"Needs Nurture","Dormant"))))))</x:f>
        <x:v>Needs Nurture</x:v>
      </x:c>
      <x:c r="R78" s="7" t="str">
        <x:f>IF(DATE(2026,6,30)-G78&lt;=90,"New",IF(AND(L78&lt;=120,I78&gt;=2),"Active",IF(I78=1,"One-time",IF(L78&lt;=240,"At Risk","Lapsed"))))</x:f>
        <x:v>At Risk</x:v>
      </x:c>
      <x:c r="S78" s="15" t="str">
        <x:f>IF(Q78="Champions","Invite to advisory program and cross-sell service plans",IF(Q78="Loyal Growth","Prioritize expansion offer and product education",IF(Q78="High Value At Risk","Assign sales recovery outreach within 14 days",IF(Q78="New Accounts","Launch 90-day onboarding and adoption sequence",IF(Q78="Promising","Nurture second purchase with use-case content",IF(Q78="Needs Nurture","Run product-fit review and re-engagement sequence","Move to low-frequency win-back program"))))))</x:f>
        <x:v>Run product-fit review and re-engagement sequence</x:v>
      </x:c>
      <x:c r="T78" s="1"/>
      <x:c r="U78" s="1"/>
      <x:c r="V78" s="1"/>
      <x:c r="W78" s="1"/>
      <x:c r="X78" s="1"/>
      <x:c r="Y78" s="1"/>
      <x:c r="Z78" s="1"/>
    </x:row>
    <x:row r="79">
      <x:c r="A79" s="7" t="str">
        <x:v>ACC-0078</x:v>
      </x:c>
      <x:c r="B79" s="7" t="str">
        <x:v>Granite Manufacturing 078</x:v>
      </x:c>
      <x:c r="C79" s="7" t="str">
        <x:v>Northeast</x:v>
      </x:c>
      <x:c r="D79" s="7" t="str">
        <x:v>Industrial Products</x:v>
      </x:c>
      <x:c r="E79" s="7" t="str">
        <x:v>Enterprise</x:v>
      </x:c>
      <x:c r="F79" s="7" t="str">
        <x:v>LinkedIn</x:v>
      </x:c>
      <x:c r="G79" s="8" t="n">
        <x:v>45622</x:v>
      </x:c>
      <x:c r="H79" s="8" t="n">
        <x:v>45956</x:v>
      </x:c>
      <x:c r="I79" s="9" t="n">
        <x:v>8</x:v>
      </x:c>
      <x:c r="J79" s="10" t="n">
        <x:v>1382900</x:v>
      </x:c>
      <x:c r="K79" s="10" t="n">
        <x:f>J79/I79</x:f>
        <x:v>172862.5</x:v>
      </x:c>
      <x:c r="L79" s="9" t="n">
        <x:f>DATE(2026,6,30)-H79</x:f>
        <x:v>247</x:v>
      </x:c>
      <x:c r="M79" s="9" t="n">
        <x:f>IF(L79&lt;=60,5,IF(L79&lt;=120,4,IF(L79&lt;=180,3,IF(L79&lt;=240,2,1))))</x:f>
        <x:v>1</x:v>
      </x:c>
      <x:c r="N79" s="9" t="n">
        <x:f>IF(I79&gt;=6,5,IF(I79&gt;=4,4,IF(I79=3,3,IF(I79=2,2,1))))</x:f>
        <x:v>5</x:v>
      </x:c>
      <x:c r="O79" s="9" t="n">
        <x:f>IF(J79&gt;=500000,5,IF(J79&gt;=300000,4,IF(J79&gt;=175000,3,IF(J79&gt;=75000,2,1))))</x:f>
        <x:v>5</x:v>
      </x:c>
      <x:c r="P79" s="7" t="str">
        <x:f>M79&amp;N79&amp;O79</x:f>
        <x:v>155</x:v>
      </x:c>
      <x:c r="Q79" s="7" t="str">
        <x:f>IF(AND(L79&lt;=60,I79&gt;=5,J79&gt;=300000),"Champions",IF(AND(L79&lt;=120,I79&gt;=3),"Loyal Growth",IF(AND(L79&gt;180,J79&gt;=300000),"High Value At Risk",IF(DATE(2026,6,30)-G79&lt;=90,"New Accounts",IF(AND(L79&lt;=120,I79=1),"Promising",IF(L79&lt;=240,"Needs Nurture","Dormant"))))))</x:f>
        <x:v>High Value At Risk</x:v>
      </x:c>
      <x:c r="R79" s="7" t="str">
        <x:f>IF(DATE(2026,6,30)-G79&lt;=90,"New",IF(AND(L79&lt;=120,I79&gt;=2),"Active",IF(I79=1,"One-time",IF(L79&lt;=240,"At Risk","Lapsed"))))</x:f>
        <x:v>Lapsed</x:v>
      </x:c>
      <x:c r="S79" s="15" t="str">
        <x:f>IF(Q79="Champions","Invite to advisory program and cross-sell service plans",IF(Q79="Loyal Growth","Prioritize expansion offer and product education",IF(Q79="High Value At Risk","Assign sales recovery outreach within 14 days",IF(Q79="New Accounts","Launch 90-day onboarding and adoption sequence",IF(Q79="Promising","Nurture second purchase with use-case content",IF(Q79="Needs Nurture","Run product-fit review and re-engagement sequence","Move to low-frequency win-back program"))))))</x:f>
        <x:v>Assign sales recovery outreach within 14 days</x:v>
      </x:c>
      <x:c r="T79" s="1"/>
      <x:c r="U79" s="1"/>
      <x:c r="V79" s="1"/>
      <x:c r="W79" s="1"/>
      <x:c r="X79" s="1"/>
      <x:c r="Y79" s="1"/>
      <x:c r="Z79" s="1"/>
    </x:row>
    <x:row r="80">
      <x:c r="A80" s="7" t="str">
        <x:v>ACC-0079</x:v>
      </x:c>
      <x:c r="B80" s="7" t="str">
        <x:v>Evergreen Solutions 079</x:v>
      </x:c>
      <x:c r="C80" s="7" t="str">
        <x:v>South</x:v>
      </x:c>
      <x:c r="D80" s="7" t="str">
        <x:v>Contract Packaging</x:v>
      </x:c>
      <x:c r="E80" s="7" t="str">
        <x:v>Small</x:v>
      </x:c>
      <x:c r="F80" s="7" t="str">
        <x:v>LinkedIn</x:v>
      </x:c>
      <x:c r="G80" s="8" t="n">
        <x:v>45963</x:v>
      </x:c>
      <x:c r="H80" s="8" t="n">
        <x:v>46072</x:v>
      </x:c>
      <x:c r="I80" s="9" t="n">
        <x:v>4</x:v>
      </x:c>
      <x:c r="J80" s="10" t="n">
        <x:v>490600</x:v>
      </x:c>
      <x:c r="K80" s="10" t="n">
        <x:f>J80/I80</x:f>
        <x:v>122650</x:v>
      </x:c>
      <x:c r="L80" s="9" t="n">
        <x:f>DATE(2026,6,30)-H80</x:f>
        <x:v>131</x:v>
      </x:c>
      <x:c r="M80" s="9" t="n">
        <x:f>IF(L80&lt;=60,5,IF(L80&lt;=120,4,IF(L80&lt;=180,3,IF(L80&lt;=240,2,1))))</x:f>
        <x:v>3</x:v>
      </x:c>
      <x:c r="N80" s="9" t="n">
        <x:f>IF(I80&gt;=6,5,IF(I80&gt;=4,4,IF(I80=3,3,IF(I80=2,2,1))))</x:f>
        <x:v>4</x:v>
      </x:c>
      <x:c r="O80" s="9" t="n">
        <x:f>IF(J80&gt;=500000,5,IF(J80&gt;=300000,4,IF(J80&gt;=175000,3,IF(J80&gt;=75000,2,1))))</x:f>
        <x:v>4</x:v>
      </x:c>
      <x:c r="P80" s="7" t="str">
        <x:f>M80&amp;N80&amp;O80</x:f>
        <x:v>344</x:v>
      </x:c>
      <x:c r="Q80" s="7" t="str">
        <x:f>IF(AND(L80&lt;=60,I80&gt;=5,J80&gt;=300000),"Champions",IF(AND(L80&lt;=120,I80&gt;=3),"Loyal Growth",IF(AND(L80&gt;180,J80&gt;=300000),"High Value At Risk",IF(DATE(2026,6,30)-G80&lt;=90,"New Accounts",IF(AND(L80&lt;=120,I80=1),"Promising",IF(L80&lt;=240,"Needs Nurture","Dormant"))))))</x:f>
        <x:v>Needs Nurture</x:v>
      </x:c>
      <x:c r="R80" s="7" t="str">
        <x:f>IF(DATE(2026,6,30)-G80&lt;=90,"New",IF(AND(L80&lt;=120,I80&gt;=2),"Active",IF(I80=1,"One-time",IF(L80&lt;=240,"At Risk","Lapsed"))))</x:f>
        <x:v>At Risk</x:v>
      </x:c>
      <x:c r="S80" s="15" t="str">
        <x:f>IF(Q80="Champions","Invite to advisory program and cross-sell service plans",IF(Q80="Loyal Growth","Prioritize expansion offer and product education",IF(Q80="High Value At Risk","Assign sales recovery outreach within 14 days",IF(Q80="New Accounts","Launch 90-day onboarding and adoption sequence",IF(Q80="Promising","Nurture second purchase with use-case content",IF(Q80="Needs Nurture","Run product-fit review and re-engagement sequence","Move to low-frequency win-back program"))))))</x:f>
        <x:v>Run product-fit review and re-engagement sequence</x:v>
      </x:c>
      <x:c r="T80" s="1"/>
      <x:c r="U80" s="1"/>
      <x:c r="V80" s="1"/>
      <x:c r="W80" s="1"/>
      <x:c r="X80" s="1"/>
      <x:c r="Y80" s="1"/>
      <x:c r="Z80" s="1"/>
    </x:row>
    <x:row r="81">
      <x:c r="A81" s="7" t="str">
        <x:v>ACC-0080</x:v>
      </x:c>
      <x:c r="B81" s="7" t="str">
        <x:v>Titan Foods 080</x:v>
      </x:c>
      <x:c r="C81" s="7" t="str">
        <x:v>Midwest</x:v>
      </x:c>
      <x:c r="D81" s="7" t="str">
        <x:v>Contract Packaging</x:v>
      </x:c>
      <x:c r="E81" s="7" t="str">
        <x:v>Mid-market</x:v>
      </x:c>
      <x:c r="F81" s="7" t="str">
        <x:v>Google Search</x:v>
      </x:c>
      <x:c r="G81" s="8" t="n">
        <x:v>45583</x:v>
      </x:c>
      <x:c r="H81" s="8" t="n">
        <x:v>46132</x:v>
      </x:c>
      <x:c r="I81" s="9" t="n">
        <x:v>4</x:v>
      </x:c>
      <x:c r="J81" s="10" t="n">
        <x:v>360300</x:v>
      </x:c>
      <x:c r="K81" s="10" t="n">
        <x:f>J81/I81</x:f>
        <x:v>90075</x:v>
      </x:c>
      <x:c r="L81" s="9" t="n">
        <x:f>DATE(2026,6,30)-H81</x:f>
        <x:v>71</x:v>
      </x:c>
      <x:c r="M81" s="9" t="n">
        <x:f>IF(L81&lt;=60,5,IF(L81&lt;=120,4,IF(L81&lt;=180,3,IF(L81&lt;=240,2,1))))</x:f>
        <x:v>4</x:v>
      </x:c>
      <x:c r="N81" s="9" t="n">
        <x:f>IF(I81&gt;=6,5,IF(I81&gt;=4,4,IF(I81=3,3,IF(I81=2,2,1))))</x:f>
        <x:v>4</x:v>
      </x:c>
      <x:c r="O81" s="9" t="n">
        <x:f>IF(J81&gt;=500000,5,IF(J81&gt;=300000,4,IF(J81&gt;=175000,3,IF(J81&gt;=75000,2,1))))</x:f>
        <x:v>4</x:v>
      </x:c>
      <x:c r="P81" s="7" t="str">
        <x:f>M81&amp;N81&amp;O81</x:f>
        <x:v>444</x:v>
      </x:c>
      <x:c r="Q81" s="7" t="str">
        <x:f>IF(AND(L81&lt;=60,I81&gt;=5,J81&gt;=300000),"Champions",IF(AND(L81&lt;=120,I81&gt;=3),"Loyal Growth",IF(AND(L81&gt;180,J81&gt;=300000),"High Value At Risk",IF(DATE(2026,6,30)-G81&lt;=90,"New Accounts",IF(AND(L81&lt;=120,I81=1),"Promising",IF(L81&lt;=240,"Needs Nurture","Dormant"))))))</x:f>
        <x:v>Loyal Growth</x:v>
      </x:c>
      <x:c r="R81" s="7" t="str">
        <x:f>IF(DATE(2026,6,30)-G81&lt;=90,"New",IF(AND(L81&lt;=120,I81&gt;=2),"Active",IF(I81=1,"One-time",IF(L81&lt;=240,"At Risk","Lapsed"))))</x:f>
        <x:v>Active</x:v>
      </x:c>
      <x:c r="S81" s="15" t="str">
        <x:f>IF(Q81="Champions","Invite to advisory program and cross-sell service plans",IF(Q81="Loyal Growth","Prioritize expansion offer and product education",IF(Q81="High Value At Risk","Assign sales recovery outreach within 14 days",IF(Q81="New Accounts","Launch 90-day onboarding and adoption sequence",IF(Q81="Promising","Nurture second purchase with use-case content",IF(Q81="Needs Nurture","Run product-fit review and re-engagement sequence","Move to low-frequency win-back program"))))))</x:f>
        <x:v>Prioritize expansion offer and product education</x:v>
      </x:c>
      <x:c r="T81" s="1"/>
      <x:c r="U81" s="1"/>
      <x:c r="V81" s="1"/>
      <x:c r="W81" s="1"/>
      <x:c r="X81" s="1"/>
      <x:c r="Y81" s="1"/>
      <x:c r="Z81" s="1"/>
    </x:row>
    <x:row r="82">
      <x:c r="A82" s="7" t="str">
        <x:v>ACC-0081</x:v>
      </x:c>
      <x:c r="B82" s="7" t="str">
        <x:v>Evergreen Solutions 081</x:v>
      </x:c>
      <x:c r="C82" s="7" t="str">
        <x:v>South</x:v>
      </x:c>
      <x:c r="D82" s="7" t="str">
        <x:v>Pharmaceuticals</x:v>
      </x:c>
      <x:c r="E82" s="7" t="str">
        <x:v>Small</x:v>
      </x:c>
      <x:c r="F82" s="7" t="str">
        <x:v>Trade Show</x:v>
      </x:c>
      <x:c r="G82" s="8" t="n">
        <x:v>45688</x:v>
      </x:c>
      <x:c r="H82" s="8" t="n">
        <x:v>46023</x:v>
      </x:c>
      <x:c r="I82" s="9" t="n">
        <x:v>3</x:v>
      </x:c>
      <x:c r="J82" s="10" t="n">
        <x:v>169900</x:v>
      </x:c>
      <x:c r="K82" s="10" t="n">
        <x:f>J82/I82</x:f>
        <x:v>56633.333333333336</x:v>
      </x:c>
      <x:c r="L82" s="9" t="n">
        <x:f>DATE(2026,6,30)-H82</x:f>
        <x:v>180</x:v>
      </x:c>
      <x:c r="M82" s="9" t="n">
        <x:f>IF(L82&lt;=60,5,IF(L82&lt;=120,4,IF(L82&lt;=180,3,IF(L82&lt;=240,2,1))))</x:f>
        <x:v>3</x:v>
      </x:c>
      <x:c r="N82" s="9" t="n">
        <x:f>IF(I82&gt;=6,5,IF(I82&gt;=4,4,IF(I82=3,3,IF(I82=2,2,1))))</x:f>
        <x:v>3</x:v>
      </x:c>
      <x:c r="O82" s="9" t="n">
        <x:f>IF(J82&gt;=500000,5,IF(J82&gt;=300000,4,IF(J82&gt;=175000,3,IF(J82&gt;=75000,2,1))))</x:f>
        <x:v>2</x:v>
      </x:c>
      <x:c r="P82" s="7" t="str">
        <x:f>M82&amp;N82&amp;O82</x:f>
        <x:v>332</x:v>
      </x:c>
      <x:c r="Q82" s="7" t="str">
        <x:f>IF(AND(L82&lt;=60,I82&gt;=5,J82&gt;=300000),"Champions",IF(AND(L82&lt;=120,I82&gt;=3),"Loyal Growth",IF(AND(L82&gt;180,J82&gt;=300000),"High Value At Risk",IF(DATE(2026,6,30)-G82&lt;=90,"New Accounts",IF(AND(L82&lt;=120,I82=1),"Promising",IF(L82&lt;=240,"Needs Nurture","Dormant"))))))</x:f>
        <x:v>Needs Nurture</x:v>
      </x:c>
      <x:c r="R82" s="7" t="str">
        <x:f>IF(DATE(2026,6,30)-G82&lt;=90,"New",IF(AND(L82&lt;=120,I82&gt;=2),"Active",IF(I82=1,"One-time",IF(L82&lt;=240,"At Risk","Lapsed"))))</x:f>
        <x:v>At Risk</x:v>
      </x:c>
      <x:c r="S82" s="15" t="str">
        <x:f>IF(Q82="Champions","Invite to advisory program and cross-sell service plans",IF(Q82="Loyal Growth","Prioritize expansion offer and product education",IF(Q82="High Value At Risk","Assign sales recovery outreach within 14 days",IF(Q82="New Accounts","Launch 90-day onboarding and adoption sequence",IF(Q82="Promising","Nurture second purchase with use-case content",IF(Q82="Needs Nurture","Run product-fit review and re-engagement sequence","Move to low-frequency win-back program"))))))</x:f>
        <x:v>Run product-fit review and re-engagement sequence</x:v>
      </x:c>
      <x:c r="T82" s="1"/>
      <x:c r="U82" s="1"/>
      <x:c r="V82" s="1"/>
      <x:c r="W82" s="1"/>
      <x:c r="X82" s="1"/>
      <x:c r="Y82" s="1"/>
      <x:c r="Z82" s="1"/>
    </x:row>
    <x:row r="83">
      <x:c r="A83" s="7" t="str">
        <x:v>ACC-0082</x:v>
      </x:c>
      <x:c r="B83" s="7" t="str">
        <x:v>Frontier Foods 082</x:v>
      </x:c>
      <x:c r="C83" s="7" t="str">
        <x:v>Midwest</x:v>
      </x:c>
      <x:c r="D83" s="7" t="str">
        <x:v>Food &amp; Beverage</x:v>
      </x:c>
      <x:c r="E83" s="7" t="str">
        <x:v>Mid-market</x:v>
      </x:c>
      <x:c r="F83" s="7" t="str">
        <x:v>Email</x:v>
      </x:c>
      <x:c r="G83" s="8" t="n">
        <x:v>45762</x:v>
      </x:c>
      <x:c r="H83" s="8" t="n">
        <x:v>46138</x:v>
      </x:c>
      <x:c r="I83" s="9" t="n">
        <x:v>5</x:v>
      </x:c>
      <x:c r="J83" s="10" t="n">
        <x:v>207700</x:v>
      </x:c>
      <x:c r="K83" s="10" t="n">
        <x:f>J83/I83</x:f>
        <x:v>41540</x:v>
      </x:c>
      <x:c r="L83" s="9" t="n">
        <x:f>DATE(2026,6,30)-H83</x:f>
        <x:v>65</x:v>
      </x:c>
      <x:c r="M83" s="9" t="n">
        <x:f>IF(L83&lt;=60,5,IF(L83&lt;=120,4,IF(L83&lt;=180,3,IF(L83&lt;=240,2,1))))</x:f>
        <x:v>4</x:v>
      </x:c>
      <x:c r="N83" s="9" t="n">
        <x:f>IF(I83&gt;=6,5,IF(I83&gt;=4,4,IF(I83=3,3,IF(I83=2,2,1))))</x:f>
        <x:v>4</x:v>
      </x:c>
      <x:c r="O83" s="9" t="n">
        <x:f>IF(J83&gt;=500000,5,IF(J83&gt;=300000,4,IF(J83&gt;=175000,3,IF(J83&gt;=75000,2,1))))</x:f>
        <x:v>3</x:v>
      </x:c>
      <x:c r="P83" s="7" t="str">
        <x:f>M83&amp;N83&amp;O83</x:f>
        <x:v>443</x:v>
      </x:c>
      <x:c r="Q83" s="7" t="str">
        <x:f>IF(AND(L83&lt;=60,I83&gt;=5,J83&gt;=300000),"Champions",IF(AND(L83&lt;=120,I83&gt;=3),"Loyal Growth",IF(AND(L83&gt;180,J83&gt;=300000),"High Value At Risk",IF(DATE(2026,6,30)-G83&lt;=90,"New Accounts",IF(AND(L83&lt;=120,I83=1),"Promising",IF(L83&lt;=240,"Needs Nurture","Dormant"))))))</x:f>
        <x:v>Loyal Growth</x:v>
      </x:c>
      <x:c r="R83" s="7" t="str">
        <x:f>IF(DATE(2026,6,30)-G83&lt;=90,"New",IF(AND(L83&lt;=120,I83&gt;=2),"Active",IF(I83=1,"One-time",IF(L83&lt;=240,"At Risk","Lapsed"))))</x:f>
        <x:v>Active</x:v>
      </x:c>
      <x:c r="S83" s="15" t="str">
        <x:f>IF(Q83="Champions","Invite to advisory program and cross-sell service plans",IF(Q83="Loyal Growth","Prioritize expansion offer and product education",IF(Q83="High Value At Risk","Assign sales recovery outreach within 14 days",IF(Q83="New Accounts","Launch 90-day onboarding and adoption sequence",IF(Q83="Promising","Nurture second purchase with use-case content",IF(Q83="Needs Nurture","Run product-fit review and re-engagement sequence","Move to low-frequency win-back program"))))))</x:f>
        <x:v>Prioritize expansion offer and product education</x:v>
      </x:c>
      <x:c r="T83" s="1"/>
      <x:c r="U83" s="1"/>
      <x:c r="V83" s="1"/>
      <x:c r="W83" s="1"/>
      <x:c r="X83" s="1"/>
      <x:c r="Y83" s="1"/>
      <x:c r="Z83" s="1"/>
    </x:row>
    <x:row r="84">
      <x:c r="A84" s="7" t="str">
        <x:v>ACC-0083</x:v>
      </x:c>
      <x:c r="B84" s="7" t="str">
        <x:v>Harbor Brands 083</x:v>
      </x:c>
      <x:c r="C84" s="7" t="str">
        <x:v>Northeast</x:v>
      </x:c>
      <x:c r="D84" s="7" t="str">
        <x:v>Consumer Goods</x:v>
      </x:c>
      <x:c r="E84" s="7" t="str">
        <x:v>Small</x:v>
      </x:c>
      <x:c r="F84" s="7" t="str">
        <x:v>LinkedIn</x:v>
      </x:c>
      <x:c r="G84" s="8" t="n">
        <x:v>45716</x:v>
      </x:c>
      <x:c r="H84" s="8" t="n">
        <x:v>46049</x:v>
      </x:c>
      <x:c r="I84" s="9" t="n">
        <x:v>3</x:v>
      </x:c>
      <x:c r="J84" s="10" t="n">
        <x:v>281100</x:v>
      </x:c>
      <x:c r="K84" s="10" t="n">
        <x:f>J84/I84</x:f>
        <x:v>93700</x:v>
      </x:c>
      <x:c r="L84" s="9" t="n">
        <x:f>DATE(2026,6,30)-H84</x:f>
        <x:v>154</x:v>
      </x:c>
      <x:c r="M84" s="9" t="n">
        <x:f>IF(L84&lt;=60,5,IF(L84&lt;=120,4,IF(L84&lt;=180,3,IF(L84&lt;=240,2,1))))</x:f>
        <x:v>3</x:v>
      </x:c>
      <x:c r="N84" s="9" t="n">
        <x:f>IF(I84&gt;=6,5,IF(I84&gt;=4,4,IF(I84=3,3,IF(I84=2,2,1))))</x:f>
        <x:v>3</x:v>
      </x:c>
      <x:c r="O84" s="9" t="n">
        <x:f>IF(J84&gt;=500000,5,IF(J84&gt;=300000,4,IF(J84&gt;=175000,3,IF(J84&gt;=75000,2,1))))</x:f>
        <x:v>3</x:v>
      </x:c>
      <x:c r="P84" s="7" t="str">
        <x:f>M84&amp;N84&amp;O84</x:f>
        <x:v>333</x:v>
      </x:c>
      <x:c r="Q84" s="7" t="str">
        <x:f>IF(AND(L84&lt;=60,I84&gt;=5,J84&gt;=300000),"Champions",IF(AND(L84&lt;=120,I84&gt;=3),"Loyal Growth",IF(AND(L84&gt;180,J84&gt;=300000),"High Value At Risk",IF(DATE(2026,6,30)-G84&lt;=90,"New Accounts",IF(AND(L84&lt;=120,I84=1),"Promising",IF(L84&lt;=240,"Needs Nurture","Dormant"))))))</x:f>
        <x:v>Needs Nurture</x:v>
      </x:c>
      <x:c r="R84" s="7" t="str">
        <x:f>IF(DATE(2026,6,30)-G84&lt;=90,"New",IF(AND(L84&lt;=120,I84&gt;=2),"Active",IF(I84=1,"One-time",IF(L84&lt;=240,"At Risk","Lapsed"))))</x:f>
        <x:v>At Risk</x:v>
      </x:c>
      <x:c r="S84" s="15" t="str">
        <x:f>IF(Q84="Champions","Invite to advisory program and cross-sell service plans",IF(Q84="Loyal Growth","Prioritize expansion offer and product education",IF(Q84="High Value At Risk","Assign sales recovery outreach within 14 days",IF(Q84="New Accounts","Launch 90-day onboarding and adoption sequence",IF(Q84="Promising","Nurture second purchase with use-case content",IF(Q84="Needs Nurture","Run product-fit review and re-engagement sequence","Move to low-frequency win-back program"))))))</x:f>
        <x:v>Run product-fit review and re-engagement sequence</x:v>
      </x:c>
      <x:c r="T84" s="1"/>
      <x:c r="U84" s="1"/>
      <x:c r="V84" s="1"/>
      <x:c r="W84" s="1"/>
      <x:c r="X84" s="1"/>
      <x:c r="Y84" s="1"/>
      <x:c r="Z84" s="1"/>
    </x:row>
    <x:row r="85">
      <x:c r="A85" s="7" t="str">
        <x:v>ACC-0084</x:v>
      </x:c>
      <x:c r="B85" s="7" t="str">
        <x:v>BlueRiver Foods 084</x:v>
      </x:c>
      <x:c r="C85" s="7" t="str">
        <x:v>South</x:v>
      </x:c>
      <x:c r="D85" s="7" t="str">
        <x:v>Industrial Products</x:v>
      </x:c>
      <x:c r="E85" s="7" t="str">
        <x:v>Enterprise</x:v>
      </x:c>
      <x:c r="F85" s="7" t="str">
        <x:v>Trade Show</x:v>
      </x:c>
      <x:c r="G85" s="8" t="n">
        <x:v>45294</x:v>
      </x:c>
      <x:c r="H85" s="8" t="n">
        <x:v>45963</x:v>
      </x:c>
      <x:c r="I85" s="9" t="n">
        <x:v>3</x:v>
      </x:c>
      <x:c r="J85" s="10" t="n">
        <x:v>312100</x:v>
      </x:c>
      <x:c r="K85" s="10" t="n">
        <x:f>J85/I85</x:f>
        <x:v>104033.33333333333</x:v>
      </x:c>
      <x:c r="L85" s="9" t="n">
        <x:f>DATE(2026,6,30)-H85</x:f>
        <x:v>240</x:v>
      </x:c>
      <x:c r="M85" s="9" t="n">
        <x:f>IF(L85&lt;=60,5,IF(L85&lt;=120,4,IF(L85&lt;=180,3,IF(L85&lt;=240,2,1))))</x:f>
        <x:v>2</x:v>
      </x:c>
      <x:c r="N85" s="9" t="n">
        <x:f>IF(I85&gt;=6,5,IF(I85&gt;=4,4,IF(I85=3,3,IF(I85=2,2,1))))</x:f>
        <x:v>3</x:v>
      </x:c>
      <x:c r="O85" s="9" t="n">
        <x:f>IF(J85&gt;=500000,5,IF(J85&gt;=300000,4,IF(J85&gt;=175000,3,IF(J85&gt;=75000,2,1))))</x:f>
        <x:v>4</x:v>
      </x:c>
      <x:c r="P85" s="7" t="str">
        <x:f>M85&amp;N85&amp;O85</x:f>
        <x:v>234</x:v>
      </x:c>
      <x:c r="Q85" s="7" t="str">
        <x:f>IF(AND(L85&lt;=60,I85&gt;=5,J85&gt;=300000),"Champions",IF(AND(L85&lt;=120,I85&gt;=3),"Loyal Growth",IF(AND(L85&gt;180,J85&gt;=300000),"High Value At Risk",IF(DATE(2026,6,30)-G85&lt;=90,"New Accounts",IF(AND(L85&lt;=120,I85=1),"Promising",IF(L85&lt;=240,"Needs Nurture","Dormant"))))))</x:f>
        <x:v>High Value At Risk</x:v>
      </x:c>
      <x:c r="R85" s="7" t="str">
        <x:f>IF(DATE(2026,6,30)-G85&lt;=90,"New",IF(AND(L85&lt;=120,I85&gt;=2),"Active",IF(I85=1,"One-time",IF(L85&lt;=240,"At Risk","Lapsed"))))</x:f>
        <x:v>At Risk</x:v>
      </x:c>
      <x:c r="S85" s="15" t="str">
        <x:f>IF(Q85="Champions","Invite to advisory program and cross-sell service plans",IF(Q85="Loyal Growth","Prioritize expansion offer and product education",IF(Q85="High Value At Risk","Assign sales recovery outreach within 14 days",IF(Q85="New Accounts","Launch 90-day onboarding and adoption sequence",IF(Q85="Promising","Nurture second purchase with use-case content",IF(Q85="Needs Nurture","Run product-fit review and re-engagement sequence","Move to low-frequency win-back program"))))))</x:f>
        <x:v>Assign sales recovery outreach within 14 days</x:v>
      </x:c>
      <x:c r="T85" s="1"/>
      <x:c r="U85" s="1"/>
      <x:c r="V85" s="1"/>
      <x:c r="W85" s="1"/>
      <x:c r="X85" s="1"/>
      <x:c r="Y85" s="1"/>
      <x:c r="Z85" s="1"/>
    </x:row>
    <x:row r="86">
      <x:c r="A86" s="7" t="str">
        <x:v>ACC-0085</x:v>
      </x:c>
      <x:c r="B86" s="7" t="str">
        <x:v>Evergreen Manufacturing 085</x:v>
      </x:c>
      <x:c r="C86" s="7" t="str">
        <x:v>West</x:v>
      </x:c>
      <x:c r="D86" s="7" t="str">
        <x:v>Contract Packaging</x:v>
      </x:c>
      <x:c r="E86" s="7" t="str">
        <x:v>Small</x:v>
      </x:c>
      <x:c r="F86" s="7" t="str">
        <x:v>Email</x:v>
      </x:c>
      <x:c r="G86" s="8" t="n">
        <x:v>45622</x:v>
      </x:c>
      <x:c r="H86" s="8" t="n">
        <x:v>45622</x:v>
      </x:c>
      <x:c r="I86" s="9" t="n">
        <x:v>1</x:v>
      </x:c>
      <x:c r="J86" s="10" t="n">
        <x:v>69200</x:v>
      </x:c>
      <x:c r="K86" s="10" t="n">
        <x:f>J86/I86</x:f>
        <x:v>69200</x:v>
      </x:c>
      <x:c r="L86" s="9" t="n">
        <x:f>DATE(2026,6,30)-H86</x:f>
        <x:v>581</x:v>
      </x:c>
      <x:c r="M86" s="9" t="n">
        <x:f>IF(L86&lt;=60,5,IF(L86&lt;=120,4,IF(L86&lt;=180,3,IF(L86&lt;=240,2,1))))</x:f>
        <x:v>1</x:v>
      </x:c>
      <x:c r="N86" s="9" t="n">
        <x:f>IF(I86&gt;=6,5,IF(I86&gt;=4,4,IF(I86=3,3,IF(I86=2,2,1))))</x:f>
        <x:v>1</x:v>
      </x:c>
      <x:c r="O86" s="9" t="n">
        <x:f>IF(J86&gt;=500000,5,IF(J86&gt;=300000,4,IF(J86&gt;=175000,3,IF(J86&gt;=75000,2,1))))</x:f>
        <x:v>1</x:v>
      </x:c>
      <x:c r="P86" s="7" t="str">
        <x:f>M86&amp;N86&amp;O86</x:f>
        <x:v>111</x:v>
      </x:c>
      <x:c r="Q86" s="7" t="str">
        <x:f>IF(AND(L86&lt;=60,I86&gt;=5,J86&gt;=300000),"Champions",IF(AND(L86&lt;=120,I86&gt;=3),"Loyal Growth",IF(AND(L86&gt;180,J86&gt;=300000),"High Value At Risk",IF(DATE(2026,6,30)-G86&lt;=90,"New Accounts",IF(AND(L86&lt;=120,I86=1),"Promising",IF(L86&lt;=240,"Needs Nurture","Dormant"))))))</x:f>
        <x:v>Dormant</x:v>
      </x:c>
      <x:c r="R86" s="7" t="str">
        <x:f>IF(DATE(2026,6,30)-G86&lt;=90,"New",IF(AND(L86&lt;=120,I86&gt;=2),"Active",IF(I86=1,"One-time",IF(L86&lt;=240,"At Risk","Lapsed"))))</x:f>
        <x:v>One-time</x:v>
      </x:c>
      <x:c r="S86" s="15" t="str">
        <x:f>IF(Q86="Champions","Invite to advisory program and cross-sell service plans",IF(Q86="Loyal Growth","Prioritize expansion offer and product education",IF(Q86="High Value At Risk","Assign sales recovery outreach within 14 days",IF(Q86="New Accounts","Launch 90-day onboarding and adoption sequence",IF(Q86="Promising","Nurture second purchase with use-case content",IF(Q86="Needs Nurture","Run product-fit review and re-engagement sequence","Move to low-frequency win-back program"))))))</x:f>
        <x:v>Move to low-frequency win-back program</x:v>
      </x:c>
      <x:c r="T86" s="1"/>
      <x:c r="U86" s="1"/>
      <x:c r="V86" s="1"/>
      <x:c r="W86" s="1"/>
      <x:c r="X86" s="1"/>
      <x:c r="Y86" s="1"/>
      <x:c r="Z86" s="1"/>
    </x:row>
    <x:row r="87">
      <x:c r="A87" s="7" t="str">
        <x:v>ACC-0086</x:v>
      </x:c>
      <x:c r="B87" s="7" t="str">
        <x:v>Beacon Products 086</x:v>
      </x:c>
      <x:c r="C87" s="7" t="str">
        <x:v>West</x:v>
      </x:c>
      <x:c r="D87" s="7" t="str">
        <x:v>Consumer Goods</x:v>
      </x:c>
      <x:c r="E87" s="7" t="str">
        <x:v>Mid-market</x:v>
      </x:c>
      <x:c r="F87" s="7" t="str">
        <x:v>LinkedIn</x:v>
      </x:c>
      <x:c r="G87" s="8" t="n">
        <x:v>46091</x:v>
      </x:c>
      <x:c r="H87" s="8" t="n">
        <x:v>46112</x:v>
      </x:c>
      <x:c r="I87" s="9" t="n">
        <x:v>2</x:v>
      </x:c>
      <x:c r="J87" s="10" t="n">
        <x:v>97200</x:v>
      </x:c>
      <x:c r="K87" s="10" t="n">
        <x:f>J87/I87</x:f>
        <x:v>48600</x:v>
      </x:c>
      <x:c r="L87" s="9" t="n">
        <x:f>DATE(2026,6,30)-H87</x:f>
        <x:v>91</x:v>
      </x:c>
      <x:c r="M87" s="9" t="n">
        <x:f>IF(L87&lt;=60,5,IF(L87&lt;=120,4,IF(L87&lt;=180,3,IF(L87&lt;=240,2,1))))</x:f>
        <x:v>4</x:v>
      </x:c>
      <x:c r="N87" s="9" t="n">
        <x:f>IF(I87&gt;=6,5,IF(I87&gt;=4,4,IF(I87=3,3,IF(I87=2,2,1))))</x:f>
        <x:v>2</x:v>
      </x:c>
      <x:c r="O87" s="9" t="n">
        <x:f>IF(J87&gt;=500000,5,IF(J87&gt;=300000,4,IF(J87&gt;=175000,3,IF(J87&gt;=75000,2,1))))</x:f>
        <x:v>2</x:v>
      </x:c>
      <x:c r="P87" s="7" t="str">
        <x:f>M87&amp;N87&amp;O87</x:f>
        <x:v>422</x:v>
      </x:c>
      <x:c r="Q87" s="7" t="str">
        <x:f>IF(AND(L87&lt;=60,I87&gt;=5,J87&gt;=300000),"Champions",IF(AND(L87&lt;=120,I87&gt;=3),"Loyal Growth",IF(AND(L87&gt;180,J87&gt;=300000),"High Value At Risk",IF(DATE(2026,6,30)-G87&lt;=90,"New Accounts",IF(AND(L87&lt;=120,I87=1),"Promising",IF(L87&lt;=240,"Needs Nurture","Dormant"))))))</x:f>
        <x:v>Needs Nurture</x:v>
      </x:c>
      <x:c r="R87" s="7" t="str">
        <x:f>IF(DATE(2026,6,30)-G87&lt;=90,"New",IF(AND(L87&lt;=120,I87&gt;=2),"Active",IF(I87=1,"One-time",IF(L87&lt;=240,"At Risk","Lapsed"))))</x:f>
        <x:v>Active</x:v>
      </x:c>
      <x:c r="S87" s="15" t="str">
        <x:f>IF(Q87="Champions","Invite to advisory program and cross-sell service plans",IF(Q87="Loyal Growth","Prioritize expansion offer and product education",IF(Q87="High Value At Risk","Assign sales recovery outreach within 14 days",IF(Q87="New Accounts","Launch 90-day onboarding and adoption sequence",IF(Q87="Promising","Nurture second purchase with use-case content",IF(Q87="Needs Nurture","Run product-fit review and re-engagement sequence","Move to low-frequency win-back program"))))))</x:f>
        <x:v>Run product-fit review and re-engagement sequence</x:v>
      </x:c>
      <x:c r="T87" s="1"/>
      <x:c r="U87" s="1"/>
      <x:c r="V87" s="1"/>
      <x:c r="W87" s="1"/>
      <x:c r="X87" s="1"/>
      <x:c r="Y87" s="1"/>
      <x:c r="Z87" s="1"/>
    </x:row>
    <x:row r="88">
      <x:c r="A88" s="7" t="str">
        <x:v>ACC-0087</x:v>
      </x:c>
      <x:c r="B88" s="7" t="str">
        <x:v>Keystone Brands 087</x:v>
      </x:c>
      <x:c r="C88" s="7" t="str">
        <x:v>West</x:v>
      </x:c>
      <x:c r="D88" s="7" t="str">
        <x:v>Industrial Products</x:v>
      </x:c>
      <x:c r="E88" s="7" t="str">
        <x:v>Small</x:v>
      </x:c>
      <x:c r="F88" s="7" t="str">
        <x:v>Email</x:v>
      </x:c>
      <x:c r="G88" s="8" t="n">
        <x:v>45382</x:v>
      </x:c>
      <x:c r="H88" s="8" t="n">
        <x:v>45382</x:v>
      </x:c>
      <x:c r="I88" s="9" t="n">
        <x:v>1</x:v>
      </x:c>
      <x:c r="J88" s="10" t="n">
        <x:v>19800</x:v>
      </x:c>
      <x:c r="K88" s="10" t="n">
        <x:f>J88/I88</x:f>
        <x:v>19800</x:v>
      </x:c>
      <x:c r="L88" s="9" t="n">
        <x:f>DATE(2026,6,30)-H88</x:f>
        <x:v>821</x:v>
      </x:c>
      <x:c r="M88" s="9" t="n">
        <x:f>IF(L88&lt;=60,5,IF(L88&lt;=120,4,IF(L88&lt;=180,3,IF(L88&lt;=240,2,1))))</x:f>
        <x:v>1</x:v>
      </x:c>
      <x:c r="N88" s="9" t="n">
        <x:f>IF(I88&gt;=6,5,IF(I88&gt;=4,4,IF(I88=3,3,IF(I88=2,2,1))))</x:f>
        <x:v>1</x:v>
      </x:c>
      <x:c r="O88" s="9" t="n">
        <x:f>IF(J88&gt;=500000,5,IF(J88&gt;=300000,4,IF(J88&gt;=175000,3,IF(J88&gt;=75000,2,1))))</x:f>
        <x:v>1</x:v>
      </x:c>
      <x:c r="P88" s="7" t="str">
        <x:f>M88&amp;N88&amp;O88</x:f>
        <x:v>111</x:v>
      </x:c>
      <x:c r="Q88" s="7" t="str">
        <x:f>IF(AND(L88&lt;=60,I88&gt;=5,J88&gt;=300000),"Champions",IF(AND(L88&lt;=120,I88&gt;=3),"Loyal Growth",IF(AND(L88&gt;180,J88&gt;=300000),"High Value At Risk",IF(DATE(2026,6,30)-G88&lt;=90,"New Accounts",IF(AND(L88&lt;=120,I88=1),"Promising",IF(L88&lt;=240,"Needs Nurture","Dormant"))))))</x:f>
        <x:v>Dormant</x:v>
      </x:c>
      <x:c r="R88" s="7" t="str">
        <x:f>IF(DATE(2026,6,30)-G88&lt;=90,"New",IF(AND(L88&lt;=120,I88&gt;=2),"Active",IF(I88=1,"One-time",IF(L88&lt;=240,"At Risk","Lapsed"))))</x:f>
        <x:v>One-time</x:v>
      </x:c>
      <x:c r="S88" s="15" t="str">
        <x:f>IF(Q88="Champions","Invite to advisory program and cross-sell service plans",IF(Q88="Loyal Growth","Prioritize expansion offer and product education",IF(Q88="High Value At Risk","Assign sales recovery outreach within 14 days",IF(Q88="New Accounts","Launch 90-day onboarding and adoption sequence",IF(Q88="Promising","Nurture second purchase with use-case content",IF(Q88="Needs Nurture","Run product-fit review and re-engagement sequence","Move to low-frequency win-back program"))))))</x:f>
        <x:v>Move to low-frequency win-back program</x:v>
      </x:c>
      <x:c r="T88" s="1"/>
      <x:c r="U88" s="1"/>
      <x:c r="V88" s="1"/>
      <x:c r="W88" s="1"/>
      <x:c r="X88" s="1"/>
      <x:c r="Y88" s="1"/>
      <x:c r="Z88" s="1"/>
    </x:row>
    <x:row r="89">
      <x:c r="A89" s="7" t="str">
        <x:v>ACC-0088</x:v>
      </x:c>
      <x:c r="B89" s="7" t="str">
        <x:v>Summit Products 088</x:v>
      </x:c>
      <x:c r="C89" s="7" t="str">
        <x:v>South</x:v>
      </x:c>
      <x:c r="D89" s="7" t="str">
        <x:v>Food &amp; Beverage</x:v>
      </x:c>
      <x:c r="E89" s="7" t="str">
        <x:v>Mid-market</x:v>
      </x:c>
      <x:c r="F89" s="7" t="str">
        <x:v>Email</x:v>
      </x:c>
      <x:c r="G89" s="8" t="n">
        <x:v>46079</x:v>
      </x:c>
      <x:c r="H89" s="8" t="n">
        <x:v>46151</x:v>
      </x:c>
      <x:c r="I89" s="9" t="n">
        <x:v>2</x:v>
      </x:c>
      <x:c r="J89" s="10" t="n">
        <x:v>321400</x:v>
      </x:c>
      <x:c r="K89" s="10" t="n">
        <x:f>J89/I89</x:f>
        <x:v>160700</x:v>
      </x:c>
      <x:c r="L89" s="9" t="n">
        <x:f>DATE(2026,6,30)-H89</x:f>
        <x:v>52</x:v>
      </x:c>
      <x:c r="M89" s="9" t="n">
        <x:f>IF(L89&lt;=60,5,IF(L89&lt;=120,4,IF(L89&lt;=180,3,IF(L89&lt;=240,2,1))))</x:f>
        <x:v>5</x:v>
      </x:c>
      <x:c r="N89" s="9" t="n">
        <x:f>IF(I89&gt;=6,5,IF(I89&gt;=4,4,IF(I89=3,3,IF(I89=2,2,1))))</x:f>
        <x:v>2</x:v>
      </x:c>
      <x:c r="O89" s="9" t="n">
        <x:f>IF(J89&gt;=500000,5,IF(J89&gt;=300000,4,IF(J89&gt;=175000,3,IF(J89&gt;=75000,2,1))))</x:f>
        <x:v>4</x:v>
      </x:c>
      <x:c r="P89" s="7" t="str">
        <x:f>M89&amp;N89&amp;O89</x:f>
        <x:v>524</x:v>
      </x:c>
      <x:c r="Q89" s="7" t="str">
        <x:f>IF(AND(L89&lt;=60,I89&gt;=5,J89&gt;=300000),"Champions",IF(AND(L89&lt;=120,I89&gt;=3),"Loyal Growth",IF(AND(L89&gt;180,J89&gt;=300000),"High Value At Risk",IF(DATE(2026,6,30)-G89&lt;=90,"New Accounts",IF(AND(L89&lt;=120,I89=1),"Promising",IF(L89&lt;=240,"Needs Nurture","Dormant"))))))</x:f>
        <x:v>Needs Nurture</x:v>
      </x:c>
      <x:c r="R89" s="7" t="str">
        <x:f>IF(DATE(2026,6,30)-G89&lt;=90,"New",IF(AND(L89&lt;=120,I89&gt;=2),"Active",IF(I89=1,"One-time",IF(L89&lt;=240,"At Risk","Lapsed"))))</x:f>
        <x:v>Active</x:v>
      </x:c>
      <x:c r="S89" s="15" t="str">
        <x:f>IF(Q89="Champions","Invite to advisory program and cross-sell service plans",IF(Q89="Loyal Growth","Prioritize expansion offer and product education",IF(Q89="High Value At Risk","Assign sales recovery outreach within 14 days",IF(Q89="New Accounts","Launch 90-day onboarding and adoption sequence",IF(Q89="Promising","Nurture second purchase with use-case content",IF(Q89="Needs Nurture","Run product-fit review and re-engagement sequence","Move to low-frequency win-back program"))))))</x:f>
        <x:v>Run product-fit review and re-engagement sequence</x:v>
      </x:c>
      <x:c r="T89" s="1"/>
      <x:c r="U89" s="1"/>
      <x:c r="V89" s="1"/>
      <x:c r="W89" s="1"/>
      <x:c r="X89" s="1"/>
      <x:c r="Y89" s="1"/>
      <x:c r="Z89" s="1"/>
    </x:row>
    <x:row r="90">
      <x:c r="A90" s="7" t="str">
        <x:v>ACC-0089</x:v>
      </x:c>
      <x:c r="B90" s="7" t="str">
        <x:v>Crest Foods 089</x:v>
      </x:c>
      <x:c r="C90" s="7" t="str">
        <x:v>South</x:v>
      </x:c>
      <x:c r="D90" s="7" t="str">
        <x:v>Consumer Goods</x:v>
      </x:c>
      <x:c r="E90" s="7" t="str">
        <x:v>Small</x:v>
      </x:c>
      <x:c r="F90" s="7" t="str">
        <x:v>Partner Referral</x:v>
      </x:c>
      <x:c r="G90" s="8" t="n">
        <x:v>46061</x:v>
      </x:c>
      <x:c r="H90" s="8" t="n">
        <x:v>46061</x:v>
      </x:c>
      <x:c r="I90" s="9" t="n">
        <x:v>1</x:v>
      </x:c>
      <x:c r="J90" s="10" t="n">
        <x:v>33700</x:v>
      </x:c>
      <x:c r="K90" s="10" t="n">
        <x:f>J90/I90</x:f>
        <x:v>33700</x:v>
      </x:c>
      <x:c r="L90" s="9" t="n">
        <x:f>DATE(2026,6,30)-H90</x:f>
        <x:v>142</x:v>
      </x:c>
      <x:c r="M90" s="9" t="n">
        <x:f>IF(L90&lt;=60,5,IF(L90&lt;=120,4,IF(L90&lt;=180,3,IF(L90&lt;=240,2,1))))</x:f>
        <x:v>3</x:v>
      </x:c>
      <x:c r="N90" s="9" t="n">
        <x:f>IF(I90&gt;=6,5,IF(I90&gt;=4,4,IF(I90=3,3,IF(I90=2,2,1))))</x:f>
        <x:v>1</x:v>
      </x:c>
      <x:c r="O90" s="9" t="n">
        <x:f>IF(J90&gt;=500000,5,IF(J90&gt;=300000,4,IF(J90&gt;=175000,3,IF(J90&gt;=75000,2,1))))</x:f>
        <x:v>1</x:v>
      </x:c>
      <x:c r="P90" s="7" t="str">
        <x:f>M90&amp;N90&amp;O90</x:f>
        <x:v>311</x:v>
      </x:c>
      <x:c r="Q90" s="7" t="str">
        <x:f>IF(AND(L90&lt;=60,I90&gt;=5,J90&gt;=300000),"Champions",IF(AND(L90&lt;=120,I90&gt;=3),"Loyal Growth",IF(AND(L90&gt;180,J90&gt;=300000),"High Value At Risk",IF(DATE(2026,6,30)-G90&lt;=90,"New Accounts",IF(AND(L90&lt;=120,I90=1),"Promising",IF(L90&lt;=240,"Needs Nurture","Dormant"))))))</x:f>
        <x:v>Needs Nurture</x:v>
      </x:c>
      <x:c r="R90" s="7" t="str">
        <x:f>IF(DATE(2026,6,30)-G90&lt;=90,"New",IF(AND(L90&lt;=120,I90&gt;=2),"Active",IF(I90=1,"One-time",IF(L90&lt;=240,"At Risk","Lapsed"))))</x:f>
        <x:v>One-time</x:v>
      </x:c>
      <x:c r="S90" s="15" t="str">
        <x:f>IF(Q90="Champions","Invite to advisory program and cross-sell service plans",IF(Q90="Loyal Growth","Prioritize expansion offer and product education",IF(Q90="High Value At Risk","Assign sales recovery outreach within 14 days",IF(Q90="New Accounts","Launch 90-day onboarding and adoption sequence",IF(Q90="Promising","Nurture second purchase with use-case content",IF(Q90="Needs Nurture","Run product-fit review and re-engagement sequence","Move to low-frequency win-back program"))))))</x:f>
        <x:v>Run product-fit review and re-engagement sequence</x:v>
      </x:c>
      <x:c r="T90" s="1"/>
      <x:c r="U90" s="1"/>
      <x:c r="V90" s="1"/>
      <x:c r="W90" s="1"/>
      <x:c r="X90" s="1"/>
      <x:c r="Y90" s="1"/>
      <x:c r="Z90" s="1"/>
    </x:row>
    <x:row r="91">
      <x:c r="A91" s="7" t="str">
        <x:v>ACC-0090</x:v>
      </x:c>
      <x:c r="B91" s="7" t="str">
        <x:v>Northstar Manufacturing 090</x:v>
      </x:c>
      <x:c r="C91" s="7" t="str">
        <x:v>Midwest</x:v>
      </x:c>
      <x:c r="D91" s="7" t="str">
        <x:v>Food &amp; Beverage</x:v>
      </x:c>
      <x:c r="E91" s="7" t="str">
        <x:v>Mid-market</x:v>
      </x:c>
      <x:c r="F91" s="7" t="str">
        <x:v>Email</x:v>
      </x:c>
      <x:c r="G91" s="8" t="n">
        <x:v>45986</x:v>
      </x:c>
      <x:c r="H91" s="8" t="n">
        <x:v>46089</x:v>
      </x:c>
      <x:c r="I91" s="9" t="n">
        <x:v>2</x:v>
      </x:c>
      <x:c r="J91" s="10" t="n">
        <x:v>44300</x:v>
      </x:c>
      <x:c r="K91" s="10" t="n">
        <x:f>J91/I91</x:f>
        <x:v>22150</x:v>
      </x:c>
      <x:c r="L91" s="9" t="n">
        <x:f>DATE(2026,6,30)-H91</x:f>
        <x:v>114</x:v>
      </x:c>
      <x:c r="M91" s="9" t="n">
        <x:f>IF(L91&lt;=60,5,IF(L91&lt;=120,4,IF(L91&lt;=180,3,IF(L91&lt;=240,2,1))))</x:f>
        <x:v>4</x:v>
      </x:c>
      <x:c r="N91" s="9" t="n">
        <x:f>IF(I91&gt;=6,5,IF(I91&gt;=4,4,IF(I91=3,3,IF(I91=2,2,1))))</x:f>
        <x:v>2</x:v>
      </x:c>
      <x:c r="O91" s="9" t="n">
        <x:f>IF(J91&gt;=500000,5,IF(J91&gt;=300000,4,IF(J91&gt;=175000,3,IF(J91&gt;=75000,2,1))))</x:f>
        <x:v>1</x:v>
      </x:c>
      <x:c r="P91" s="7" t="str">
        <x:f>M91&amp;N91&amp;O91</x:f>
        <x:v>421</x:v>
      </x:c>
      <x:c r="Q91" s="7" t="str">
        <x:f>IF(AND(L91&lt;=60,I91&gt;=5,J91&gt;=300000),"Champions",IF(AND(L91&lt;=120,I91&gt;=3),"Loyal Growth",IF(AND(L91&gt;180,J91&gt;=300000),"High Value At Risk",IF(DATE(2026,6,30)-G91&lt;=90,"New Accounts",IF(AND(L91&lt;=120,I91=1),"Promising",IF(L91&lt;=240,"Needs Nurture","Dormant"))))))</x:f>
        <x:v>Needs Nurture</x:v>
      </x:c>
      <x:c r="R91" s="7" t="str">
        <x:f>IF(DATE(2026,6,30)-G91&lt;=90,"New",IF(AND(L91&lt;=120,I91&gt;=2),"Active",IF(I91=1,"One-time",IF(L91&lt;=240,"At Risk","Lapsed"))))</x:f>
        <x:v>Active</x:v>
      </x:c>
      <x:c r="S91" s="15" t="str">
        <x:f>IF(Q91="Champions","Invite to advisory program and cross-sell service plans",IF(Q91="Loyal Growth","Prioritize expansion offer and product education",IF(Q91="High Value At Risk","Assign sales recovery outreach within 14 days",IF(Q91="New Accounts","Launch 90-day onboarding and adoption sequence",IF(Q91="Promising","Nurture second purchase with use-case content",IF(Q91="Needs Nurture","Run product-fit review and re-engagement sequence","Move to low-frequency win-back program"))))))</x:f>
        <x:v>Run product-fit review and re-engagement sequence</x:v>
      </x:c>
      <x:c r="T91" s="1"/>
      <x:c r="U91" s="1"/>
      <x:c r="V91" s="1"/>
      <x:c r="W91" s="1"/>
      <x:c r="X91" s="1"/>
      <x:c r="Y91" s="1"/>
      <x:c r="Z91" s="1"/>
    </x:row>
    <x:row r="92">
      <x:c r="A92" s="7" t="str">
        <x:v>ACC-0091</x:v>
      </x:c>
      <x:c r="B92" s="7" t="str">
        <x:v>Harbor Industries 091</x:v>
      </x:c>
      <x:c r="C92" s="7" t="str">
        <x:v>Northeast</x:v>
      </x:c>
      <x:c r="D92" s="7" t="str">
        <x:v>Food &amp; Beverage</x:v>
      </x:c>
      <x:c r="E92" s="7" t="str">
        <x:v>Enterprise</x:v>
      </x:c>
      <x:c r="F92" s="7" t="str">
        <x:v>Partner Referral</x:v>
      </x:c>
      <x:c r="G92" s="8" t="n">
        <x:v>45632</x:v>
      </x:c>
      <x:c r="H92" s="8" t="n">
        <x:v>46191</x:v>
      </x:c>
      <x:c r="I92" s="9" t="n">
        <x:v>6</x:v>
      </x:c>
      <x:c r="J92" s="10" t="n">
        <x:v>1329700</x:v>
      </x:c>
      <x:c r="K92" s="10" t="n">
        <x:f>J92/I92</x:f>
        <x:v>221616.66666666666</x:v>
      </x:c>
      <x:c r="L92" s="9" t="n">
        <x:f>DATE(2026,6,30)-H92</x:f>
        <x:v>12</x:v>
      </x:c>
      <x:c r="M92" s="9" t="n">
        <x:f>IF(L92&lt;=60,5,IF(L92&lt;=120,4,IF(L92&lt;=180,3,IF(L92&lt;=240,2,1))))</x:f>
        <x:v>5</x:v>
      </x:c>
      <x:c r="N92" s="9" t="n">
        <x:f>IF(I92&gt;=6,5,IF(I92&gt;=4,4,IF(I92=3,3,IF(I92=2,2,1))))</x:f>
        <x:v>5</x:v>
      </x:c>
      <x:c r="O92" s="9" t="n">
        <x:f>IF(J92&gt;=500000,5,IF(J92&gt;=300000,4,IF(J92&gt;=175000,3,IF(J92&gt;=75000,2,1))))</x:f>
        <x:v>5</x:v>
      </x:c>
      <x:c r="P92" s="7" t="str">
        <x:f>M92&amp;N92&amp;O92</x:f>
        <x:v>555</x:v>
      </x:c>
      <x:c r="Q92" s="7" t="str">
        <x:f>IF(AND(L92&lt;=60,I92&gt;=5,J92&gt;=300000),"Champions",IF(AND(L92&lt;=120,I92&gt;=3),"Loyal Growth",IF(AND(L92&gt;180,J92&gt;=300000),"High Value At Risk",IF(DATE(2026,6,30)-G92&lt;=90,"New Accounts",IF(AND(L92&lt;=120,I92=1),"Promising",IF(L92&lt;=240,"Needs Nurture","Dormant"))))))</x:f>
        <x:v>Champions</x:v>
      </x:c>
      <x:c r="R92" s="7" t="str">
        <x:f>IF(DATE(2026,6,30)-G92&lt;=90,"New",IF(AND(L92&lt;=120,I92&gt;=2),"Active",IF(I92=1,"One-time",IF(L92&lt;=240,"At Risk","Lapsed"))))</x:f>
        <x:v>Active</x:v>
      </x:c>
      <x:c r="S92" s="15" t="str">
        <x:f>IF(Q92="Champions","Invite to advisory program and cross-sell service plans",IF(Q92="Loyal Growth","Prioritize expansion offer and product education",IF(Q92="High Value At Risk","Assign sales recovery outreach within 14 days",IF(Q92="New Accounts","Launch 90-day onboarding and adoption sequence",IF(Q92="Promising","Nurture second purchase with use-case content",IF(Q92="Needs Nurture","Run product-fit review and re-engagement sequence","Move to low-frequency win-back program"))))))</x:f>
        <x:v>Invite to advisory program and cross-sell service plans</x:v>
      </x:c>
      <x:c r="T92" s="1"/>
      <x:c r="U92" s="1"/>
      <x:c r="V92" s="1"/>
      <x:c r="W92" s="1"/>
      <x:c r="X92" s="1"/>
      <x:c r="Y92" s="1"/>
      <x:c r="Z92" s="1"/>
    </x:row>
    <x:row r="93">
      <x:c r="A93" s="7" t="str">
        <x:v>ACC-0092</x:v>
      </x:c>
      <x:c r="B93" s="7" t="str">
        <x:v>Apex Solutions 092</x:v>
      </x:c>
      <x:c r="C93" s="7" t="str">
        <x:v>Northeast</x:v>
      </x:c>
      <x:c r="D93" s="7" t="str">
        <x:v>Industrial Products</x:v>
      </x:c>
      <x:c r="E93" s="7" t="str">
        <x:v>Enterprise</x:v>
      </x:c>
      <x:c r="F93" s="7" t="str">
        <x:v>Partner Referral</x:v>
      </x:c>
      <x:c r="G93" s="8" t="n">
        <x:v>46192</x:v>
      </x:c>
      <x:c r="H93" s="8" t="n">
        <x:v>46197</x:v>
      </x:c>
      <x:c r="I93" s="9" t="n">
        <x:v>2</x:v>
      </x:c>
      <x:c r="J93" s="10" t="n">
        <x:v>315400</x:v>
      </x:c>
      <x:c r="K93" s="10" t="n">
        <x:f>J93/I93</x:f>
        <x:v>157700</x:v>
      </x:c>
      <x:c r="L93" s="9" t="n">
        <x:f>DATE(2026,6,30)-H93</x:f>
        <x:v>6</x:v>
      </x:c>
      <x:c r="M93" s="9" t="n">
        <x:f>IF(L93&lt;=60,5,IF(L93&lt;=120,4,IF(L93&lt;=180,3,IF(L93&lt;=240,2,1))))</x:f>
        <x:v>5</x:v>
      </x:c>
      <x:c r="N93" s="9" t="n">
        <x:f>IF(I93&gt;=6,5,IF(I93&gt;=4,4,IF(I93=3,3,IF(I93=2,2,1))))</x:f>
        <x:v>2</x:v>
      </x:c>
      <x:c r="O93" s="9" t="n">
        <x:f>IF(J93&gt;=500000,5,IF(J93&gt;=300000,4,IF(J93&gt;=175000,3,IF(J93&gt;=75000,2,1))))</x:f>
        <x:v>4</x:v>
      </x:c>
      <x:c r="P93" s="7" t="str">
        <x:f>M93&amp;N93&amp;O93</x:f>
        <x:v>524</x:v>
      </x:c>
      <x:c r="Q93" s="7" t="str">
        <x:f>IF(AND(L93&lt;=60,I93&gt;=5,J93&gt;=300000),"Champions",IF(AND(L93&lt;=120,I93&gt;=3),"Loyal Growth",IF(AND(L93&gt;180,J93&gt;=300000),"High Value At Risk",IF(DATE(2026,6,30)-G93&lt;=90,"New Accounts",IF(AND(L93&lt;=120,I93=1),"Promising",IF(L93&lt;=240,"Needs Nurture","Dormant"))))))</x:f>
        <x:v>New Accounts</x:v>
      </x:c>
      <x:c r="R93" s="7" t="str">
        <x:f>IF(DATE(2026,6,30)-G93&lt;=90,"New",IF(AND(L93&lt;=120,I93&gt;=2),"Active",IF(I93=1,"One-time",IF(L93&lt;=240,"At Risk","Lapsed"))))</x:f>
        <x:v>New</x:v>
      </x:c>
      <x:c r="S93" s="15" t="str">
        <x:f>IF(Q93="Champions","Invite to advisory program and cross-sell service plans",IF(Q93="Loyal Growth","Prioritize expansion offer and product education",IF(Q93="High Value At Risk","Assign sales recovery outreach within 14 days",IF(Q93="New Accounts","Launch 90-day onboarding and adoption sequence",IF(Q93="Promising","Nurture second purchase with use-case content",IF(Q93="Needs Nurture","Run product-fit review and re-engagement sequence","Move to low-frequency win-back program"))))))</x:f>
        <x:v>Launch 90-day onboarding and adoption sequence</x:v>
      </x:c>
      <x:c r="T93" s="1"/>
      <x:c r="U93" s="1"/>
      <x:c r="V93" s="1"/>
      <x:c r="W93" s="1"/>
      <x:c r="X93" s="1"/>
      <x:c r="Y93" s="1"/>
      <x:c r="Z93" s="1"/>
    </x:row>
    <x:row r="94">
      <x:c r="A94" s="7" t="str">
        <x:v>ACC-0093</x:v>
      </x:c>
      <x:c r="B94" s="7" t="str">
        <x:v>Meridian Packaging 093</x:v>
      </x:c>
      <x:c r="C94" s="7" t="str">
        <x:v>Northeast</x:v>
      </x:c>
      <x:c r="D94" s="7" t="str">
        <x:v>Consumer Goods</x:v>
      </x:c>
      <x:c r="E94" s="7" t="str">
        <x:v>Mid-market</x:v>
      </x:c>
      <x:c r="F94" s="7" t="str">
        <x:v>LinkedIn</x:v>
      </x:c>
      <x:c r="G94" s="8" t="n">
        <x:v>45306</x:v>
      </x:c>
      <x:c r="H94" s="8" t="n">
        <x:v>45916</x:v>
      </x:c>
      <x:c r="I94" s="9" t="n">
        <x:v>2</x:v>
      </x:c>
      <x:c r="J94" s="10" t="n">
        <x:v>179000</x:v>
      </x:c>
      <x:c r="K94" s="10" t="n">
        <x:f>J94/I94</x:f>
        <x:v>89500</x:v>
      </x:c>
      <x:c r="L94" s="9" t="n">
        <x:f>DATE(2026,6,30)-H94</x:f>
        <x:v>287</x:v>
      </x:c>
      <x:c r="M94" s="9" t="n">
        <x:f>IF(L94&lt;=60,5,IF(L94&lt;=120,4,IF(L94&lt;=180,3,IF(L94&lt;=240,2,1))))</x:f>
        <x:v>1</x:v>
      </x:c>
      <x:c r="N94" s="9" t="n">
        <x:f>IF(I94&gt;=6,5,IF(I94&gt;=4,4,IF(I94=3,3,IF(I94=2,2,1))))</x:f>
        <x:v>2</x:v>
      </x:c>
      <x:c r="O94" s="9" t="n">
        <x:f>IF(J94&gt;=500000,5,IF(J94&gt;=300000,4,IF(J94&gt;=175000,3,IF(J94&gt;=75000,2,1))))</x:f>
        <x:v>3</x:v>
      </x:c>
      <x:c r="P94" s="7" t="str">
        <x:f>M94&amp;N94&amp;O94</x:f>
        <x:v>123</x:v>
      </x:c>
      <x:c r="Q94" s="7" t="str">
        <x:f>IF(AND(L94&lt;=60,I94&gt;=5,J94&gt;=300000),"Champions",IF(AND(L94&lt;=120,I94&gt;=3),"Loyal Growth",IF(AND(L94&gt;180,J94&gt;=300000),"High Value At Risk",IF(DATE(2026,6,30)-G94&lt;=90,"New Accounts",IF(AND(L94&lt;=120,I94=1),"Promising",IF(L94&lt;=240,"Needs Nurture","Dormant"))))))</x:f>
        <x:v>Dormant</x:v>
      </x:c>
      <x:c r="R94" s="7" t="str">
        <x:f>IF(DATE(2026,6,30)-G94&lt;=90,"New",IF(AND(L94&lt;=120,I94&gt;=2),"Active",IF(I94=1,"One-time",IF(L94&lt;=240,"At Risk","Lapsed"))))</x:f>
        <x:v>Lapsed</x:v>
      </x:c>
      <x:c r="S94" s="15" t="str">
        <x:f>IF(Q94="Champions","Invite to advisory program and cross-sell service plans",IF(Q94="Loyal Growth","Prioritize expansion offer and product education",IF(Q94="High Value At Risk","Assign sales recovery outreach within 14 days",IF(Q94="New Accounts","Launch 90-day onboarding and adoption sequence",IF(Q94="Promising","Nurture second purchase with use-case content",IF(Q94="Needs Nurture","Run product-fit review and re-engagement sequence","Move to low-frequency win-back program"))))))</x:f>
        <x:v>Move to low-frequency win-back program</x:v>
      </x:c>
      <x:c r="T94" s="1"/>
      <x:c r="U94" s="1"/>
      <x:c r="V94" s="1"/>
      <x:c r="W94" s="1"/>
      <x:c r="X94" s="1"/>
      <x:c r="Y94" s="1"/>
      <x:c r="Z94" s="1"/>
    </x:row>
    <x:row r="95">
      <x:c r="A95" s="7" t="str">
        <x:v>ACC-0094</x:v>
      </x:c>
      <x:c r="B95" s="7" t="str">
        <x:v>Harbor Brands 094</x:v>
      </x:c>
      <x:c r="C95" s="7" t="str">
        <x:v>South</x:v>
      </x:c>
      <x:c r="D95" s="7" t="str">
        <x:v>Industrial Products</x:v>
      </x:c>
      <x:c r="E95" s="7" t="str">
        <x:v>Small</x:v>
      </x:c>
      <x:c r="F95" s="7" t="str">
        <x:v>Google Search</x:v>
      </x:c>
      <x:c r="G95" s="8" t="n">
        <x:v>45985</x:v>
      </x:c>
      <x:c r="H95" s="8" t="n">
        <x:v>46174</x:v>
      </x:c>
      <x:c r="I95" s="9" t="n">
        <x:v>4</x:v>
      </x:c>
      <x:c r="J95" s="10" t="n">
        <x:v>288200</x:v>
      </x:c>
      <x:c r="K95" s="10" t="n">
        <x:f>J95/I95</x:f>
        <x:v>72050</x:v>
      </x:c>
      <x:c r="L95" s="9" t="n">
        <x:f>DATE(2026,6,30)-H95</x:f>
        <x:v>29</x:v>
      </x:c>
      <x:c r="M95" s="9" t="n">
        <x:f>IF(L95&lt;=60,5,IF(L95&lt;=120,4,IF(L95&lt;=180,3,IF(L95&lt;=240,2,1))))</x:f>
        <x:v>5</x:v>
      </x:c>
      <x:c r="N95" s="9" t="n">
        <x:f>IF(I95&gt;=6,5,IF(I95&gt;=4,4,IF(I95=3,3,IF(I95=2,2,1))))</x:f>
        <x:v>4</x:v>
      </x:c>
      <x:c r="O95" s="9" t="n">
        <x:f>IF(J95&gt;=500000,5,IF(J95&gt;=300000,4,IF(J95&gt;=175000,3,IF(J95&gt;=75000,2,1))))</x:f>
        <x:v>3</x:v>
      </x:c>
      <x:c r="P95" s="7" t="str">
        <x:f>M95&amp;N95&amp;O95</x:f>
        <x:v>543</x:v>
      </x:c>
      <x:c r="Q95" s="7" t="str">
        <x:f>IF(AND(L95&lt;=60,I95&gt;=5,J95&gt;=300000),"Champions",IF(AND(L95&lt;=120,I95&gt;=3),"Loyal Growth",IF(AND(L95&gt;180,J95&gt;=300000),"High Value At Risk",IF(DATE(2026,6,30)-G95&lt;=90,"New Accounts",IF(AND(L95&lt;=120,I95=1),"Promising",IF(L95&lt;=240,"Needs Nurture","Dormant"))))))</x:f>
        <x:v>Loyal Growth</x:v>
      </x:c>
      <x:c r="R95" s="7" t="str">
        <x:f>IF(DATE(2026,6,30)-G95&lt;=90,"New",IF(AND(L95&lt;=120,I95&gt;=2),"Active",IF(I95=1,"One-time",IF(L95&lt;=240,"At Risk","Lapsed"))))</x:f>
        <x:v>Active</x:v>
      </x:c>
      <x:c r="S95" s="15" t="str">
        <x:f>IF(Q95="Champions","Invite to advisory program and cross-sell service plans",IF(Q95="Loyal Growth","Prioritize expansion offer and product education",IF(Q95="High Value At Risk","Assign sales recovery outreach within 14 days",IF(Q95="New Accounts","Launch 90-day onboarding and adoption sequence",IF(Q95="Promising","Nurture second purchase with use-case content",IF(Q95="Needs Nurture","Run product-fit review and re-engagement sequence","Move to low-frequency win-back program"))))))</x:f>
        <x:v>Prioritize expansion offer and product education</x:v>
      </x:c>
      <x:c r="T95" s="1"/>
      <x:c r="U95" s="1"/>
      <x:c r="V95" s="1"/>
      <x:c r="W95" s="1"/>
      <x:c r="X95" s="1"/>
      <x:c r="Y95" s="1"/>
      <x:c r="Z95" s="1"/>
    </x:row>
    <x:row r="96">
      <x:c r="A96" s="7" t="str">
        <x:v>ACC-0095</x:v>
      </x:c>
      <x:c r="B96" s="7" t="str">
        <x:v>Keystone Products 095</x:v>
      </x:c>
      <x:c r="C96" s="7" t="str">
        <x:v>West</x:v>
      </x:c>
      <x:c r="D96" s="7" t="str">
        <x:v>Pharmaceuticals</x:v>
      </x:c>
      <x:c r="E96" s="7" t="str">
        <x:v>Enterprise</x:v>
      </x:c>
      <x:c r="F96" s="7" t="str">
        <x:v>Partner Referral</x:v>
      </x:c>
      <x:c r="G96" s="8" t="n">
        <x:v>46064</x:v>
      </x:c>
      <x:c r="H96" s="8" t="n">
        <x:v>46111</x:v>
      </x:c>
      <x:c r="I96" s="9" t="n">
        <x:v>2</x:v>
      </x:c>
      <x:c r="J96" s="10" t="n">
        <x:v>336000</x:v>
      </x:c>
      <x:c r="K96" s="10" t="n">
        <x:f>J96/I96</x:f>
        <x:v>168000</x:v>
      </x:c>
      <x:c r="L96" s="9" t="n">
        <x:f>DATE(2026,6,30)-H96</x:f>
        <x:v>92</x:v>
      </x:c>
      <x:c r="M96" s="9" t="n">
        <x:f>IF(L96&lt;=60,5,IF(L96&lt;=120,4,IF(L96&lt;=180,3,IF(L96&lt;=240,2,1))))</x:f>
        <x:v>4</x:v>
      </x:c>
      <x:c r="N96" s="9" t="n">
        <x:f>IF(I96&gt;=6,5,IF(I96&gt;=4,4,IF(I96=3,3,IF(I96=2,2,1))))</x:f>
        <x:v>2</x:v>
      </x:c>
      <x:c r="O96" s="9" t="n">
        <x:f>IF(J96&gt;=500000,5,IF(J96&gt;=300000,4,IF(J96&gt;=175000,3,IF(J96&gt;=75000,2,1))))</x:f>
        <x:v>4</x:v>
      </x:c>
      <x:c r="P96" s="7" t="str">
        <x:f>M96&amp;N96&amp;O96</x:f>
        <x:v>424</x:v>
      </x:c>
      <x:c r="Q96" s="7" t="str">
        <x:f>IF(AND(L96&lt;=60,I96&gt;=5,J96&gt;=300000),"Champions",IF(AND(L96&lt;=120,I96&gt;=3),"Loyal Growth",IF(AND(L96&gt;180,J96&gt;=300000),"High Value At Risk",IF(DATE(2026,6,30)-G96&lt;=90,"New Accounts",IF(AND(L96&lt;=120,I96=1),"Promising",IF(L96&lt;=240,"Needs Nurture","Dormant"))))))</x:f>
        <x:v>Needs Nurture</x:v>
      </x:c>
      <x:c r="R96" s="7" t="str">
        <x:f>IF(DATE(2026,6,30)-G96&lt;=90,"New",IF(AND(L96&lt;=120,I96&gt;=2),"Active",IF(I96=1,"One-time",IF(L96&lt;=240,"At Risk","Lapsed"))))</x:f>
        <x:v>Active</x:v>
      </x:c>
      <x:c r="S96" s="15" t="str">
        <x:f>IF(Q96="Champions","Invite to advisory program and cross-sell service plans",IF(Q96="Loyal Growth","Prioritize expansion offer and product education",IF(Q96="High Value At Risk","Assign sales recovery outreach within 14 days",IF(Q96="New Accounts","Launch 90-day onboarding and adoption sequence",IF(Q96="Promising","Nurture second purchase with use-case content",IF(Q96="Needs Nurture","Run product-fit review and re-engagement sequence","Move to low-frequency win-back program"))))))</x:f>
        <x:v>Run product-fit review and re-engagement sequence</x:v>
      </x:c>
      <x:c r="T96" s="1"/>
      <x:c r="U96" s="1"/>
      <x:c r="V96" s="1"/>
      <x:c r="W96" s="1"/>
      <x:c r="X96" s="1"/>
      <x:c r="Y96" s="1"/>
      <x:c r="Z96" s="1"/>
    </x:row>
    <x:row r="97">
      <x:c r="A97" s="7" t="str">
        <x:v>ACC-0096</x:v>
      </x:c>
      <x:c r="B97" s="7" t="str">
        <x:v>Pioneer Labs 096</x:v>
      </x:c>
      <x:c r="C97" s="7" t="str">
        <x:v>Northeast</x:v>
      </x:c>
      <x:c r="D97" s="7" t="str">
        <x:v>Industrial Products</x:v>
      </x:c>
      <x:c r="E97" s="7" t="str">
        <x:v>Small</x:v>
      </x:c>
      <x:c r="F97" s="7" t="str">
        <x:v>LinkedIn</x:v>
      </x:c>
      <x:c r="G97" s="8" t="n">
        <x:v>45294</x:v>
      </x:c>
      <x:c r="H97" s="8" t="n">
        <x:v>45294</x:v>
      </x:c>
      <x:c r="I97" s="9" t="n">
        <x:v>1</x:v>
      </x:c>
      <x:c r="J97" s="10" t="n">
        <x:v>115600</x:v>
      </x:c>
      <x:c r="K97" s="10" t="n">
        <x:f>J97/I97</x:f>
        <x:v>115600</x:v>
      </x:c>
      <x:c r="L97" s="9" t="n">
        <x:f>DATE(2026,6,30)-H97</x:f>
        <x:v>909</x:v>
      </x:c>
      <x:c r="M97" s="9" t="n">
        <x:f>IF(L97&lt;=60,5,IF(L97&lt;=120,4,IF(L97&lt;=180,3,IF(L97&lt;=240,2,1))))</x:f>
        <x:v>1</x:v>
      </x:c>
      <x:c r="N97" s="9" t="n">
        <x:f>IF(I97&gt;=6,5,IF(I97&gt;=4,4,IF(I97=3,3,IF(I97=2,2,1))))</x:f>
        <x:v>1</x:v>
      </x:c>
      <x:c r="O97" s="9" t="n">
        <x:f>IF(J97&gt;=500000,5,IF(J97&gt;=300000,4,IF(J97&gt;=175000,3,IF(J97&gt;=75000,2,1))))</x:f>
        <x:v>2</x:v>
      </x:c>
      <x:c r="P97" s="7" t="str">
        <x:f>M97&amp;N97&amp;O97</x:f>
        <x:v>112</x:v>
      </x:c>
      <x:c r="Q97" s="7" t="str">
        <x:f>IF(AND(L97&lt;=60,I97&gt;=5,J97&gt;=300000),"Champions",IF(AND(L97&lt;=120,I97&gt;=3),"Loyal Growth",IF(AND(L97&gt;180,J97&gt;=300000),"High Value At Risk",IF(DATE(2026,6,30)-G97&lt;=90,"New Accounts",IF(AND(L97&lt;=120,I97=1),"Promising",IF(L97&lt;=240,"Needs Nurture","Dormant"))))))</x:f>
        <x:v>Dormant</x:v>
      </x:c>
      <x:c r="R97" s="7" t="str">
        <x:f>IF(DATE(2026,6,30)-G97&lt;=90,"New",IF(AND(L97&lt;=120,I97&gt;=2),"Active",IF(I97=1,"One-time",IF(L97&lt;=240,"At Risk","Lapsed"))))</x:f>
        <x:v>One-time</x:v>
      </x:c>
      <x:c r="S97" s="15" t="str">
        <x:f>IF(Q97="Champions","Invite to advisory program and cross-sell service plans",IF(Q97="Loyal Growth","Prioritize expansion offer and product education",IF(Q97="High Value At Risk","Assign sales recovery outreach within 14 days",IF(Q97="New Accounts","Launch 90-day onboarding and adoption sequence",IF(Q97="Promising","Nurture second purchase with use-case content",IF(Q97="Needs Nurture","Run product-fit review and re-engagement sequence","Move to low-frequency win-back program"))))))</x:f>
        <x:v>Move to low-frequency win-back program</x:v>
      </x:c>
      <x:c r="T97" s="1"/>
      <x:c r="U97" s="1"/>
      <x:c r="V97" s="1"/>
      <x:c r="W97" s="1"/>
      <x:c r="X97" s="1"/>
      <x:c r="Y97" s="1"/>
      <x:c r="Z97" s="1"/>
    </x:row>
    <x:row r="98">
      <x:c r="A98" s="7" t="str">
        <x:v>ACC-0097</x:v>
      </x:c>
      <x:c r="B98" s="7" t="str">
        <x:v>Keystone Industries 097</x:v>
      </x:c>
      <x:c r="C98" s="7" t="str">
        <x:v>Northeast</x:v>
      </x:c>
      <x:c r="D98" s="7" t="str">
        <x:v>Food &amp; Beverage</x:v>
      </x:c>
      <x:c r="E98" s="7" t="str">
        <x:v>Small</x:v>
      </x:c>
      <x:c r="F98" s="7" t="str">
        <x:v>Trade Show</x:v>
      </x:c>
      <x:c r="G98" s="8" t="n">
        <x:v>45698</x:v>
      </x:c>
      <x:c r="H98" s="8" t="n">
        <x:v>46203</x:v>
      </x:c>
      <x:c r="I98" s="9" t="n">
        <x:v>2</x:v>
      </x:c>
      <x:c r="J98" s="10" t="n">
        <x:v>213400</x:v>
      </x:c>
      <x:c r="K98" s="10" t="n">
        <x:f>J98/I98</x:f>
        <x:v>106700</x:v>
      </x:c>
      <x:c r="L98" s="9" t="n">
        <x:f>DATE(2026,6,30)-H98</x:f>
        <x:v>0</x:v>
      </x:c>
      <x:c r="M98" s="9" t="n">
        <x:f>IF(L98&lt;=60,5,IF(L98&lt;=120,4,IF(L98&lt;=180,3,IF(L98&lt;=240,2,1))))</x:f>
        <x:v>5</x:v>
      </x:c>
      <x:c r="N98" s="9" t="n">
        <x:f>IF(I98&gt;=6,5,IF(I98&gt;=4,4,IF(I98=3,3,IF(I98=2,2,1))))</x:f>
        <x:v>2</x:v>
      </x:c>
      <x:c r="O98" s="9" t="n">
        <x:f>IF(J98&gt;=500000,5,IF(J98&gt;=300000,4,IF(J98&gt;=175000,3,IF(J98&gt;=75000,2,1))))</x:f>
        <x:v>3</x:v>
      </x:c>
      <x:c r="P98" s="7" t="str">
        <x:f>M98&amp;N98&amp;O98</x:f>
        <x:v>523</x:v>
      </x:c>
      <x:c r="Q98" s="7" t="str">
        <x:f>IF(AND(L98&lt;=60,I98&gt;=5,J98&gt;=300000),"Champions",IF(AND(L98&lt;=120,I98&gt;=3),"Loyal Growth",IF(AND(L98&gt;180,J98&gt;=300000),"High Value At Risk",IF(DATE(2026,6,30)-G98&lt;=90,"New Accounts",IF(AND(L98&lt;=120,I98=1),"Promising",IF(L98&lt;=240,"Needs Nurture","Dormant"))))))</x:f>
        <x:v>Needs Nurture</x:v>
      </x:c>
      <x:c r="R98" s="7" t="str">
        <x:f>IF(DATE(2026,6,30)-G98&lt;=90,"New",IF(AND(L98&lt;=120,I98&gt;=2),"Active",IF(I98=1,"One-time",IF(L98&lt;=240,"At Risk","Lapsed"))))</x:f>
        <x:v>Active</x:v>
      </x:c>
      <x:c r="S98" s="15" t="str">
        <x:f>IF(Q98="Champions","Invite to advisory program and cross-sell service plans",IF(Q98="Loyal Growth","Prioritize expansion offer and product education",IF(Q98="High Value At Risk","Assign sales recovery outreach within 14 days",IF(Q98="New Accounts","Launch 90-day onboarding and adoption sequence",IF(Q98="Promising","Nurture second purchase with use-case content",IF(Q98="Needs Nurture","Run product-fit review and re-engagement sequence","Move to low-frequency win-back program"))))))</x:f>
        <x:v>Run product-fit review and re-engagement sequence</x:v>
      </x:c>
      <x:c r="T98" s="1"/>
      <x:c r="U98" s="1"/>
      <x:c r="V98" s="1"/>
      <x:c r="W98" s="1"/>
      <x:c r="X98" s="1"/>
      <x:c r="Y98" s="1"/>
      <x:c r="Z98" s="1"/>
    </x:row>
    <x:row r="99">
      <x:c r="A99" s="7" t="str">
        <x:v>ACC-0098</x:v>
      </x:c>
      <x:c r="B99" s="7" t="str">
        <x:v>BlueRiver Solutions 098</x:v>
      </x:c>
      <x:c r="C99" s="7" t="str">
        <x:v>South</x:v>
      </x:c>
      <x:c r="D99" s="7" t="str">
        <x:v>Consumer Goods</x:v>
      </x:c>
      <x:c r="E99" s="7" t="str">
        <x:v>Enterprise</x:v>
      </x:c>
      <x:c r="F99" s="7" t="str">
        <x:v>Google Search</x:v>
      </x:c>
      <x:c r="G99" s="8" t="n">
        <x:v>45380</x:v>
      </x:c>
      <x:c r="H99" s="8" t="n">
        <x:v>46072</x:v>
      </x:c>
      <x:c r="I99" s="9" t="n">
        <x:v>7</x:v>
      </x:c>
      <x:c r="J99" s="10" t="n">
        <x:v>851400</x:v>
      </x:c>
      <x:c r="K99" s="10" t="n">
        <x:f>J99/I99</x:f>
        <x:v>121628.57142857143</x:v>
      </x:c>
      <x:c r="L99" s="9" t="n">
        <x:f>DATE(2026,6,30)-H99</x:f>
        <x:v>131</x:v>
      </x:c>
      <x:c r="M99" s="9" t="n">
        <x:f>IF(L99&lt;=60,5,IF(L99&lt;=120,4,IF(L99&lt;=180,3,IF(L99&lt;=240,2,1))))</x:f>
        <x:v>3</x:v>
      </x:c>
      <x:c r="N99" s="9" t="n">
        <x:f>IF(I99&gt;=6,5,IF(I99&gt;=4,4,IF(I99=3,3,IF(I99=2,2,1))))</x:f>
        <x:v>5</x:v>
      </x:c>
      <x:c r="O99" s="9" t="n">
        <x:f>IF(J99&gt;=500000,5,IF(J99&gt;=300000,4,IF(J99&gt;=175000,3,IF(J99&gt;=75000,2,1))))</x:f>
        <x:v>5</x:v>
      </x:c>
      <x:c r="P99" s="7" t="str">
        <x:f>M99&amp;N99&amp;O99</x:f>
        <x:v>355</x:v>
      </x:c>
      <x:c r="Q99" s="7" t="str">
        <x:f>IF(AND(L99&lt;=60,I99&gt;=5,J99&gt;=300000),"Champions",IF(AND(L99&lt;=120,I99&gt;=3),"Loyal Growth",IF(AND(L99&gt;180,J99&gt;=300000),"High Value At Risk",IF(DATE(2026,6,30)-G99&lt;=90,"New Accounts",IF(AND(L99&lt;=120,I99=1),"Promising",IF(L99&lt;=240,"Needs Nurture","Dormant"))))))</x:f>
        <x:v>Needs Nurture</x:v>
      </x:c>
      <x:c r="R99" s="7" t="str">
        <x:f>IF(DATE(2026,6,30)-G99&lt;=90,"New",IF(AND(L99&lt;=120,I99&gt;=2),"Active",IF(I99=1,"One-time",IF(L99&lt;=240,"At Risk","Lapsed"))))</x:f>
        <x:v>At Risk</x:v>
      </x:c>
      <x:c r="S99" s="15" t="str">
        <x:f>IF(Q99="Champions","Invite to advisory program and cross-sell service plans",IF(Q99="Loyal Growth","Prioritize expansion offer and product education",IF(Q99="High Value At Risk","Assign sales recovery outreach within 14 days",IF(Q99="New Accounts","Launch 90-day onboarding and adoption sequence",IF(Q99="Promising","Nurture second purchase with use-case content",IF(Q99="Needs Nurture","Run product-fit review and re-engagement sequence","Move to low-frequency win-back program"))))))</x:f>
        <x:v>Run product-fit review and re-engagement sequence</x:v>
      </x:c>
      <x:c r="T99" s="1"/>
      <x:c r="U99" s="1"/>
      <x:c r="V99" s="1"/>
      <x:c r="W99" s="1"/>
      <x:c r="X99" s="1"/>
      <x:c r="Y99" s="1"/>
      <x:c r="Z99" s="1"/>
    </x:row>
    <x:row r="100">
      <x:c r="A100" s="7" t="str">
        <x:v>ACC-0099</x:v>
      </x:c>
      <x:c r="B100" s="7" t="str">
        <x:v>Apex Products 099</x:v>
      </x:c>
      <x:c r="C100" s="7" t="str">
        <x:v>Northeast</x:v>
      </x:c>
      <x:c r="D100" s="7" t="str">
        <x:v>Pharmaceuticals</x:v>
      </x:c>
      <x:c r="E100" s="7" t="str">
        <x:v>Mid-market</x:v>
      </x:c>
      <x:c r="F100" s="7" t="str">
        <x:v>LinkedIn</x:v>
      </x:c>
      <x:c r="G100" s="8" t="n">
        <x:v>45706</x:v>
      </x:c>
      <x:c r="H100" s="8" t="n">
        <x:v>46104</x:v>
      </x:c>
      <x:c r="I100" s="9" t="n">
        <x:v>6</x:v>
      </x:c>
      <x:c r="J100" s="10" t="n">
        <x:v>462700</x:v>
      </x:c>
      <x:c r="K100" s="10" t="n">
        <x:f>J100/I100</x:f>
        <x:v>77116.66666666667</x:v>
      </x:c>
      <x:c r="L100" s="9" t="n">
        <x:f>DATE(2026,6,30)-H100</x:f>
        <x:v>99</x:v>
      </x:c>
      <x:c r="M100" s="9" t="n">
        <x:f>IF(L100&lt;=60,5,IF(L100&lt;=120,4,IF(L100&lt;=180,3,IF(L100&lt;=240,2,1))))</x:f>
        <x:v>4</x:v>
      </x:c>
      <x:c r="N100" s="9" t="n">
        <x:f>IF(I100&gt;=6,5,IF(I100&gt;=4,4,IF(I100=3,3,IF(I100=2,2,1))))</x:f>
        <x:v>5</x:v>
      </x:c>
      <x:c r="O100" s="9" t="n">
        <x:f>IF(J100&gt;=500000,5,IF(J100&gt;=300000,4,IF(J100&gt;=175000,3,IF(J100&gt;=75000,2,1))))</x:f>
        <x:v>4</x:v>
      </x:c>
      <x:c r="P100" s="7" t="str">
        <x:f>M100&amp;N100&amp;O100</x:f>
        <x:v>454</x:v>
      </x:c>
      <x:c r="Q100" s="7" t="str">
        <x:f>IF(AND(L100&lt;=60,I100&gt;=5,J100&gt;=300000),"Champions",IF(AND(L100&lt;=120,I100&gt;=3),"Loyal Growth",IF(AND(L100&gt;180,J100&gt;=300000),"High Value At Risk",IF(DATE(2026,6,30)-G100&lt;=90,"New Accounts",IF(AND(L100&lt;=120,I100=1),"Promising",IF(L100&lt;=240,"Needs Nurture","Dormant"))))))</x:f>
        <x:v>Loyal Growth</x:v>
      </x:c>
      <x:c r="R100" s="7" t="str">
        <x:f>IF(DATE(2026,6,30)-G100&lt;=90,"New",IF(AND(L100&lt;=120,I100&gt;=2),"Active",IF(I100=1,"One-time",IF(L100&lt;=240,"At Risk","Lapsed"))))</x:f>
        <x:v>Active</x:v>
      </x:c>
      <x:c r="S100" s="15" t="str">
        <x:f>IF(Q100="Champions","Invite to advisory program and cross-sell service plans",IF(Q100="Loyal Growth","Prioritize expansion offer and product education",IF(Q100="High Value At Risk","Assign sales recovery outreach within 14 days",IF(Q100="New Accounts","Launch 90-day onboarding and adoption sequence",IF(Q100="Promising","Nurture second purchase with use-case content",IF(Q100="Needs Nurture","Run product-fit review and re-engagement sequence","Move to low-frequency win-back program"))))))</x:f>
        <x:v>Prioritize expansion offer and product education</x:v>
      </x:c>
      <x:c r="T100" s="1"/>
      <x:c r="U100" s="1"/>
      <x:c r="V100" s="1"/>
      <x:c r="W100" s="1"/>
      <x:c r="X100" s="1"/>
      <x:c r="Y100" s="1"/>
      <x:c r="Z100" s="1"/>
    </x:row>
    <x:row r="101">
      <x:c r="A101" s="7" t="str">
        <x:v>ACC-0100</x:v>
      </x:c>
      <x:c r="B101" s="7" t="str">
        <x:v>Northstar Foods 100</x:v>
      </x:c>
      <x:c r="C101" s="7" t="str">
        <x:v>South</x:v>
      </x:c>
      <x:c r="D101" s="7" t="str">
        <x:v>Consumer Goods</x:v>
      </x:c>
      <x:c r="E101" s="7" t="str">
        <x:v>Small</x:v>
      </x:c>
      <x:c r="F101" s="7" t="str">
        <x:v>Email</x:v>
      </x:c>
      <x:c r="G101" s="8" t="n">
        <x:v>45703</x:v>
      </x:c>
      <x:c r="H101" s="8" t="n">
        <x:v>46180</x:v>
      </x:c>
      <x:c r="I101" s="9" t="n">
        <x:v>3</x:v>
      </x:c>
      <x:c r="J101" s="10" t="n">
        <x:v>137400</x:v>
      </x:c>
      <x:c r="K101" s="10" t="n">
        <x:f>J101/I101</x:f>
        <x:v>45800</x:v>
      </x:c>
      <x:c r="L101" s="9" t="n">
        <x:f>DATE(2026,6,30)-H101</x:f>
        <x:v>23</x:v>
      </x:c>
      <x:c r="M101" s="9" t="n">
        <x:f>IF(L101&lt;=60,5,IF(L101&lt;=120,4,IF(L101&lt;=180,3,IF(L101&lt;=240,2,1))))</x:f>
        <x:v>5</x:v>
      </x:c>
      <x:c r="N101" s="9" t="n">
        <x:f>IF(I101&gt;=6,5,IF(I101&gt;=4,4,IF(I101=3,3,IF(I101=2,2,1))))</x:f>
        <x:v>3</x:v>
      </x:c>
      <x:c r="O101" s="9" t="n">
        <x:f>IF(J101&gt;=500000,5,IF(J101&gt;=300000,4,IF(J101&gt;=175000,3,IF(J101&gt;=75000,2,1))))</x:f>
        <x:v>2</x:v>
      </x:c>
      <x:c r="P101" s="7" t="str">
        <x:f>M101&amp;N101&amp;O101</x:f>
        <x:v>532</x:v>
      </x:c>
      <x:c r="Q101" s="7" t="str">
        <x:f>IF(AND(L101&lt;=60,I101&gt;=5,J101&gt;=300000),"Champions",IF(AND(L101&lt;=120,I101&gt;=3),"Loyal Growth",IF(AND(L101&gt;180,J101&gt;=300000),"High Value At Risk",IF(DATE(2026,6,30)-G101&lt;=90,"New Accounts",IF(AND(L101&lt;=120,I101=1),"Promising",IF(L101&lt;=240,"Needs Nurture","Dormant"))))))</x:f>
        <x:v>Loyal Growth</x:v>
      </x:c>
      <x:c r="R101" s="7" t="str">
        <x:f>IF(DATE(2026,6,30)-G101&lt;=90,"New",IF(AND(L101&lt;=120,I101&gt;=2),"Active",IF(I101=1,"One-time",IF(L101&lt;=240,"At Risk","Lapsed"))))</x:f>
        <x:v>Active</x:v>
      </x:c>
      <x:c r="S101" s="15" t="str">
        <x:f>IF(Q101="Champions","Invite to advisory program and cross-sell service plans",IF(Q101="Loyal Growth","Prioritize expansion offer and product education",IF(Q101="High Value At Risk","Assign sales recovery outreach within 14 days",IF(Q101="New Accounts","Launch 90-day onboarding and adoption sequence",IF(Q101="Promising","Nurture second purchase with use-case content",IF(Q101="Needs Nurture","Run product-fit review and re-engagement sequence","Move to low-frequency win-back program"))))))</x:f>
        <x:v>Prioritize expansion offer and product education</x:v>
      </x:c>
      <x:c r="T101" s="1"/>
      <x:c r="U101" s="1"/>
      <x:c r="V101" s="1"/>
      <x:c r="W101" s="1"/>
      <x:c r="X101" s="1"/>
      <x:c r="Y101" s="1"/>
      <x:c r="Z101" s="1"/>
    </x:row>
    <x:row r="102">
      <x:c r="A102" s="7" t="str">
        <x:v>ACC-0101</x:v>
      </x:c>
      <x:c r="B102" s="7" t="str">
        <x:v>Frontier Industries 101</x:v>
      </x:c>
      <x:c r="C102" s="7" t="str">
        <x:v>Midwest</x:v>
      </x:c>
      <x:c r="D102" s="7" t="str">
        <x:v>Industrial Products</x:v>
      </x:c>
      <x:c r="E102" s="7" t="str">
        <x:v>Mid-market</x:v>
      </x:c>
      <x:c r="F102" s="7" t="str">
        <x:v>Email</x:v>
      </x:c>
      <x:c r="G102" s="8" t="n">
        <x:v>45977</x:v>
      </x:c>
      <x:c r="H102" s="8" t="n">
        <x:v>46038</x:v>
      </x:c>
      <x:c r="I102" s="9" t="n">
        <x:v>3</x:v>
      </x:c>
      <x:c r="J102" s="10" t="n">
        <x:v>226500</x:v>
      </x:c>
      <x:c r="K102" s="10" t="n">
        <x:f>J102/I102</x:f>
        <x:v>75500</x:v>
      </x:c>
      <x:c r="L102" s="9" t="n">
        <x:f>DATE(2026,6,30)-H102</x:f>
        <x:v>165</x:v>
      </x:c>
      <x:c r="M102" s="9" t="n">
        <x:f>IF(L102&lt;=60,5,IF(L102&lt;=120,4,IF(L102&lt;=180,3,IF(L102&lt;=240,2,1))))</x:f>
        <x:v>3</x:v>
      </x:c>
      <x:c r="N102" s="9" t="n">
        <x:f>IF(I102&gt;=6,5,IF(I102&gt;=4,4,IF(I102=3,3,IF(I102=2,2,1))))</x:f>
        <x:v>3</x:v>
      </x:c>
      <x:c r="O102" s="9" t="n">
        <x:f>IF(J102&gt;=500000,5,IF(J102&gt;=300000,4,IF(J102&gt;=175000,3,IF(J102&gt;=75000,2,1))))</x:f>
        <x:v>3</x:v>
      </x:c>
      <x:c r="P102" s="7" t="str">
        <x:f>M102&amp;N102&amp;O102</x:f>
        <x:v>333</x:v>
      </x:c>
      <x:c r="Q102" s="7" t="str">
        <x:f>IF(AND(L102&lt;=60,I102&gt;=5,J102&gt;=300000),"Champions",IF(AND(L102&lt;=120,I102&gt;=3),"Loyal Growth",IF(AND(L102&gt;180,J102&gt;=300000),"High Value At Risk",IF(DATE(2026,6,30)-G102&lt;=90,"New Accounts",IF(AND(L102&lt;=120,I102=1),"Promising",IF(L102&lt;=240,"Needs Nurture","Dormant"))))))</x:f>
        <x:v>Needs Nurture</x:v>
      </x:c>
      <x:c r="R102" s="7" t="str">
        <x:f>IF(DATE(2026,6,30)-G102&lt;=90,"New",IF(AND(L102&lt;=120,I102&gt;=2),"Active",IF(I102=1,"One-time",IF(L102&lt;=240,"At Risk","Lapsed"))))</x:f>
        <x:v>At Risk</x:v>
      </x:c>
      <x:c r="S102" s="15" t="str">
        <x:f>IF(Q102="Champions","Invite to advisory program and cross-sell service plans",IF(Q102="Loyal Growth","Prioritize expansion offer and product education",IF(Q102="High Value At Risk","Assign sales recovery outreach within 14 days",IF(Q102="New Accounts","Launch 90-day onboarding and adoption sequence",IF(Q102="Promising","Nurture second purchase with use-case content",IF(Q102="Needs Nurture","Run product-fit review and re-engagement sequence","Move to low-frequency win-back program"))))))</x:f>
        <x:v>Run product-fit review and re-engagement sequence</x:v>
      </x:c>
      <x:c r="T102" s="1"/>
      <x:c r="U102" s="1"/>
      <x:c r="V102" s="1"/>
      <x:c r="W102" s="1"/>
      <x:c r="X102" s="1"/>
      <x:c r="Y102" s="1"/>
      <x:c r="Z102" s="1"/>
    </x:row>
    <x:row r="103">
      <x:c r="A103" s="7" t="str">
        <x:v>ACC-0102</x:v>
      </x:c>
      <x:c r="B103" s="7" t="str">
        <x:v>Apex Solutions 102</x:v>
      </x:c>
      <x:c r="C103" s="7" t="str">
        <x:v>South</x:v>
      </x:c>
      <x:c r="D103" s="7" t="str">
        <x:v>Contract Packaging</x:v>
      </x:c>
      <x:c r="E103" s="7" t="str">
        <x:v>Mid-market</x:v>
      </x:c>
      <x:c r="F103" s="7" t="str">
        <x:v>Trade Show</x:v>
      </x:c>
      <x:c r="G103" s="8" t="n">
        <x:v>45510</x:v>
      </x:c>
      <x:c r="H103" s="8" t="n">
        <x:v>45929</x:v>
      </x:c>
      <x:c r="I103" s="9" t="n">
        <x:v>3</x:v>
      </x:c>
      <x:c r="J103" s="10" t="n">
        <x:v>409000</x:v>
      </x:c>
      <x:c r="K103" s="10" t="n">
        <x:f>J103/I103</x:f>
        <x:v>136333.33333333334</x:v>
      </x:c>
      <x:c r="L103" s="9" t="n">
        <x:f>DATE(2026,6,30)-H103</x:f>
        <x:v>274</x:v>
      </x:c>
      <x:c r="M103" s="9" t="n">
        <x:f>IF(L103&lt;=60,5,IF(L103&lt;=120,4,IF(L103&lt;=180,3,IF(L103&lt;=240,2,1))))</x:f>
        <x:v>1</x:v>
      </x:c>
      <x:c r="N103" s="9" t="n">
        <x:f>IF(I103&gt;=6,5,IF(I103&gt;=4,4,IF(I103=3,3,IF(I103=2,2,1))))</x:f>
        <x:v>3</x:v>
      </x:c>
      <x:c r="O103" s="9" t="n">
        <x:f>IF(J103&gt;=500000,5,IF(J103&gt;=300000,4,IF(J103&gt;=175000,3,IF(J103&gt;=75000,2,1))))</x:f>
        <x:v>4</x:v>
      </x:c>
      <x:c r="P103" s="7" t="str">
        <x:f>M103&amp;N103&amp;O103</x:f>
        <x:v>134</x:v>
      </x:c>
      <x:c r="Q103" s="7" t="str">
        <x:f>IF(AND(L103&lt;=60,I103&gt;=5,J103&gt;=300000),"Champions",IF(AND(L103&lt;=120,I103&gt;=3),"Loyal Growth",IF(AND(L103&gt;180,J103&gt;=300000),"High Value At Risk",IF(DATE(2026,6,30)-G103&lt;=90,"New Accounts",IF(AND(L103&lt;=120,I103=1),"Promising",IF(L103&lt;=240,"Needs Nurture","Dormant"))))))</x:f>
        <x:v>High Value At Risk</x:v>
      </x:c>
      <x:c r="R103" s="7" t="str">
        <x:f>IF(DATE(2026,6,30)-G103&lt;=90,"New",IF(AND(L103&lt;=120,I103&gt;=2),"Active",IF(I103=1,"One-time",IF(L103&lt;=240,"At Risk","Lapsed"))))</x:f>
        <x:v>Lapsed</x:v>
      </x:c>
      <x:c r="S103" s="15" t="str">
        <x:f>IF(Q103="Champions","Invite to advisory program and cross-sell service plans",IF(Q103="Loyal Growth","Prioritize expansion offer and product education",IF(Q103="High Value At Risk","Assign sales recovery outreach within 14 days",IF(Q103="New Accounts","Launch 90-day onboarding and adoption sequence",IF(Q103="Promising","Nurture second purchase with use-case content",IF(Q103="Needs Nurture","Run product-fit review and re-engagement sequence","Move to low-frequency win-back program"))))))</x:f>
        <x:v>Assign sales recovery outreach within 14 days</x:v>
      </x:c>
      <x:c r="T103" s="1"/>
      <x:c r="U103" s="1"/>
      <x:c r="V103" s="1"/>
      <x:c r="W103" s="1"/>
      <x:c r="X103" s="1"/>
      <x:c r="Y103" s="1"/>
      <x:c r="Z103" s="1"/>
    </x:row>
    <x:row r="104">
      <x:c r="A104" s="7" t="str">
        <x:v>ACC-0103</x:v>
      </x:c>
      <x:c r="B104" s="7" t="str">
        <x:v>BlueRiver Solutions 103</x:v>
      </x:c>
      <x:c r="C104" s="7" t="str">
        <x:v>West</x:v>
      </x:c>
      <x:c r="D104" s="7" t="str">
        <x:v>Industrial Products</x:v>
      </x:c>
      <x:c r="E104" s="7" t="str">
        <x:v>Small</x:v>
      </x:c>
      <x:c r="F104" s="7" t="str">
        <x:v>LinkedIn</x:v>
      </x:c>
      <x:c r="G104" s="8" t="n">
        <x:v>45789</x:v>
      </x:c>
      <x:c r="H104" s="8" t="n">
        <x:v>46110</x:v>
      </x:c>
      <x:c r="I104" s="9" t="n">
        <x:v>3</x:v>
      </x:c>
      <x:c r="J104" s="10" t="n">
        <x:v>273100</x:v>
      </x:c>
      <x:c r="K104" s="10" t="n">
        <x:f>J104/I104</x:f>
        <x:v>91033.33333333333</x:v>
      </x:c>
      <x:c r="L104" s="9" t="n">
        <x:f>DATE(2026,6,30)-H104</x:f>
        <x:v>93</x:v>
      </x:c>
      <x:c r="M104" s="9" t="n">
        <x:f>IF(L104&lt;=60,5,IF(L104&lt;=120,4,IF(L104&lt;=180,3,IF(L104&lt;=240,2,1))))</x:f>
        <x:v>4</x:v>
      </x:c>
      <x:c r="N104" s="9" t="n">
        <x:f>IF(I104&gt;=6,5,IF(I104&gt;=4,4,IF(I104=3,3,IF(I104=2,2,1))))</x:f>
        <x:v>3</x:v>
      </x:c>
      <x:c r="O104" s="9" t="n">
        <x:f>IF(J104&gt;=500000,5,IF(J104&gt;=300000,4,IF(J104&gt;=175000,3,IF(J104&gt;=75000,2,1))))</x:f>
        <x:v>3</x:v>
      </x:c>
      <x:c r="P104" s="7" t="str">
        <x:f>M104&amp;N104&amp;O104</x:f>
        <x:v>433</x:v>
      </x:c>
      <x:c r="Q104" s="7" t="str">
        <x:f>IF(AND(L104&lt;=60,I104&gt;=5,J104&gt;=300000),"Champions",IF(AND(L104&lt;=120,I104&gt;=3),"Loyal Growth",IF(AND(L104&gt;180,J104&gt;=300000),"High Value At Risk",IF(DATE(2026,6,30)-G104&lt;=90,"New Accounts",IF(AND(L104&lt;=120,I104=1),"Promising",IF(L104&lt;=240,"Needs Nurture","Dormant"))))))</x:f>
        <x:v>Loyal Growth</x:v>
      </x:c>
      <x:c r="R104" s="7" t="str">
        <x:f>IF(DATE(2026,6,30)-G104&lt;=90,"New",IF(AND(L104&lt;=120,I104&gt;=2),"Active",IF(I104=1,"One-time",IF(L104&lt;=240,"At Risk","Lapsed"))))</x:f>
        <x:v>Active</x:v>
      </x:c>
      <x:c r="S104" s="15" t="str">
        <x:f>IF(Q104="Champions","Invite to advisory program and cross-sell service plans",IF(Q104="Loyal Growth","Prioritize expansion offer and product education",IF(Q104="High Value At Risk","Assign sales recovery outreach within 14 days",IF(Q104="New Accounts","Launch 90-day onboarding and adoption sequence",IF(Q104="Promising","Nurture second purchase with use-case content",IF(Q104="Needs Nurture","Run product-fit review and re-engagement sequence","Move to low-frequency win-back program"))))))</x:f>
        <x:v>Prioritize expansion offer and product education</x:v>
      </x:c>
      <x:c r="T104" s="1"/>
      <x:c r="U104" s="1"/>
      <x:c r="V104" s="1"/>
      <x:c r="W104" s="1"/>
      <x:c r="X104" s="1"/>
      <x:c r="Y104" s="1"/>
      <x:c r="Z104" s="1"/>
    </x:row>
    <x:row r="105">
      <x:c r="A105" s="7" t="str">
        <x:v>ACC-0104</x:v>
      </x:c>
      <x:c r="B105" s="7" t="str">
        <x:v>Frontier Products 104</x:v>
      </x:c>
      <x:c r="C105" s="7" t="str">
        <x:v>Northeast</x:v>
      </x:c>
      <x:c r="D105" s="7" t="str">
        <x:v>Industrial Products</x:v>
      </x:c>
      <x:c r="E105" s="7" t="str">
        <x:v>Enterprise</x:v>
      </x:c>
      <x:c r="F105" s="7" t="str">
        <x:v>Email</x:v>
      </x:c>
      <x:c r="G105" s="8" t="n">
        <x:v>46053</x:v>
      </x:c>
      <x:c r="H105" s="8" t="n">
        <x:v>46167</x:v>
      </x:c>
      <x:c r="I105" s="9" t="n">
        <x:v>3</x:v>
      </x:c>
      <x:c r="J105" s="10" t="n">
        <x:v>433500</x:v>
      </x:c>
      <x:c r="K105" s="10" t="n">
        <x:f>J105/I105</x:f>
        <x:v>144500</x:v>
      </x:c>
      <x:c r="L105" s="9" t="n">
        <x:f>DATE(2026,6,30)-H105</x:f>
        <x:v>36</x:v>
      </x:c>
      <x:c r="M105" s="9" t="n">
        <x:f>IF(L105&lt;=60,5,IF(L105&lt;=120,4,IF(L105&lt;=180,3,IF(L105&lt;=240,2,1))))</x:f>
        <x:v>5</x:v>
      </x:c>
      <x:c r="N105" s="9" t="n">
        <x:f>IF(I105&gt;=6,5,IF(I105&gt;=4,4,IF(I105=3,3,IF(I105=2,2,1))))</x:f>
        <x:v>3</x:v>
      </x:c>
      <x:c r="O105" s="9" t="n">
        <x:f>IF(J105&gt;=500000,5,IF(J105&gt;=300000,4,IF(J105&gt;=175000,3,IF(J105&gt;=75000,2,1))))</x:f>
        <x:v>4</x:v>
      </x:c>
      <x:c r="P105" s="7" t="str">
        <x:f>M105&amp;N105&amp;O105</x:f>
        <x:v>534</x:v>
      </x:c>
      <x:c r="Q105" s="7" t="str">
        <x:f>IF(AND(L105&lt;=60,I105&gt;=5,J105&gt;=300000),"Champions",IF(AND(L105&lt;=120,I105&gt;=3),"Loyal Growth",IF(AND(L105&gt;180,J105&gt;=300000),"High Value At Risk",IF(DATE(2026,6,30)-G105&lt;=90,"New Accounts",IF(AND(L105&lt;=120,I105=1),"Promising",IF(L105&lt;=240,"Needs Nurture","Dormant"))))))</x:f>
        <x:v>Loyal Growth</x:v>
      </x:c>
      <x:c r="R105" s="7" t="str">
        <x:f>IF(DATE(2026,6,30)-G105&lt;=90,"New",IF(AND(L105&lt;=120,I105&gt;=2),"Active",IF(I105=1,"One-time",IF(L105&lt;=240,"At Risk","Lapsed"))))</x:f>
        <x:v>Active</x:v>
      </x:c>
      <x:c r="S105" s="15" t="str">
        <x:f>IF(Q105="Champions","Invite to advisory program and cross-sell service plans",IF(Q105="Loyal Growth","Prioritize expansion offer and product education",IF(Q105="High Value At Risk","Assign sales recovery outreach within 14 days",IF(Q105="New Accounts","Launch 90-day onboarding and adoption sequence",IF(Q105="Promising","Nurture second purchase with use-case content",IF(Q105="Needs Nurture","Run product-fit review and re-engagement sequence","Move to low-frequency win-back program"))))))</x:f>
        <x:v>Prioritize expansion offer and product education</x:v>
      </x:c>
      <x:c r="T105" s="1"/>
      <x:c r="U105" s="1"/>
      <x:c r="V105" s="1"/>
      <x:c r="W105" s="1"/>
      <x:c r="X105" s="1"/>
      <x:c r="Y105" s="1"/>
      <x:c r="Z105" s="1"/>
    </x:row>
    <x:row r="106">
      <x:c r="A106" s="7" t="str">
        <x:v>ACC-0105</x:v>
      </x:c>
      <x:c r="B106" s="7" t="str">
        <x:v>Harbor Industries 105</x:v>
      </x:c>
      <x:c r="C106" s="7" t="str">
        <x:v>South</x:v>
      </x:c>
      <x:c r="D106" s="7" t="str">
        <x:v>Consumer Goods</x:v>
      </x:c>
      <x:c r="E106" s="7" t="str">
        <x:v>Mid-market</x:v>
      </x:c>
      <x:c r="F106" s="7" t="str">
        <x:v>Google Search</x:v>
      </x:c>
      <x:c r="G106" s="8" t="n">
        <x:v>46044</x:v>
      </x:c>
      <x:c r="H106" s="8" t="n">
        <x:v>46169</x:v>
      </x:c>
      <x:c r="I106" s="9" t="n">
        <x:v>2</x:v>
      </x:c>
      <x:c r="J106" s="10" t="n">
        <x:v>177200</x:v>
      </x:c>
      <x:c r="K106" s="10" t="n">
        <x:f>J106/I106</x:f>
        <x:v>88600</x:v>
      </x:c>
      <x:c r="L106" s="9" t="n">
        <x:f>DATE(2026,6,30)-H106</x:f>
        <x:v>34</x:v>
      </x:c>
      <x:c r="M106" s="9" t="n">
        <x:f>IF(L106&lt;=60,5,IF(L106&lt;=120,4,IF(L106&lt;=180,3,IF(L106&lt;=240,2,1))))</x:f>
        <x:v>5</x:v>
      </x:c>
      <x:c r="N106" s="9" t="n">
        <x:f>IF(I106&gt;=6,5,IF(I106&gt;=4,4,IF(I106=3,3,IF(I106=2,2,1))))</x:f>
        <x:v>2</x:v>
      </x:c>
      <x:c r="O106" s="9" t="n">
        <x:f>IF(J106&gt;=500000,5,IF(J106&gt;=300000,4,IF(J106&gt;=175000,3,IF(J106&gt;=75000,2,1))))</x:f>
        <x:v>3</x:v>
      </x:c>
      <x:c r="P106" s="7" t="str">
        <x:f>M106&amp;N106&amp;O106</x:f>
        <x:v>523</x:v>
      </x:c>
      <x:c r="Q106" s="7" t="str">
        <x:f>IF(AND(L106&lt;=60,I106&gt;=5,J106&gt;=300000),"Champions",IF(AND(L106&lt;=120,I106&gt;=3),"Loyal Growth",IF(AND(L106&gt;180,J106&gt;=300000),"High Value At Risk",IF(DATE(2026,6,30)-G106&lt;=90,"New Accounts",IF(AND(L106&lt;=120,I106=1),"Promising",IF(L106&lt;=240,"Needs Nurture","Dormant"))))))</x:f>
        <x:v>Needs Nurture</x:v>
      </x:c>
      <x:c r="R106" s="7" t="str">
        <x:f>IF(DATE(2026,6,30)-G106&lt;=90,"New",IF(AND(L106&lt;=120,I106&gt;=2),"Active",IF(I106=1,"One-time",IF(L106&lt;=240,"At Risk","Lapsed"))))</x:f>
        <x:v>Active</x:v>
      </x:c>
      <x:c r="S106" s="15" t="str">
        <x:f>IF(Q106="Champions","Invite to advisory program and cross-sell service plans",IF(Q106="Loyal Growth","Prioritize expansion offer and product education",IF(Q106="High Value At Risk","Assign sales recovery outreach within 14 days",IF(Q106="New Accounts","Launch 90-day onboarding and adoption sequence",IF(Q106="Promising","Nurture second purchase with use-case content",IF(Q106="Needs Nurture","Run product-fit review and re-engagement sequence","Move to low-frequency win-back program"))))))</x:f>
        <x:v>Run product-fit review and re-engagement sequence</x:v>
      </x:c>
      <x:c r="T106" s="1"/>
      <x:c r="U106" s="1"/>
      <x:c r="V106" s="1"/>
      <x:c r="W106" s="1"/>
      <x:c r="X106" s="1"/>
      <x:c r="Y106" s="1"/>
      <x:c r="Z106" s="1"/>
    </x:row>
    <x:row r="107">
      <x:c r="A107" s="7" t="str">
        <x:v>ACC-0106</x:v>
      </x:c>
      <x:c r="B107" s="7" t="str">
        <x:v>Vertex Manufacturing 106</x:v>
      </x:c>
      <x:c r="C107" s="7" t="str">
        <x:v>West</x:v>
      </x:c>
      <x:c r="D107" s="7" t="str">
        <x:v>Contract Packaging</x:v>
      </x:c>
      <x:c r="E107" s="7" t="str">
        <x:v>Small</x:v>
      </x:c>
      <x:c r="F107" s="7" t="str">
        <x:v>Email</x:v>
      </x:c>
      <x:c r="G107" s="8" t="n">
        <x:v>46074</x:v>
      </x:c>
      <x:c r="H107" s="8" t="n">
        <x:v>46147</x:v>
      </x:c>
      <x:c r="I107" s="9" t="n">
        <x:v>2</x:v>
      </x:c>
      <x:c r="J107" s="10" t="n">
        <x:v>30800</x:v>
      </x:c>
      <x:c r="K107" s="10" t="n">
        <x:f>J107/I107</x:f>
        <x:v>15400</x:v>
      </x:c>
      <x:c r="L107" s="9" t="n">
        <x:f>DATE(2026,6,30)-H107</x:f>
        <x:v>56</x:v>
      </x:c>
      <x:c r="M107" s="9" t="n">
        <x:f>IF(L107&lt;=60,5,IF(L107&lt;=120,4,IF(L107&lt;=180,3,IF(L107&lt;=240,2,1))))</x:f>
        <x:v>5</x:v>
      </x:c>
      <x:c r="N107" s="9" t="n">
        <x:f>IF(I107&gt;=6,5,IF(I107&gt;=4,4,IF(I107=3,3,IF(I107=2,2,1))))</x:f>
        <x:v>2</x:v>
      </x:c>
      <x:c r="O107" s="9" t="n">
        <x:f>IF(J107&gt;=500000,5,IF(J107&gt;=300000,4,IF(J107&gt;=175000,3,IF(J107&gt;=75000,2,1))))</x:f>
        <x:v>1</x:v>
      </x:c>
      <x:c r="P107" s="7" t="str">
        <x:f>M107&amp;N107&amp;O107</x:f>
        <x:v>521</x:v>
      </x:c>
      <x:c r="Q107" s="7" t="str">
        <x:f>IF(AND(L107&lt;=60,I107&gt;=5,J107&gt;=300000),"Champions",IF(AND(L107&lt;=120,I107&gt;=3),"Loyal Growth",IF(AND(L107&gt;180,J107&gt;=300000),"High Value At Risk",IF(DATE(2026,6,30)-G107&lt;=90,"New Accounts",IF(AND(L107&lt;=120,I107=1),"Promising",IF(L107&lt;=240,"Needs Nurture","Dormant"))))))</x:f>
        <x:v>Needs Nurture</x:v>
      </x:c>
      <x:c r="R107" s="7" t="str">
        <x:f>IF(DATE(2026,6,30)-G107&lt;=90,"New",IF(AND(L107&lt;=120,I107&gt;=2),"Active",IF(I107=1,"One-time",IF(L107&lt;=240,"At Risk","Lapsed"))))</x:f>
        <x:v>Active</x:v>
      </x:c>
      <x:c r="S107" s="15" t="str">
        <x:f>IF(Q107="Champions","Invite to advisory program and cross-sell service plans",IF(Q107="Loyal Growth","Prioritize expansion offer and product education",IF(Q107="High Value At Risk","Assign sales recovery outreach within 14 days",IF(Q107="New Accounts","Launch 90-day onboarding and adoption sequence",IF(Q107="Promising","Nurture second purchase with use-case content",IF(Q107="Needs Nurture","Run product-fit review and re-engagement sequence","Move to low-frequency win-back program"))))))</x:f>
        <x:v>Run product-fit review and re-engagement sequence</x:v>
      </x:c>
      <x:c r="T107" s="1"/>
      <x:c r="U107" s="1"/>
      <x:c r="V107" s="1"/>
      <x:c r="W107" s="1"/>
      <x:c r="X107" s="1"/>
      <x:c r="Y107" s="1"/>
      <x:c r="Z107" s="1"/>
    </x:row>
    <x:row r="108">
      <x:c r="A108" s="7" t="str">
        <x:v>ACC-0107</x:v>
      </x:c>
      <x:c r="B108" s="7" t="str">
        <x:v>Apex Foods 107</x:v>
      </x:c>
      <x:c r="C108" s="7" t="str">
        <x:v>Midwest</x:v>
      </x:c>
      <x:c r="D108" s="7" t="str">
        <x:v>Consumer Goods</x:v>
      </x:c>
      <x:c r="E108" s="7" t="str">
        <x:v>Mid-market</x:v>
      </x:c>
      <x:c r="F108" s="7" t="str">
        <x:v>Partner Referral</x:v>
      </x:c>
      <x:c r="G108" s="8" t="n">
        <x:v>45419</x:v>
      </x:c>
      <x:c r="H108" s="8" t="n">
        <x:v>46181</x:v>
      </x:c>
      <x:c r="I108" s="9" t="n">
        <x:v>6</x:v>
      </x:c>
      <x:c r="J108" s="10" t="n">
        <x:v>400700</x:v>
      </x:c>
      <x:c r="K108" s="10" t="n">
        <x:f>J108/I108</x:f>
        <x:v>66783.33333333333</x:v>
      </x:c>
      <x:c r="L108" s="9" t="n">
        <x:f>DATE(2026,6,30)-H108</x:f>
        <x:v>22</x:v>
      </x:c>
      <x:c r="M108" s="9" t="n">
        <x:f>IF(L108&lt;=60,5,IF(L108&lt;=120,4,IF(L108&lt;=180,3,IF(L108&lt;=240,2,1))))</x:f>
        <x:v>5</x:v>
      </x:c>
      <x:c r="N108" s="9" t="n">
        <x:f>IF(I108&gt;=6,5,IF(I108&gt;=4,4,IF(I108=3,3,IF(I108=2,2,1))))</x:f>
        <x:v>5</x:v>
      </x:c>
      <x:c r="O108" s="9" t="n">
        <x:f>IF(J108&gt;=500000,5,IF(J108&gt;=300000,4,IF(J108&gt;=175000,3,IF(J108&gt;=75000,2,1))))</x:f>
        <x:v>4</x:v>
      </x:c>
      <x:c r="P108" s="7" t="str">
        <x:f>M108&amp;N108&amp;O108</x:f>
        <x:v>554</x:v>
      </x:c>
      <x:c r="Q108" s="7" t="str">
        <x:f>IF(AND(L108&lt;=60,I108&gt;=5,J108&gt;=300000),"Champions",IF(AND(L108&lt;=120,I108&gt;=3),"Loyal Growth",IF(AND(L108&gt;180,J108&gt;=300000),"High Value At Risk",IF(DATE(2026,6,30)-G108&lt;=90,"New Accounts",IF(AND(L108&lt;=120,I108=1),"Promising",IF(L108&lt;=240,"Needs Nurture","Dormant"))))))</x:f>
        <x:v>Champions</x:v>
      </x:c>
      <x:c r="R108" s="7" t="str">
        <x:f>IF(DATE(2026,6,30)-G108&lt;=90,"New",IF(AND(L108&lt;=120,I108&gt;=2),"Active",IF(I108=1,"One-time",IF(L108&lt;=240,"At Risk","Lapsed"))))</x:f>
        <x:v>Active</x:v>
      </x:c>
      <x:c r="S108" s="15" t="str">
        <x:f>IF(Q108="Champions","Invite to advisory program and cross-sell service plans",IF(Q108="Loyal Growth","Prioritize expansion offer and product education",IF(Q108="High Value At Risk","Assign sales recovery outreach within 14 days",IF(Q108="New Accounts","Launch 90-day onboarding and adoption sequence",IF(Q108="Promising","Nurture second purchase with use-case content",IF(Q108="Needs Nurture","Run product-fit review and re-engagement sequence","Move to low-frequency win-back program"))))))</x:f>
        <x:v>Invite to advisory program and cross-sell service plans</x:v>
      </x:c>
      <x:c r="T108" s="1"/>
      <x:c r="U108" s="1"/>
      <x:c r="V108" s="1"/>
      <x:c r="W108" s="1"/>
      <x:c r="X108" s="1"/>
      <x:c r="Y108" s="1"/>
      <x:c r="Z108" s="1"/>
    </x:row>
    <x:row r="109">
      <x:c r="A109" s="7" t="str">
        <x:v>ACC-0108</x:v>
      </x:c>
      <x:c r="B109" s="7" t="str">
        <x:v>Keystone Products 108</x:v>
      </x:c>
      <x:c r="C109" s="7" t="str">
        <x:v>South</x:v>
      </x:c>
      <x:c r="D109" s="7" t="str">
        <x:v>Contract Packaging</x:v>
      </x:c>
      <x:c r="E109" s="7" t="str">
        <x:v>Enterprise</x:v>
      </x:c>
      <x:c r="F109" s="7" t="str">
        <x:v>Email</x:v>
      </x:c>
      <x:c r="G109" s="8" t="n">
        <x:v>46125</x:v>
      </x:c>
      <x:c r="H109" s="8" t="n">
        <x:v>46172</x:v>
      </x:c>
      <x:c r="I109" s="9" t="n">
        <x:v>2</x:v>
      </x:c>
      <x:c r="J109" s="10" t="n">
        <x:v>200400</x:v>
      </x:c>
      <x:c r="K109" s="10" t="n">
        <x:f>J109/I109</x:f>
        <x:v>100200</x:v>
      </x:c>
      <x:c r="L109" s="9" t="n">
        <x:f>DATE(2026,6,30)-H109</x:f>
        <x:v>31</x:v>
      </x:c>
      <x:c r="M109" s="9" t="n">
        <x:f>IF(L109&lt;=60,5,IF(L109&lt;=120,4,IF(L109&lt;=180,3,IF(L109&lt;=240,2,1))))</x:f>
        <x:v>5</x:v>
      </x:c>
      <x:c r="N109" s="9" t="n">
        <x:f>IF(I109&gt;=6,5,IF(I109&gt;=4,4,IF(I109=3,3,IF(I109=2,2,1))))</x:f>
        <x:v>2</x:v>
      </x:c>
      <x:c r="O109" s="9" t="n">
        <x:f>IF(J109&gt;=500000,5,IF(J109&gt;=300000,4,IF(J109&gt;=175000,3,IF(J109&gt;=75000,2,1))))</x:f>
        <x:v>3</x:v>
      </x:c>
      <x:c r="P109" s="7" t="str">
        <x:f>M109&amp;N109&amp;O109</x:f>
        <x:v>523</x:v>
      </x:c>
      <x:c r="Q109" s="7" t="str">
        <x:f>IF(AND(L109&lt;=60,I109&gt;=5,J109&gt;=300000),"Champions",IF(AND(L109&lt;=120,I109&gt;=3),"Loyal Growth",IF(AND(L109&gt;180,J109&gt;=300000),"High Value At Risk",IF(DATE(2026,6,30)-G109&lt;=90,"New Accounts",IF(AND(L109&lt;=120,I109=1),"Promising",IF(L109&lt;=240,"Needs Nurture","Dormant"))))))</x:f>
        <x:v>New Accounts</x:v>
      </x:c>
      <x:c r="R109" s="7" t="str">
        <x:f>IF(DATE(2026,6,30)-G109&lt;=90,"New",IF(AND(L109&lt;=120,I109&gt;=2),"Active",IF(I109=1,"One-time",IF(L109&lt;=240,"At Risk","Lapsed"))))</x:f>
        <x:v>New</x:v>
      </x:c>
      <x:c r="S109" s="15" t="str">
        <x:f>IF(Q109="Champions","Invite to advisory program and cross-sell service plans",IF(Q109="Loyal Growth","Prioritize expansion offer and product education",IF(Q109="High Value At Risk","Assign sales recovery outreach within 14 days",IF(Q109="New Accounts","Launch 90-day onboarding and adoption sequence",IF(Q109="Promising","Nurture second purchase with use-case content",IF(Q109="Needs Nurture","Run product-fit review and re-engagement sequence","Move to low-frequency win-back program"))))))</x:f>
        <x:v>Launch 90-day onboarding and adoption sequence</x:v>
      </x:c>
      <x:c r="T109" s="1"/>
      <x:c r="U109" s="1"/>
      <x:c r="V109" s="1"/>
      <x:c r="W109" s="1"/>
      <x:c r="X109" s="1"/>
      <x:c r="Y109" s="1"/>
      <x:c r="Z109" s="1"/>
    </x:row>
    <x:row r="110">
      <x:c r="A110" s="7" t="str">
        <x:v>ACC-0109</x:v>
      </x:c>
      <x:c r="B110" s="7" t="str">
        <x:v>Evergreen Foods 109</x:v>
      </x:c>
      <x:c r="C110" s="7" t="str">
        <x:v>Northeast</x:v>
      </x:c>
      <x:c r="D110" s="7" t="str">
        <x:v>Contract Packaging</x:v>
      </x:c>
      <x:c r="E110" s="7" t="str">
        <x:v>Small</x:v>
      </x:c>
      <x:c r="F110" s="7" t="str">
        <x:v>Google Search</x:v>
      </x:c>
      <x:c r="G110" s="8" t="n">
        <x:v>45595</x:v>
      </x:c>
      <x:c r="H110" s="8" t="n">
        <x:v>46067</x:v>
      </x:c>
      <x:c r="I110" s="9" t="n">
        <x:v>3</x:v>
      </x:c>
      <x:c r="J110" s="10" t="n">
        <x:v>174300</x:v>
      </x:c>
      <x:c r="K110" s="10" t="n">
        <x:f>J110/I110</x:f>
        <x:v>58100</x:v>
      </x:c>
      <x:c r="L110" s="9" t="n">
        <x:f>DATE(2026,6,30)-H110</x:f>
        <x:v>136</x:v>
      </x:c>
      <x:c r="M110" s="9" t="n">
        <x:f>IF(L110&lt;=60,5,IF(L110&lt;=120,4,IF(L110&lt;=180,3,IF(L110&lt;=240,2,1))))</x:f>
        <x:v>3</x:v>
      </x:c>
      <x:c r="N110" s="9" t="n">
        <x:f>IF(I110&gt;=6,5,IF(I110&gt;=4,4,IF(I110=3,3,IF(I110=2,2,1))))</x:f>
        <x:v>3</x:v>
      </x:c>
      <x:c r="O110" s="9" t="n">
        <x:f>IF(J110&gt;=500000,5,IF(J110&gt;=300000,4,IF(J110&gt;=175000,3,IF(J110&gt;=75000,2,1))))</x:f>
        <x:v>2</x:v>
      </x:c>
      <x:c r="P110" s="7" t="str">
        <x:f>M110&amp;N110&amp;O110</x:f>
        <x:v>332</x:v>
      </x:c>
      <x:c r="Q110" s="7" t="str">
        <x:f>IF(AND(L110&lt;=60,I110&gt;=5,J110&gt;=300000),"Champions",IF(AND(L110&lt;=120,I110&gt;=3),"Loyal Growth",IF(AND(L110&gt;180,J110&gt;=300000),"High Value At Risk",IF(DATE(2026,6,30)-G110&lt;=90,"New Accounts",IF(AND(L110&lt;=120,I110=1),"Promising",IF(L110&lt;=240,"Needs Nurture","Dormant"))))))</x:f>
        <x:v>Needs Nurture</x:v>
      </x:c>
      <x:c r="R110" s="7" t="str">
        <x:f>IF(DATE(2026,6,30)-G110&lt;=90,"New",IF(AND(L110&lt;=120,I110&gt;=2),"Active",IF(I110=1,"One-time",IF(L110&lt;=240,"At Risk","Lapsed"))))</x:f>
        <x:v>At Risk</x:v>
      </x:c>
      <x:c r="S110" s="15" t="str">
        <x:f>IF(Q110="Champions","Invite to advisory program and cross-sell service plans",IF(Q110="Loyal Growth","Prioritize expansion offer and product education",IF(Q110="High Value At Risk","Assign sales recovery outreach within 14 days",IF(Q110="New Accounts","Launch 90-day onboarding and adoption sequence",IF(Q110="Promising","Nurture second purchase with use-case content",IF(Q110="Needs Nurture","Run product-fit review and re-engagement sequence","Move to low-frequency win-back program"))))))</x:f>
        <x:v>Run product-fit review and re-engagement sequence</x:v>
      </x:c>
      <x:c r="T110" s="1"/>
      <x:c r="U110" s="1"/>
      <x:c r="V110" s="1"/>
      <x:c r="W110" s="1"/>
      <x:c r="X110" s="1"/>
      <x:c r="Y110" s="1"/>
      <x:c r="Z110" s="1"/>
    </x:row>
    <x:row r="111">
      <x:c r="A111" s="7" t="str">
        <x:v>ACC-0110</x:v>
      </x:c>
      <x:c r="B111" s="7" t="str">
        <x:v>Northstar Labs 110</x:v>
      </x:c>
      <x:c r="C111" s="7" t="str">
        <x:v>Midwest</x:v>
      </x:c>
      <x:c r="D111" s="7" t="str">
        <x:v>Consumer Goods</x:v>
      </x:c>
      <x:c r="E111" s="7" t="str">
        <x:v>Mid-market</x:v>
      </x:c>
      <x:c r="F111" s="7" t="str">
        <x:v>LinkedIn</x:v>
      </x:c>
      <x:c r="G111" s="8" t="n">
        <x:v>45892</x:v>
      </x:c>
      <x:c r="H111" s="8" t="n">
        <x:v>46123</x:v>
      </x:c>
      <x:c r="I111" s="9" t="n">
        <x:v>5</x:v>
      </x:c>
      <x:c r="J111" s="10" t="n">
        <x:v>345200</x:v>
      </x:c>
      <x:c r="K111" s="10" t="n">
        <x:f>J111/I111</x:f>
        <x:v>69040</x:v>
      </x:c>
      <x:c r="L111" s="9" t="n">
        <x:f>DATE(2026,6,30)-H111</x:f>
        <x:v>80</x:v>
      </x:c>
      <x:c r="M111" s="9" t="n">
        <x:f>IF(L111&lt;=60,5,IF(L111&lt;=120,4,IF(L111&lt;=180,3,IF(L111&lt;=240,2,1))))</x:f>
        <x:v>4</x:v>
      </x:c>
      <x:c r="N111" s="9" t="n">
        <x:f>IF(I111&gt;=6,5,IF(I111&gt;=4,4,IF(I111=3,3,IF(I111=2,2,1))))</x:f>
        <x:v>4</x:v>
      </x:c>
      <x:c r="O111" s="9" t="n">
        <x:f>IF(J111&gt;=500000,5,IF(J111&gt;=300000,4,IF(J111&gt;=175000,3,IF(J111&gt;=75000,2,1))))</x:f>
        <x:v>4</x:v>
      </x:c>
      <x:c r="P111" s="7" t="str">
        <x:f>M111&amp;N111&amp;O111</x:f>
        <x:v>444</x:v>
      </x:c>
      <x:c r="Q111" s="7" t="str">
        <x:f>IF(AND(L111&lt;=60,I111&gt;=5,J111&gt;=300000),"Champions",IF(AND(L111&lt;=120,I111&gt;=3),"Loyal Growth",IF(AND(L111&gt;180,J111&gt;=300000),"High Value At Risk",IF(DATE(2026,6,30)-G111&lt;=90,"New Accounts",IF(AND(L111&lt;=120,I111=1),"Promising",IF(L111&lt;=240,"Needs Nurture","Dormant"))))))</x:f>
        <x:v>Loyal Growth</x:v>
      </x:c>
      <x:c r="R111" s="7" t="str">
        <x:f>IF(DATE(2026,6,30)-G111&lt;=90,"New",IF(AND(L111&lt;=120,I111&gt;=2),"Active",IF(I111=1,"One-time",IF(L111&lt;=240,"At Risk","Lapsed"))))</x:f>
        <x:v>Active</x:v>
      </x:c>
      <x:c r="S111" s="15" t="str">
        <x:f>IF(Q111="Champions","Invite to advisory program and cross-sell service plans",IF(Q111="Loyal Growth","Prioritize expansion offer and product education",IF(Q111="High Value At Risk","Assign sales recovery outreach within 14 days",IF(Q111="New Accounts","Launch 90-day onboarding and adoption sequence",IF(Q111="Promising","Nurture second purchase with use-case content",IF(Q111="Needs Nurture","Run product-fit review and re-engagement sequence","Move to low-frequency win-back program"))))))</x:f>
        <x:v>Prioritize expansion offer and product education</x:v>
      </x:c>
      <x:c r="T111" s="1"/>
      <x:c r="U111" s="1"/>
      <x:c r="V111" s="1"/>
      <x:c r="W111" s="1"/>
      <x:c r="X111" s="1"/>
      <x:c r="Y111" s="1"/>
      <x:c r="Z111" s="1"/>
    </x:row>
    <x:row r="112">
      <x:c r="A112" s="7" t="str">
        <x:v>ACC-0111</x:v>
      </x:c>
      <x:c r="B112" s="7" t="str">
        <x:v>Pioneer Foods 111</x:v>
      </x:c>
      <x:c r="C112" s="7" t="str">
        <x:v>Northeast</x:v>
      </x:c>
      <x:c r="D112" s="7" t="str">
        <x:v>Contract Packaging</x:v>
      </x:c>
      <x:c r="E112" s="7" t="str">
        <x:v>Small</x:v>
      </x:c>
      <x:c r="F112" s="7" t="str">
        <x:v>Email</x:v>
      </x:c>
      <x:c r="G112" s="8" t="n">
        <x:v>45407</x:v>
      </x:c>
      <x:c r="H112" s="8" t="n">
        <x:v>46030</x:v>
      </x:c>
      <x:c r="I112" s="9" t="n">
        <x:v>3</x:v>
      </x:c>
      <x:c r="J112" s="10" t="n">
        <x:v>75900</x:v>
      </x:c>
      <x:c r="K112" s="10" t="n">
        <x:f>J112/I112</x:f>
        <x:v>25300</x:v>
      </x:c>
      <x:c r="L112" s="9" t="n">
        <x:f>DATE(2026,6,30)-H112</x:f>
        <x:v>173</x:v>
      </x:c>
      <x:c r="M112" s="9" t="n">
        <x:f>IF(L112&lt;=60,5,IF(L112&lt;=120,4,IF(L112&lt;=180,3,IF(L112&lt;=240,2,1))))</x:f>
        <x:v>3</x:v>
      </x:c>
      <x:c r="N112" s="9" t="n">
        <x:f>IF(I112&gt;=6,5,IF(I112&gt;=4,4,IF(I112=3,3,IF(I112=2,2,1))))</x:f>
        <x:v>3</x:v>
      </x:c>
      <x:c r="O112" s="9" t="n">
        <x:f>IF(J112&gt;=500000,5,IF(J112&gt;=300000,4,IF(J112&gt;=175000,3,IF(J112&gt;=75000,2,1))))</x:f>
        <x:v>2</x:v>
      </x:c>
      <x:c r="P112" s="7" t="str">
        <x:f>M112&amp;N112&amp;O112</x:f>
        <x:v>332</x:v>
      </x:c>
      <x:c r="Q112" s="7" t="str">
        <x:f>IF(AND(L112&lt;=60,I112&gt;=5,J112&gt;=300000),"Champions",IF(AND(L112&lt;=120,I112&gt;=3),"Loyal Growth",IF(AND(L112&gt;180,J112&gt;=300000),"High Value At Risk",IF(DATE(2026,6,30)-G112&lt;=90,"New Accounts",IF(AND(L112&lt;=120,I112=1),"Promising",IF(L112&lt;=240,"Needs Nurture","Dormant"))))))</x:f>
        <x:v>Needs Nurture</x:v>
      </x:c>
      <x:c r="R112" s="7" t="str">
        <x:f>IF(DATE(2026,6,30)-G112&lt;=90,"New",IF(AND(L112&lt;=120,I112&gt;=2),"Active",IF(I112=1,"One-time",IF(L112&lt;=240,"At Risk","Lapsed"))))</x:f>
        <x:v>At Risk</x:v>
      </x:c>
      <x:c r="S112" s="15" t="str">
        <x:f>IF(Q112="Champions","Invite to advisory program and cross-sell service plans",IF(Q112="Loyal Growth","Prioritize expansion offer and product education",IF(Q112="High Value At Risk","Assign sales recovery outreach within 14 days",IF(Q112="New Accounts","Launch 90-day onboarding and adoption sequence",IF(Q112="Promising","Nurture second purchase with use-case content",IF(Q112="Needs Nurture","Run product-fit review and re-engagement sequence","Move to low-frequency win-back program"))))))</x:f>
        <x:v>Run product-fit review and re-engagement sequence</x:v>
      </x:c>
      <x:c r="T112" s="1"/>
      <x:c r="U112" s="1"/>
      <x:c r="V112" s="1"/>
      <x:c r="W112" s="1"/>
      <x:c r="X112" s="1"/>
      <x:c r="Y112" s="1"/>
      <x:c r="Z112" s="1"/>
    </x:row>
    <x:row r="113">
      <x:c r="A113" s="7" t="str">
        <x:v>ACC-0112</x:v>
      </x:c>
      <x:c r="B113" s="7" t="str">
        <x:v>Frontier Brands 112</x:v>
      </x:c>
      <x:c r="C113" s="7" t="str">
        <x:v>South</x:v>
      </x:c>
      <x:c r="D113" s="7" t="str">
        <x:v>Consumer Goods</x:v>
      </x:c>
      <x:c r="E113" s="7" t="str">
        <x:v>Enterprise</x:v>
      </x:c>
      <x:c r="F113" s="7" t="str">
        <x:v>LinkedIn</x:v>
      </x:c>
      <x:c r="G113" s="8" t="n">
        <x:v>45991</x:v>
      </x:c>
      <x:c r="H113" s="8" t="n">
        <x:v>46186</x:v>
      </x:c>
      <x:c r="I113" s="9" t="n">
        <x:v>4</x:v>
      </x:c>
      <x:c r="J113" s="10" t="n">
        <x:v>717500</x:v>
      </x:c>
      <x:c r="K113" s="10" t="n">
        <x:f>J113/I113</x:f>
        <x:v>179375</x:v>
      </x:c>
      <x:c r="L113" s="9" t="n">
        <x:f>DATE(2026,6,30)-H113</x:f>
        <x:v>17</x:v>
      </x:c>
      <x:c r="M113" s="9" t="n">
        <x:f>IF(L113&lt;=60,5,IF(L113&lt;=120,4,IF(L113&lt;=180,3,IF(L113&lt;=240,2,1))))</x:f>
        <x:v>5</x:v>
      </x:c>
      <x:c r="N113" s="9" t="n">
        <x:f>IF(I113&gt;=6,5,IF(I113&gt;=4,4,IF(I113=3,3,IF(I113=2,2,1))))</x:f>
        <x:v>4</x:v>
      </x:c>
      <x:c r="O113" s="9" t="n">
        <x:f>IF(J113&gt;=500000,5,IF(J113&gt;=300000,4,IF(J113&gt;=175000,3,IF(J113&gt;=75000,2,1))))</x:f>
        <x:v>5</x:v>
      </x:c>
      <x:c r="P113" s="7" t="str">
        <x:f>M113&amp;N113&amp;O113</x:f>
        <x:v>545</x:v>
      </x:c>
      <x:c r="Q113" s="7" t="str">
        <x:f>IF(AND(L113&lt;=60,I113&gt;=5,J113&gt;=300000),"Champions",IF(AND(L113&lt;=120,I113&gt;=3),"Loyal Growth",IF(AND(L113&gt;180,J113&gt;=300000),"High Value At Risk",IF(DATE(2026,6,30)-G113&lt;=90,"New Accounts",IF(AND(L113&lt;=120,I113=1),"Promising",IF(L113&lt;=240,"Needs Nurture","Dormant"))))))</x:f>
        <x:v>Loyal Growth</x:v>
      </x:c>
      <x:c r="R113" s="7" t="str">
        <x:f>IF(DATE(2026,6,30)-G113&lt;=90,"New",IF(AND(L113&lt;=120,I113&gt;=2),"Active",IF(I113=1,"One-time",IF(L113&lt;=240,"At Risk","Lapsed"))))</x:f>
        <x:v>Active</x:v>
      </x:c>
      <x:c r="S113" s="15" t="str">
        <x:f>IF(Q113="Champions","Invite to advisory program and cross-sell service plans",IF(Q113="Loyal Growth","Prioritize expansion offer and product education",IF(Q113="High Value At Risk","Assign sales recovery outreach within 14 days",IF(Q113="New Accounts","Launch 90-day onboarding and adoption sequence",IF(Q113="Promising","Nurture second purchase with use-case content",IF(Q113="Needs Nurture","Run product-fit review and re-engagement sequence","Move to low-frequency win-back program"))))))</x:f>
        <x:v>Prioritize expansion offer and product education</x:v>
      </x:c>
      <x:c r="T113" s="1"/>
      <x:c r="U113" s="1"/>
      <x:c r="V113" s="1"/>
      <x:c r="W113" s="1"/>
      <x:c r="X113" s="1"/>
      <x:c r="Y113" s="1"/>
      <x:c r="Z113" s="1"/>
    </x:row>
    <x:row r="114">
      <x:c r="A114" s="7" t="str">
        <x:v>ACC-0113</x:v>
      </x:c>
      <x:c r="B114" s="7" t="str">
        <x:v>Keystone Products 113</x:v>
      </x:c>
      <x:c r="C114" s="7" t="str">
        <x:v>West</x:v>
      </x:c>
      <x:c r="D114" s="7" t="str">
        <x:v>Pharmaceuticals</x:v>
      </x:c>
      <x:c r="E114" s="7" t="str">
        <x:v>Small</x:v>
      </x:c>
      <x:c r="F114" s="7" t="str">
        <x:v>Email</x:v>
      </x:c>
      <x:c r="G114" s="8" t="n">
        <x:v>46153</x:v>
      </x:c>
      <x:c r="H114" s="8" t="n">
        <x:v>46164</x:v>
      </x:c>
      <x:c r="I114" s="9" t="n">
        <x:v>2</x:v>
      </x:c>
      <x:c r="J114" s="10" t="n">
        <x:v>124900</x:v>
      </x:c>
      <x:c r="K114" s="10" t="n">
        <x:f>J114/I114</x:f>
        <x:v>62450</x:v>
      </x:c>
      <x:c r="L114" s="9" t="n">
        <x:f>DATE(2026,6,30)-H114</x:f>
        <x:v>39</x:v>
      </x:c>
      <x:c r="M114" s="9" t="n">
        <x:f>IF(L114&lt;=60,5,IF(L114&lt;=120,4,IF(L114&lt;=180,3,IF(L114&lt;=240,2,1))))</x:f>
        <x:v>5</x:v>
      </x:c>
      <x:c r="N114" s="9" t="n">
        <x:f>IF(I114&gt;=6,5,IF(I114&gt;=4,4,IF(I114=3,3,IF(I114=2,2,1))))</x:f>
        <x:v>2</x:v>
      </x:c>
      <x:c r="O114" s="9" t="n">
        <x:f>IF(J114&gt;=500000,5,IF(J114&gt;=300000,4,IF(J114&gt;=175000,3,IF(J114&gt;=75000,2,1))))</x:f>
        <x:v>2</x:v>
      </x:c>
      <x:c r="P114" s="7" t="str">
        <x:f>M114&amp;N114&amp;O114</x:f>
        <x:v>522</x:v>
      </x:c>
      <x:c r="Q114" s="7" t="str">
        <x:f>IF(AND(L114&lt;=60,I114&gt;=5,J114&gt;=300000),"Champions",IF(AND(L114&lt;=120,I114&gt;=3),"Loyal Growth",IF(AND(L114&gt;180,J114&gt;=300000),"High Value At Risk",IF(DATE(2026,6,30)-G114&lt;=90,"New Accounts",IF(AND(L114&lt;=120,I114=1),"Promising",IF(L114&lt;=240,"Needs Nurture","Dormant"))))))</x:f>
        <x:v>New Accounts</x:v>
      </x:c>
      <x:c r="R114" s="7" t="str">
        <x:f>IF(DATE(2026,6,30)-G114&lt;=90,"New",IF(AND(L114&lt;=120,I114&gt;=2),"Active",IF(I114=1,"One-time",IF(L114&lt;=240,"At Risk","Lapsed"))))</x:f>
        <x:v>New</x:v>
      </x:c>
      <x:c r="S114" s="15" t="str">
        <x:f>IF(Q114="Champions","Invite to advisory program and cross-sell service plans",IF(Q114="Loyal Growth","Prioritize expansion offer and product education",IF(Q114="High Value At Risk","Assign sales recovery outreach within 14 days",IF(Q114="New Accounts","Launch 90-day onboarding and adoption sequence",IF(Q114="Promising","Nurture second purchase with use-case content",IF(Q114="Needs Nurture","Run product-fit review and re-engagement sequence","Move to low-frequency win-back program"))))))</x:f>
        <x:v>Launch 90-day onboarding and adoption sequence</x:v>
      </x:c>
      <x:c r="T114" s="1"/>
      <x:c r="U114" s="1"/>
      <x:c r="V114" s="1"/>
      <x:c r="W114" s="1"/>
      <x:c r="X114" s="1"/>
      <x:c r="Y114" s="1"/>
      <x:c r="Z114" s="1"/>
    </x:row>
    <x:row r="115">
      <x:c r="A115" s="7" t="str">
        <x:v>ACC-0114</x:v>
      </x:c>
      <x:c r="B115" s="7" t="str">
        <x:v>Frontier Foods 114</x:v>
      </x:c>
      <x:c r="C115" s="7" t="str">
        <x:v>West</x:v>
      </x:c>
      <x:c r="D115" s="7" t="str">
        <x:v>Pharmaceuticals</x:v>
      </x:c>
      <x:c r="E115" s="7" t="str">
        <x:v>Enterprise</x:v>
      </x:c>
      <x:c r="F115" s="7" t="str">
        <x:v>Email</x:v>
      </x:c>
      <x:c r="G115" s="8" t="n">
        <x:v>45609</x:v>
      </x:c>
      <x:c r="H115" s="8" t="n">
        <x:v>45833</x:v>
      </x:c>
      <x:c r="I115" s="9" t="n">
        <x:v>4</x:v>
      </x:c>
      <x:c r="J115" s="10" t="n">
        <x:v>801200</x:v>
      </x:c>
      <x:c r="K115" s="10" t="n">
        <x:f>J115/I115</x:f>
        <x:v>200300</x:v>
      </x:c>
      <x:c r="L115" s="9" t="n">
        <x:f>DATE(2026,6,30)-H115</x:f>
        <x:v>370</x:v>
      </x:c>
      <x:c r="M115" s="9" t="n">
        <x:f>IF(L115&lt;=60,5,IF(L115&lt;=120,4,IF(L115&lt;=180,3,IF(L115&lt;=240,2,1))))</x:f>
        <x:v>1</x:v>
      </x:c>
      <x:c r="N115" s="9" t="n">
        <x:f>IF(I115&gt;=6,5,IF(I115&gt;=4,4,IF(I115=3,3,IF(I115=2,2,1))))</x:f>
        <x:v>4</x:v>
      </x:c>
      <x:c r="O115" s="9" t="n">
        <x:f>IF(J115&gt;=500000,5,IF(J115&gt;=300000,4,IF(J115&gt;=175000,3,IF(J115&gt;=75000,2,1))))</x:f>
        <x:v>5</x:v>
      </x:c>
      <x:c r="P115" s="7" t="str">
        <x:f>M115&amp;N115&amp;O115</x:f>
        <x:v>145</x:v>
      </x:c>
      <x:c r="Q115" s="7" t="str">
        <x:f>IF(AND(L115&lt;=60,I115&gt;=5,J115&gt;=300000),"Champions",IF(AND(L115&lt;=120,I115&gt;=3),"Loyal Growth",IF(AND(L115&gt;180,J115&gt;=300000),"High Value At Risk",IF(DATE(2026,6,30)-G115&lt;=90,"New Accounts",IF(AND(L115&lt;=120,I115=1),"Promising",IF(L115&lt;=240,"Needs Nurture","Dormant"))))))</x:f>
        <x:v>High Value At Risk</x:v>
      </x:c>
      <x:c r="R115" s="7" t="str">
        <x:f>IF(DATE(2026,6,30)-G115&lt;=90,"New",IF(AND(L115&lt;=120,I115&gt;=2),"Active",IF(I115=1,"One-time",IF(L115&lt;=240,"At Risk","Lapsed"))))</x:f>
        <x:v>Lapsed</x:v>
      </x:c>
      <x:c r="S115" s="15" t="str">
        <x:f>IF(Q115="Champions","Invite to advisory program and cross-sell service plans",IF(Q115="Loyal Growth","Prioritize expansion offer and product education",IF(Q115="High Value At Risk","Assign sales recovery outreach within 14 days",IF(Q115="New Accounts","Launch 90-day onboarding and adoption sequence",IF(Q115="Promising","Nurture second purchase with use-case content",IF(Q115="Needs Nurture","Run product-fit review and re-engagement sequence","Move to low-frequency win-back program"))))))</x:f>
        <x:v>Assign sales recovery outreach within 14 days</x:v>
      </x:c>
      <x:c r="T115" s="1"/>
      <x:c r="U115" s="1"/>
      <x:c r="V115" s="1"/>
      <x:c r="W115" s="1"/>
      <x:c r="X115" s="1"/>
      <x:c r="Y115" s="1"/>
      <x:c r="Z115" s="1"/>
    </x:row>
    <x:row r="116">
      <x:c r="A116" s="7" t="str">
        <x:v>ACC-0115</x:v>
      </x:c>
      <x:c r="B116" s="7" t="str">
        <x:v>Keystone Labs 115</x:v>
      </x:c>
      <x:c r="C116" s="7" t="str">
        <x:v>Midwest</x:v>
      </x:c>
      <x:c r="D116" s="7" t="str">
        <x:v>Consumer Goods</x:v>
      </x:c>
      <x:c r="E116" s="7" t="str">
        <x:v>Mid-market</x:v>
      </x:c>
      <x:c r="F116" s="7" t="str">
        <x:v>Trade Show</x:v>
      </x:c>
      <x:c r="G116" s="8" t="n">
        <x:v>45333</x:v>
      </x:c>
      <x:c r="H116" s="8" t="n">
        <x:v>45573</x:v>
      </x:c>
      <x:c r="I116" s="9" t="n">
        <x:v>2</x:v>
      </x:c>
      <x:c r="J116" s="10" t="n">
        <x:v>123900</x:v>
      </x:c>
      <x:c r="K116" s="10" t="n">
        <x:f>J116/I116</x:f>
        <x:v>61950</x:v>
      </x:c>
      <x:c r="L116" s="9" t="n">
        <x:f>DATE(2026,6,30)-H116</x:f>
        <x:v>630</x:v>
      </x:c>
      <x:c r="M116" s="9" t="n">
        <x:f>IF(L116&lt;=60,5,IF(L116&lt;=120,4,IF(L116&lt;=180,3,IF(L116&lt;=240,2,1))))</x:f>
        <x:v>1</x:v>
      </x:c>
      <x:c r="N116" s="9" t="n">
        <x:f>IF(I116&gt;=6,5,IF(I116&gt;=4,4,IF(I116=3,3,IF(I116=2,2,1))))</x:f>
        <x:v>2</x:v>
      </x:c>
      <x:c r="O116" s="9" t="n">
        <x:f>IF(J116&gt;=500000,5,IF(J116&gt;=300000,4,IF(J116&gt;=175000,3,IF(J116&gt;=75000,2,1))))</x:f>
        <x:v>2</x:v>
      </x:c>
      <x:c r="P116" s="7" t="str">
        <x:f>M116&amp;N116&amp;O116</x:f>
        <x:v>122</x:v>
      </x:c>
      <x:c r="Q116" s="7" t="str">
        <x:f>IF(AND(L116&lt;=60,I116&gt;=5,J116&gt;=300000),"Champions",IF(AND(L116&lt;=120,I116&gt;=3),"Loyal Growth",IF(AND(L116&gt;180,J116&gt;=300000),"High Value At Risk",IF(DATE(2026,6,30)-G116&lt;=90,"New Accounts",IF(AND(L116&lt;=120,I116=1),"Promising",IF(L116&lt;=240,"Needs Nurture","Dormant"))))))</x:f>
        <x:v>Dormant</x:v>
      </x:c>
      <x:c r="R116" s="7" t="str">
        <x:f>IF(DATE(2026,6,30)-G116&lt;=90,"New",IF(AND(L116&lt;=120,I116&gt;=2),"Active",IF(I116=1,"One-time",IF(L116&lt;=240,"At Risk","Lapsed"))))</x:f>
        <x:v>Lapsed</x:v>
      </x:c>
      <x:c r="S116" s="15" t="str">
        <x:f>IF(Q116="Champions","Invite to advisory program and cross-sell service plans",IF(Q116="Loyal Growth","Prioritize expansion offer and product education",IF(Q116="High Value At Risk","Assign sales recovery outreach within 14 days",IF(Q116="New Accounts","Launch 90-day onboarding and adoption sequence",IF(Q116="Promising","Nurture second purchase with use-case content",IF(Q116="Needs Nurture","Run product-fit review and re-engagement sequence","Move to low-frequency win-back program"))))))</x:f>
        <x:v>Move to low-frequency win-back program</x:v>
      </x:c>
      <x:c r="T116" s="1"/>
      <x:c r="U116" s="1"/>
      <x:c r="V116" s="1"/>
      <x:c r="W116" s="1"/>
      <x:c r="X116" s="1"/>
      <x:c r="Y116" s="1"/>
      <x:c r="Z116" s="1"/>
    </x:row>
    <x:row r="117">
      <x:c r="A117" s="7" t="str">
        <x:v>ACC-0116</x:v>
      </x:c>
      <x:c r="B117" s="7" t="str">
        <x:v>Beacon Packaging 116</x:v>
      </x:c>
      <x:c r="C117" s="7" t="str">
        <x:v>West</x:v>
      </x:c>
      <x:c r="D117" s="7" t="str">
        <x:v>Food &amp; Beverage</x:v>
      </x:c>
      <x:c r="E117" s="7" t="str">
        <x:v>Mid-market</x:v>
      </x:c>
      <x:c r="F117" s="7" t="str">
        <x:v>Email</x:v>
      </x:c>
      <x:c r="G117" s="8" t="n">
        <x:v>45732</x:v>
      </x:c>
      <x:c r="H117" s="8" t="n">
        <x:v>45912</x:v>
      </x:c>
      <x:c r="I117" s="9" t="n">
        <x:v>3</x:v>
      </x:c>
      <x:c r="J117" s="10" t="n">
        <x:v>363000</x:v>
      </x:c>
      <x:c r="K117" s="10" t="n">
        <x:f>J117/I117</x:f>
        <x:v>121000</x:v>
      </x:c>
      <x:c r="L117" s="9" t="n">
        <x:f>DATE(2026,6,30)-H117</x:f>
        <x:v>291</x:v>
      </x:c>
      <x:c r="M117" s="9" t="n">
        <x:f>IF(L117&lt;=60,5,IF(L117&lt;=120,4,IF(L117&lt;=180,3,IF(L117&lt;=240,2,1))))</x:f>
        <x:v>1</x:v>
      </x:c>
      <x:c r="N117" s="9" t="n">
        <x:f>IF(I117&gt;=6,5,IF(I117&gt;=4,4,IF(I117=3,3,IF(I117=2,2,1))))</x:f>
        <x:v>3</x:v>
      </x:c>
      <x:c r="O117" s="9" t="n">
        <x:f>IF(J117&gt;=500000,5,IF(J117&gt;=300000,4,IF(J117&gt;=175000,3,IF(J117&gt;=75000,2,1))))</x:f>
        <x:v>4</x:v>
      </x:c>
      <x:c r="P117" s="7" t="str">
        <x:f>M117&amp;N117&amp;O117</x:f>
        <x:v>134</x:v>
      </x:c>
      <x:c r="Q117" s="7" t="str">
        <x:f>IF(AND(L117&lt;=60,I117&gt;=5,J117&gt;=300000),"Champions",IF(AND(L117&lt;=120,I117&gt;=3),"Loyal Growth",IF(AND(L117&gt;180,J117&gt;=300000),"High Value At Risk",IF(DATE(2026,6,30)-G117&lt;=90,"New Accounts",IF(AND(L117&lt;=120,I117=1),"Promising",IF(L117&lt;=240,"Needs Nurture","Dormant"))))))</x:f>
        <x:v>High Value At Risk</x:v>
      </x:c>
      <x:c r="R117" s="7" t="str">
        <x:f>IF(DATE(2026,6,30)-G117&lt;=90,"New",IF(AND(L117&lt;=120,I117&gt;=2),"Active",IF(I117=1,"One-time",IF(L117&lt;=240,"At Risk","Lapsed"))))</x:f>
        <x:v>Lapsed</x:v>
      </x:c>
      <x:c r="S117" s="15" t="str">
        <x:f>IF(Q117="Champions","Invite to advisory program and cross-sell service plans",IF(Q117="Loyal Growth","Prioritize expansion offer and product education",IF(Q117="High Value At Risk","Assign sales recovery outreach within 14 days",IF(Q117="New Accounts","Launch 90-day onboarding and adoption sequence",IF(Q117="Promising","Nurture second purchase with use-case content",IF(Q117="Needs Nurture","Run product-fit review and re-engagement sequence","Move to low-frequency win-back program"))))))</x:f>
        <x:v>Assign sales recovery outreach within 14 days</x:v>
      </x:c>
      <x:c r="T117" s="1"/>
      <x:c r="U117" s="1"/>
      <x:c r="V117" s="1"/>
      <x:c r="W117" s="1"/>
      <x:c r="X117" s="1"/>
      <x:c r="Y117" s="1"/>
      <x:c r="Z117" s="1"/>
    </x:row>
    <x:row r="118">
      <x:c r="A118" s="7" t="str">
        <x:v>ACC-0117</x:v>
      </x:c>
      <x:c r="B118" s="7" t="str">
        <x:v>Keystone Foods 117</x:v>
      </x:c>
      <x:c r="C118" s="7" t="str">
        <x:v>Northeast</x:v>
      </x:c>
      <x:c r="D118" s="7" t="str">
        <x:v>Industrial Products</x:v>
      </x:c>
      <x:c r="E118" s="7" t="str">
        <x:v>Small</x:v>
      </x:c>
      <x:c r="F118" s="7" t="str">
        <x:v>Google Search</x:v>
      </x:c>
      <x:c r="G118" s="8" t="n">
        <x:v>45361</x:v>
      </x:c>
      <x:c r="H118" s="8" t="n">
        <x:v>45361</x:v>
      </x:c>
      <x:c r="I118" s="9" t="n">
        <x:v>1</x:v>
      </x:c>
      <x:c r="J118" s="10" t="n">
        <x:v>93900</x:v>
      </x:c>
      <x:c r="K118" s="10" t="n">
        <x:f>J118/I118</x:f>
        <x:v>93900</x:v>
      </x:c>
      <x:c r="L118" s="9" t="n">
        <x:f>DATE(2026,6,30)-H118</x:f>
        <x:v>842</x:v>
      </x:c>
      <x:c r="M118" s="9" t="n">
        <x:f>IF(L118&lt;=60,5,IF(L118&lt;=120,4,IF(L118&lt;=180,3,IF(L118&lt;=240,2,1))))</x:f>
        <x:v>1</x:v>
      </x:c>
      <x:c r="N118" s="9" t="n">
        <x:f>IF(I118&gt;=6,5,IF(I118&gt;=4,4,IF(I118=3,3,IF(I118=2,2,1))))</x:f>
        <x:v>1</x:v>
      </x:c>
      <x:c r="O118" s="9" t="n">
        <x:f>IF(J118&gt;=500000,5,IF(J118&gt;=300000,4,IF(J118&gt;=175000,3,IF(J118&gt;=75000,2,1))))</x:f>
        <x:v>2</x:v>
      </x:c>
      <x:c r="P118" s="7" t="str">
        <x:f>M118&amp;N118&amp;O118</x:f>
        <x:v>112</x:v>
      </x:c>
      <x:c r="Q118" s="7" t="str">
        <x:f>IF(AND(L118&lt;=60,I118&gt;=5,J118&gt;=300000),"Champions",IF(AND(L118&lt;=120,I118&gt;=3),"Loyal Growth",IF(AND(L118&gt;180,J118&gt;=300000),"High Value At Risk",IF(DATE(2026,6,30)-G118&lt;=90,"New Accounts",IF(AND(L118&lt;=120,I118=1),"Promising",IF(L118&lt;=240,"Needs Nurture","Dormant"))))))</x:f>
        <x:v>Dormant</x:v>
      </x:c>
      <x:c r="R118" s="7" t="str">
        <x:f>IF(DATE(2026,6,30)-G118&lt;=90,"New",IF(AND(L118&lt;=120,I118&gt;=2),"Active",IF(I118=1,"One-time",IF(L118&lt;=240,"At Risk","Lapsed"))))</x:f>
        <x:v>One-time</x:v>
      </x:c>
      <x:c r="S118" s="15" t="str">
        <x:f>IF(Q118="Champions","Invite to advisory program and cross-sell service plans",IF(Q118="Loyal Growth","Prioritize expansion offer and product education",IF(Q118="High Value At Risk","Assign sales recovery outreach within 14 days",IF(Q118="New Accounts","Launch 90-day onboarding and adoption sequence",IF(Q118="Promising","Nurture second purchase with use-case content",IF(Q118="Needs Nurture","Run product-fit review and re-engagement sequence","Move to low-frequency win-back program"))))))</x:f>
        <x:v>Move to low-frequency win-back program</x:v>
      </x:c>
      <x:c r="T118" s="1"/>
      <x:c r="U118" s="1"/>
      <x:c r="V118" s="1"/>
      <x:c r="W118" s="1"/>
      <x:c r="X118" s="1"/>
      <x:c r="Y118" s="1"/>
      <x:c r="Z118" s="1"/>
    </x:row>
    <x:row r="119">
      <x:c r="A119" s="7" t="str">
        <x:v>ACC-0118</x:v>
      </x:c>
      <x:c r="B119" s="7" t="str">
        <x:v>Meridian Solutions 118</x:v>
      </x:c>
      <x:c r="C119" s="7" t="str">
        <x:v>Midwest</x:v>
      </x:c>
      <x:c r="D119" s="7" t="str">
        <x:v>Food &amp; Beverage</x:v>
      </x:c>
      <x:c r="E119" s="7" t="str">
        <x:v>Enterprise</x:v>
      </x:c>
      <x:c r="F119" s="7" t="str">
        <x:v>Trade Show</x:v>
      </x:c>
      <x:c r="G119" s="8" t="n">
        <x:v>45834</x:v>
      </x:c>
      <x:c r="H119" s="8" t="n">
        <x:v>46169</x:v>
      </x:c>
      <x:c r="I119" s="9" t="n">
        <x:v>6</x:v>
      </x:c>
      <x:c r="J119" s="10" t="n">
        <x:v>773600</x:v>
      </x:c>
      <x:c r="K119" s="10" t="n">
        <x:f>J119/I119</x:f>
        <x:v>128933.33333333333</x:v>
      </x:c>
      <x:c r="L119" s="9" t="n">
        <x:f>DATE(2026,6,30)-H119</x:f>
        <x:v>34</x:v>
      </x:c>
      <x:c r="M119" s="9" t="n">
        <x:f>IF(L119&lt;=60,5,IF(L119&lt;=120,4,IF(L119&lt;=180,3,IF(L119&lt;=240,2,1))))</x:f>
        <x:v>5</x:v>
      </x:c>
      <x:c r="N119" s="9" t="n">
        <x:f>IF(I119&gt;=6,5,IF(I119&gt;=4,4,IF(I119=3,3,IF(I119=2,2,1))))</x:f>
        <x:v>5</x:v>
      </x:c>
      <x:c r="O119" s="9" t="n">
        <x:f>IF(J119&gt;=500000,5,IF(J119&gt;=300000,4,IF(J119&gt;=175000,3,IF(J119&gt;=75000,2,1))))</x:f>
        <x:v>5</x:v>
      </x:c>
      <x:c r="P119" s="7" t="str">
        <x:f>M119&amp;N119&amp;O119</x:f>
        <x:v>555</x:v>
      </x:c>
      <x:c r="Q119" s="7" t="str">
        <x:f>IF(AND(L119&lt;=60,I119&gt;=5,J119&gt;=300000),"Champions",IF(AND(L119&lt;=120,I119&gt;=3),"Loyal Growth",IF(AND(L119&gt;180,J119&gt;=300000),"High Value At Risk",IF(DATE(2026,6,30)-G119&lt;=90,"New Accounts",IF(AND(L119&lt;=120,I119=1),"Promising",IF(L119&lt;=240,"Needs Nurture","Dormant"))))))</x:f>
        <x:v>Champions</x:v>
      </x:c>
      <x:c r="R119" s="7" t="str">
        <x:f>IF(DATE(2026,6,30)-G119&lt;=90,"New",IF(AND(L119&lt;=120,I119&gt;=2),"Active",IF(I119=1,"One-time",IF(L119&lt;=240,"At Risk","Lapsed"))))</x:f>
        <x:v>Active</x:v>
      </x:c>
      <x:c r="S119" s="15" t="str">
        <x:f>IF(Q119="Champions","Invite to advisory program and cross-sell service plans",IF(Q119="Loyal Growth","Prioritize expansion offer and product education",IF(Q119="High Value At Risk","Assign sales recovery outreach within 14 days",IF(Q119="New Accounts","Launch 90-day onboarding and adoption sequence",IF(Q119="Promising","Nurture second purchase with use-case content",IF(Q119="Needs Nurture","Run product-fit review and re-engagement sequence","Move to low-frequency win-back program"))))))</x:f>
        <x:v>Invite to advisory program and cross-sell service plans</x:v>
      </x:c>
      <x:c r="T119" s="1"/>
      <x:c r="U119" s="1"/>
      <x:c r="V119" s="1"/>
      <x:c r="W119" s="1"/>
      <x:c r="X119" s="1"/>
      <x:c r="Y119" s="1"/>
      <x:c r="Z119" s="1"/>
    </x:row>
    <x:row r="120">
      <x:c r="A120" s="7" t="str">
        <x:v>ACC-0119</x:v>
      </x:c>
      <x:c r="B120" s="7" t="str">
        <x:v>BlueRiver Products 119</x:v>
      </x:c>
      <x:c r="C120" s="7" t="str">
        <x:v>Midwest</x:v>
      </x:c>
      <x:c r="D120" s="7" t="str">
        <x:v>Pharmaceuticals</x:v>
      </x:c>
      <x:c r="E120" s="7" t="str">
        <x:v>Enterprise</x:v>
      </x:c>
      <x:c r="F120" s="7" t="str">
        <x:v>Partner Referral</x:v>
      </x:c>
      <x:c r="G120" s="8" t="n">
        <x:v>46047</x:v>
      </x:c>
      <x:c r="H120" s="8" t="n">
        <x:v>46109</x:v>
      </x:c>
      <x:c r="I120" s="9" t="n">
        <x:v>3</x:v>
      </x:c>
      <x:c r="J120" s="10" t="n">
        <x:v>414000</x:v>
      </x:c>
      <x:c r="K120" s="10" t="n">
        <x:f>J120/I120</x:f>
        <x:v>138000</x:v>
      </x:c>
      <x:c r="L120" s="9" t="n">
        <x:f>DATE(2026,6,30)-H120</x:f>
        <x:v>94</x:v>
      </x:c>
      <x:c r="M120" s="9" t="n">
        <x:f>IF(L120&lt;=60,5,IF(L120&lt;=120,4,IF(L120&lt;=180,3,IF(L120&lt;=240,2,1))))</x:f>
        <x:v>4</x:v>
      </x:c>
      <x:c r="N120" s="9" t="n">
        <x:f>IF(I120&gt;=6,5,IF(I120&gt;=4,4,IF(I120=3,3,IF(I120=2,2,1))))</x:f>
        <x:v>3</x:v>
      </x:c>
      <x:c r="O120" s="9" t="n">
        <x:f>IF(J120&gt;=500000,5,IF(J120&gt;=300000,4,IF(J120&gt;=175000,3,IF(J120&gt;=75000,2,1))))</x:f>
        <x:v>4</x:v>
      </x:c>
      <x:c r="P120" s="7" t="str">
        <x:f>M120&amp;N120&amp;O120</x:f>
        <x:v>434</x:v>
      </x:c>
      <x:c r="Q120" s="7" t="str">
        <x:f>IF(AND(L120&lt;=60,I120&gt;=5,J120&gt;=300000),"Champions",IF(AND(L120&lt;=120,I120&gt;=3),"Loyal Growth",IF(AND(L120&gt;180,J120&gt;=300000),"High Value At Risk",IF(DATE(2026,6,30)-G120&lt;=90,"New Accounts",IF(AND(L120&lt;=120,I120=1),"Promising",IF(L120&lt;=240,"Needs Nurture","Dormant"))))))</x:f>
        <x:v>Loyal Growth</x:v>
      </x:c>
      <x:c r="R120" s="7" t="str">
        <x:f>IF(DATE(2026,6,30)-G120&lt;=90,"New",IF(AND(L120&lt;=120,I120&gt;=2),"Active",IF(I120=1,"One-time",IF(L120&lt;=240,"At Risk","Lapsed"))))</x:f>
        <x:v>Active</x:v>
      </x:c>
      <x:c r="S120" s="15" t="str">
        <x:f>IF(Q120="Champions","Invite to advisory program and cross-sell service plans",IF(Q120="Loyal Growth","Prioritize expansion offer and product education",IF(Q120="High Value At Risk","Assign sales recovery outreach within 14 days",IF(Q120="New Accounts","Launch 90-day onboarding and adoption sequence",IF(Q120="Promising","Nurture second purchase with use-case content",IF(Q120="Needs Nurture","Run product-fit review and re-engagement sequence","Move to low-frequency win-back program"))))))</x:f>
        <x:v>Prioritize expansion offer and product education</x:v>
      </x:c>
      <x:c r="T120" s="1"/>
      <x:c r="U120" s="1"/>
      <x:c r="V120" s="1"/>
      <x:c r="W120" s="1"/>
      <x:c r="X120" s="1"/>
      <x:c r="Y120" s="1"/>
      <x:c r="Z120" s="1"/>
    </x:row>
    <x:row r="121">
      <x:c r="A121" s="7" t="str">
        <x:v>ACC-0120</x:v>
      </x:c>
      <x:c r="B121" s="7" t="str">
        <x:v>Apex Brands 120</x:v>
      </x:c>
      <x:c r="C121" s="7" t="str">
        <x:v>Midwest</x:v>
      </x:c>
      <x:c r="D121" s="7" t="str">
        <x:v>Contract Packaging</x:v>
      </x:c>
      <x:c r="E121" s="7" t="str">
        <x:v>Mid-market</x:v>
      </x:c>
      <x:c r="F121" s="7" t="str">
        <x:v>Partner Referral</x:v>
      </x:c>
      <x:c r="G121" s="8" t="n">
        <x:v>46052</x:v>
      </x:c>
      <x:c r="H121" s="8" t="n">
        <x:v>46201</x:v>
      </x:c>
      <x:c r="I121" s="9" t="n">
        <x:v>3</x:v>
      </x:c>
      <x:c r="J121" s="10" t="n">
        <x:v>75100</x:v>
      </x:c>
      <x:c r="K121" s="10" t="n">
        <x:f>J121/I121</x:f>
        <x:v>25033.333333333332</x:v>
      </x:c>
      <x:c r="L121" s="9" t="n">
        <x:f>DATE(2026,6,30)-H121</x:f>
        <x:v>2</x:v>
      </x:c>
      <x:c r="M121" s="9" t="n">
        <x:f>IF(L121&lt;=60,5,IF(L121&lt;=120,4,IF(L121&lt;=180,3,IF(L121&lt;=240,2,1))))</x:f>
        <x:v>5</x:v>
      </x:c>
      <x:c r="N121" s="9" t="n">
        <x:f>IF(I121&gt;=6,5,IF(I121&gt;=4,4,IF(I121=3,3,IF(I121=2,2,1))))</x:f>
        <x:v>3</x:v>
      </x:c>
      <x:c r="O121" s="9" t="n">
        <x:f>IF(J121&gt;=500000,5,IF(J121&gt;=300000,4,IF(J121&gt;=175000,3,IF(J121&gt;=75000,2,1))))</x:f>
        <x:v>2</x:v>
      </x:c>
      <x:c r="P121" s="7" t="str">
        <x:f>M121&amp;N121&amp;O121</x:f>
        <x:v>532</x:v>
      </x:c>
      <x:c r="Q121" s="7" t="str">
        <x:f>IF(AND(L121&lt;=60,I121&gt;=5,J121&gt;=300000),"Champions",IF(AND(L121&lt;=120,I121&gt;=3),"Loyal Growth",IF(AND(L121&gt;180,J121&gt;=300000),"High Value At Risk",IF(DATE(2026,6,30)-G121&lt;=90,"New Accounts",IF(AND(L121&lt;=120,I121=1),"Promising",IF(L121&lt;=240,"Needs Nurture","Dormant"))))))</x:f>
        <x:v>Loyal Growth</x:v>
      </x:c>
      <x:c r="R121" s="7" t="str">
        <x:f>IF(DATE(2026,6,30)-G121&lt;=90,"New",IF(AND(L121&lt;=120,I121&gt;=2),"Active",IF(I121=1,"One-time",IF(L121&lt;=240,"At Risk","Lapsed"))))</x:f>
        <x:v>Active</x:v>
      </x:c>
      <x:c r="S121" s="15" t="str">
        <x:f>IF(Q121="Champions","Invite to advisory program and cross-sell service plans",IF(Q121="Loyal Growth","Prioritize expansion offer and product education",IF(Q121="High Value At Risk","Assign sales recovery outreach within 14 days",IF(Q121="New Accounts","Launch 90-day onboarding and adoption sequence",IF(Q121="Promising","Nurture second purchase with use-case content",IF(Q121="Needs Nurture","Run product-fit review and re-engagement sequence","Move to low-frequency win-back program"))))))</x:f>
        <x:v>Prioritize expansion offer and product education</x:v>
      </x:c>
      <x:c r="T121" s="1"/>
      <x:c r="U121" s="1"/>
      <x:c r="V121" s="1"/>
      <x:c r="W121" s="1"/>
      <x:c r="X121" s="1"/>
      <x:c r="Y121" s="1"/>
      <x:c r="Z121" s="1"/>
    </x:row>
    <x:row r="122">
      <x:c r="A122" s="7" t="str">
        <x:v>ACC-0121</x:v>
      </x:c>
      <x:c r="B122" s="7" t="str">
        <x:v>Frontier Packaging 121</x:v>
      </x:c>
      <x:c r="C122" s="7" t="str">
        <x:v>Midwest</x:v>
      </x:c>
      <x:c r="D122" s="7" t="str">
        <x:v>Consumer Goods</x:v>
      </x:c>
      <x:c r="E122" s="7" t="str">
        <x:v>Small</x:v>
      </x:c>
      <x:c r="F122" s="7" t="str">
        <x:v>LinkedIn</x:v>
      </x:c>
      <x:c r="G122" s="8" t="n">
        <x:v>45454</x:v>
      </x:c>
      <x:c r="H122" s="8" t="n">
        <x:v>45980</x:v>
      </x:c>
      <x:c r="I122" s="9" t="n">
        <x:v>3</x:v>
      </x:c>
      <x:c r="J122" s="10" t="n">
        <x:v>310600</x:v>
      </x:c>
      <x:c r="K122" s="10" t="n">
        <x:f>J122/I122</x:f>
        <x:v>103533.33333333333</x:v>
      </x:c>
      <x:c r="L122" s="9" t="n">
        <x:f>DATE(2026,6,30)-H122</x:f>
        <x:v>223</x:v>
      </x:c>
      <x:c r="M122" s="9" t="n">
        <x:f>IF(L122&lt;=60,5,IF(L122&lt;=120,4,IF(L122&lt;=180,3,IF(L122&lt;=240,2,1))))</x:f>
        <x:v>2</x:v>
      </x:c>
      <x:c r="N122" s="9" t="n">
        <x:f>IF(I122&gt;=6,5,IF(I122&gt;=4,4,IF(I122=3,3,IF(I122=2,2,1))))</x:f>
        <x:v>3</x:v>
      </x:c>
      <x:c r="O122" s="9" t="n">
        <x:f>IF(J122&gt;=500000,5,IF(J122&gt;=300000,4,IF(J122&gt;=175000,3,IF(J122&gt;=75000,2,1))))</x:f>
        <x:v>4</x:v>
      </x:c>
      <x:c r="P122" s="7" t="str">
        <x:f>M122&amp;N122&amp;O122</x:f>
        <x:v>234</x:v>
      </x:c>
      <x:c r="Q122" s="7" t="str">
        <x:f>IF(AND(L122&lt;=60,I122&gt;=5,J122&gt;=300000),"Champions",IF(AND(L122&lt;=120,I122&gt;=3),"Loyal Growth",IF(AND(L122&gt;180,J122&gt;=300000),"High Value At Risk",IF(DATE(2026,6,30)-G122&lt;=90,"New Accounts",IF(AND(L122&lt;=120,I122=1),"Promising",IF(L122&lt;=240,"Needs Nurture","Dormant"))))))</x:f>
        <x:v>High Value At Risk</x:v>
      </x:c>
      <x:c r="R122" s="7" t="str">
        <x:f>IF(DATE(2026,6,30)-G122&lt;=90,"New",IF(AND(L122&lt;=120,I122&gt;=2),"Active",IF(I122=1,"One-time",IF(L122&lt;=240,"At Risk","Lapsed"))))</x:f>
        <x:v>At Risk</x:v>
      </x:c>
      <x:c r="S122" s="15" t="str">
        <x:f>IF(Q122="Champions","Invite to advisory program and cross-sell service plans",IF(Q122="Loyal Growth","Prioritize expansion offer and product education",IF(Q122="High Value At Risk","Assign sales recovery outreach within 14 days",IF(Q122="New Accounts","Launch 90-day onboarding and adoption sequence",IF(Q122="Promising","Nurture second purchase with use-case content",IF(Q122="Needs Nurture","Run product-fit review and re-engagement sequence","Move to low-frequency win-back program"))))))</x:f>
        <x:v>Assign sales recovery outreach within 14 days</x:v>
      </x:c>
      <x:c r="T122" s="1"/>
      <x:c r="U122" s="1"/>
      <x:c r="V122" s="1"/>
      <x:c r="W122" s="1"/>
      <x:c r="X122" s="1"/>
      <x:c r="Y122" s="1"/>
      <x:c r="Z122" s="1"/>
    </x:row>
    <x:row r="123">
      <x:c r="A123" s="7" t="str">
        <x:v>ACC-0122</x:v>
      </x:c>
      <x:c r="B123" s="7" t="str">
        <x:v>BlueRiver Foods 122</x:v>
      </x:c>
      <x:c r="C123" s="7" t="str">
        <x:v>Midwest</x:v>
      </x:c>
      <x:c r="D123" s="7" t="str">
        <x:v>Contract Packaging</x:v>
      </x:c>
      <x:c r="E123" s="7" t="str">
        <x:v>Small</x:v>
      </x:c>
      <x:c r="F123" s="7" t="str">
        <x:v>Google Search</x:v>
      </x:c>
      <x:c r="G123" s="8" t="n">
        <x:v>45541</x:v>
      </x:c>
      <x:c r="H123" s="8" t="n">
        <x:v>45541</x:v>
      </x:c>
      <x:c r="I123" s="9" t="n">
        <x:v>1</x:v>
      </x:c>
      <x:c r="J123" s="10" t="n">
        <x:v>82500</x:v>
      </x:c>
      <x:c r="K123" s="10" t="n">
        <x:f>J123/I123</x:f>
        <x:v>82500</x:v>
      </x:c>
      <x:c r="L123" s="9" t="n">
        <x:f>DATE(2026,6,30)-H123</x:f>
        <x:v>662</x:v>
      </x:c>
      <x:c r="M123" s="9" t="n">
        <x:f>IF(L123&lt;=60,5,IF(L123&lt;=120,4,IF(L123&lt;=180,3,IF(L123&lt;=240,2,1))))</x:f>
        <x:v>1</x:v>
      </x:c>
      <x:c r="N123" s="9" t="n">
        <x:f>IF(I123&gt;=6,5,IF(I123&gt;=4,4,IF(I123=3,3,IF(I123=2,2,1))))</x:f>
        <x:v>1</x:v>
      </x:c>
      <x:c r="O123" s="9" t="n">
        <x:f>IF(J123&gt;=500000,5,IF(J123&gt;=300000,4,IF(J123&gt;=175000,3,IF(J123&gt;=75000,2,1))))</x:f>
        <x:v>2</x:v>
      </x:c>
      <x:c r="P123" s="7" t="str">
        <x:f>M123&amp;N123&amp;O123</x:f>
        <x:v>112</x:v>
      </x:c>
      <x:c r="Q123" s="7" t="str">
        <x:f>IF(AND(L123&lt;=60,I123&gt;=5,J123&gt;=300000),"Champions",IF(AND(L123&lt;=120,I123&gt;=3),"Loyal Growth",IF(AND(L123&gt;180,J123&gt;=300000),"High Value At Risk",IF(DATE(2026,6,30)-G123&lt;=90,"New Accounts",IF(AND(L123&lt;=120,I123=1),"Promising",IF(L123&lt;=240,"Needs Nurture","Dormant"))))))</x:f>
        <x:v>Dormant</x:v>
      </x:c>
      <x:c r="R123" s="7" t="str">
        <x:f>IF(DATE(2026,6,30)-G123&lt;=90,"New",IF(AND(L123&lt;=120,I123&gt;=2),"Active",IF(I123=1,"One-time",IF(L123&lt;=240,"At Risk","Lapsed"))))</x:f>
        <x:v>One-time</x:v>
      </x:c>
      <x:c r="S123" s="15" t="str">
        <x:f>IF(Q123="Champions","Invite to advisory program and cross-sell service plans",IF(Q123="Loyal Growth","Prioritize expansion offer and product education",IF(Q123="High Value At Risk","Assign sales recovery outreach within 14 days",IF(Q123="New Accounts","Launch 90-day onboarding and adoption sequence",IF(Q123="Promising","Nurture second purchase with use-case content",IF(Q123="Needs Nurture","Run product-fit review and re-engagement sequence","Move to low-frequency win-back program"))))))</x:f>
        <x:v>Move to low-frequency win-back program</x:v>
      </x:c>
      <x:c r="T123" s="1"/>
      <x:c r="U123" s="1"/>
      <x:c r="V123" s="1"/>
      <x:c r="W123" s="1"/>
      <x:c r="X123" s="1"/>
      <x:c r="Y123" s="1"/>
      <x:c r="Z123" s="1"/>
    </x:row>
    <x:row r="124">
      <x:c r="A124" s="7" t="str">
        <x:v>ACC-0123</x:v>
      </x:c>
      <x:c r="B124" s="7" t="str">
        <x:v>Titan Packaging 123</x:v>
      </x:c>
      <x:c r="C124" s="7" t="str">
        <x:v>Northeast</x:v>
      </x:c>
      <x:c r="D124" s="7" t="str">
        <x:v>Contract Packaging</x:v>
      </x:c>
      <x:c r="E124" s="7" t="str">
        <x:v>Small</x:v>
      </x:c>
      <x:c r="F124" s="7" t="str">
        <x:v>LinkedIn</x:v>
      </x:c>
      <x:c r="G124" s="8" t="n">
        <x:v>45507</x:v>
      </x:c>
      <x:c r="H124" s="8" t="n">
        <x:v>45592</x:v>
      </x:c>
      <x:c r="I124" s="9" t="n">
        <x:v>2</x:v>
      </x:c>
      <x:c r="J124" s="10" t="n">
        <x:v>217200</x:v>
      </x:c>
      <x:c r="K124" s="10" t="n">
        <x:f>J124/I124</x:f>
        <x:v>108600</x:v>
      </x:c>
      <x:c r="L124" s="9" t="n">
        <x:f>DATE(2026,6,30)-H124</x:f>
        <x:v>611</x:v>
      </x:c>
      <x:c r="M124" s="9" t="n">
        <x:f>IF(L124&lt;=60,5,IF(L124&lt;=120,4,IF(L124&lt;=180,3,IF(L124&lt;=240,2,1))))</x:f>
        <x:v>1</x:v>
      </x:c>
      <x:c r="N124" s="9" t="n">
        <x:f>IF(I124&gt;=6,5,IF(I124&gt;=4,4,IF(I124=3,3,IF(I124=2,2,1))))</x:f>
        <x:v>2</x:v>
      </x:c>
      <x:c r="O124" s="9" t="n">
        <x:f>IF(J124&gt;=500000,5,IF(J124&gt;=300000,4,IF(J124&gt;=175000,3,IF(J124&gt;=75000,2,1))))</x:f>
        <x:v>3</x:v>
      </x:c>
      <x:c r="P124" s="7" t="str">
        <x:f>M124&amp;N124&amp;O124</x:f>
        <x:v>123</x:v>
      </x:c>
      <x:c r="Q124" s="7" t="str">
        <x:f>IF(AND(L124&lt;=60,I124&gt;=5,J124&gt;=300000),"Champions",IF(AND(L124&lt;=120,I124&gt;=3),"Loyal Growth",IF(AND(L124&gt;180,J124&gt;=300000),"High Value At Risk",IF(DATE(2026,6,30)-G124&lt;=90,"New Accounts",IF(AND(L124&lt;=120,I124=1),"Promising",IF(L124&lt;=240,"Needs Nurture","Dormant"))))))</x:f>
        <x:v>Dormant</x:v>
      </x:c>
      <x:c r="R124" s="7" t="str">
        <x:f>IF(DATE(2026,6,30)-G124&lt;=90,"New",IF(AND(L124&lt;=120,I124&gt;=2),"Active",IF(I124=1,"One-time",IF(L124&lt;=240,"At Risk","Lapsed"))))</x:f>
        <x:v>Lapsed</x:v>
      </x:c>
      <x:c r="S124" s="15" t="str">
        <x:f>IF(Q124="Champions","Invite to advisory program and cross-sell service plans",IF(Q124="Loyal Growth","Prioritize expansion offer and product education",IF(Q124="High Value At Risk","Assign sales recovery outreach within 14 days",IF(Q124="New Accounts","Launch 90-day onboarding and adoption sequence",IF(Q124="Promising","Nurture second purchase with use-case content",IF(Q124="Needs Nurture","Run product-fit review and re-engagement sequence","Move to low-frequency win-back program"))))))</x:f>
        <x:v>Move to low-frequency win-back program</x:v>
      </x:c>
      <x:c r="T124" s="1"/>
      <x:c r="U124" s="1"/>
      <x:c r="V124" s="1"/>
      <x:c r="W124" s="1"/>
      <x:c r="X124" s="1"/>
      <x:c r="Y124" s="1"/>
      <x:c r="Z124" s="1"/>
    </x:row>
    <x:row r="125">
      <x:c r="A125" s="7" t="str">
        <x:v>ACC-0124</x:v>
      </x:c>
      <x:c r="B125" s="7" t="str">
        <x:v>Harbor Products 124</x:v>
      </x:c>
      <x:c r="C125" s="7" t="str">
        <x:v>Midwest</x:v>
      </x:c>
      <x:c r="D125" s="7" t="str">
        <x:v>Pharmaceuticals</x:v>
      </x:c>
      <x:c r="E125" s="7" t="str">
        <x:v>Mid-market</x:v>
      </x:c>
      <x:c r="F125" s="7" t="str">
        <x:v>LinkedIn</x:v>
      </x:c>
      <x:c r="G125" s="8" t="n">
        <x:v>45580</x:v>
      </x:c>
      <x:c r="H125" s="8" t="n">
        <x:v>45848</x:v>
      </x:c>
      <x:c r="I125" s="9" t="n">
        <x:v>5</x:v>
      </x:c>
      <x:c r="J125" s="10" t="n">
        <x:v>577500</x:v>
      </x:c>
      <x:c r="K125" s="10" t="n">
        <x:f>J125/I125</x:f>
        <x:v>115500</x:v>
      </x:c>
      <x:c r="L125" s="9" t="n">
        <x:f>DATE(2026,6,30)-H125</x:f>
        <x:v>355</x:v>
      </x:c>
      <x:c r="M125" s="9" t="n">
        <x:f>IF(L125&lt;=60,5,IF(L125&lt;=120,4,IF(L125&lt;=180,3,IF(L125&lt;=240,2,1))))</x:f>
        <x:v>1</x:v>
      </x:c>
      <x:c r="N125" s="9" t="n">
        <x:f>IF(I125&gt;=6,5,IF(I125&gt;=4,4,IF(I125=3,3,IF(I125=2,2,1))))</x:f>
        <x:v>4</x:v>
      </x:c>
      <x:c r="O125" s="9" t="n">
        <x:f>IF(J125&gt;=500000,5,IF(J125&gt;=300000,4,IF(J125&gt;=175000,3,IF(J125&gt;=75000,2,1))))</x:f>
        <x:v>5</x:v>
      </x:c>
      <x:c r="P125" s="7" t="str">
        <x:f>M125&amp;N125&amp;O125</x:f>
        <x:v>145</x:v>
      </x:c>
      <x:c r="Q125" s="7" t="str">
        <x:f>IF(AND(L125&lt;=60,I125&gt;=5,J125&gt;=300000),"Champions",IF(AND(L125&lt;=120,I125&gt;=3),"Loyal Growth",IF(AND(L125&gt;180,J125&gt;=300000),"High Value At Risk",IF(DATE(2026,6,30)-G125&lt;=90,"New Accounts",IF(AND(L125&lt;=120,I125=1),"Promising",IF(L125&lt;=240,"Needs Nurture","Dormant"))))))</x:f>
        <x:v>High Value At Risk</x:v>
      </x:c>
      <x:c r="R125" s="7" t="str">
        <x:f>IF(DATE(2026,6,30)-G125&lt;=90,"New",IF(AND(L125&lt;=120,I125&gt;=2),"Active",IF(I125=1,"One-time",IF(L125&lt;=240,"At Risk","Lapsed"))))</x:f>
        <x:v>Lapsed</x:v>
      </x:c>
      <x:c r="S125" s="15" t="str">
        <x:f>IF(Q125="Champions","Invite to advisory program and cross-sell service plans",IF(Q125="Loyal Growth","Prioritize expansion offer and product education",IF(Q125="High Value At Risk","Assign sales recovery outreach within 14 days",IF(Q125="New Accounts","Launch 90-day onboarding and adoption sequence",IF(Q125="Promising","Nurture second purchase with use-case content",IF(Q125="Needs Nurture","Run product-fit review and re-engagement sequence","Move to low-frequency win-back program"))))))</x:f>
        <x:v>Assign sales recovery outreach within 14 days</x:v>
      </x:c>
      <x:c r="T125" s="1"/>
      <x:c r="U125" s="1"/>
      <x:c r="V125" s="1"/>
      <x:c r="W125" s="1"/>
      <x:c r="X125" s="1"/>
      <x:c r="Y125" s="1"/>
      <x:c r="Z125" s="1"/>
    </x:row>
    <x:row r="126">
      <x:c r="A126" s="7" t="str">
        <x:v>ACC-0125</x:v>
      </x:c>
      <x:c r="B126" s="7" t="str">
        <x:v>Frontier Solutions 125</x:v>
      </x:c>
      <x:c r="C126" s="7" t="str">
        <x:v>Northeast</x:v>
      </x:c>
      <x:c r="D126" s="7" t="str">
        <x:v>Contract Packaging</x:v>
      </x:c>
      <x:c r="E126" s="7" t="str">
        <x:v>Enterprise</x:v>
      </x:c>
      <x:c r="F126" s="7" t="str">
        <x:v>Email</x:v>
      </x:c>
      <x:c r="G126" s="8" t="n">
        <x:v>45458</x:v>
      </x:c>
      <x:c r="H126" s="8" t="n">
        <x:v>46129</x:v>
      </x:c>
      <x:c r="I126" s="9" t="n">
        <x:v>5</x:v>
      </x:c>
      <x:c r="J126" s="10" t="n">
        <x:v>1086700</x:v>
      </x:c>
      <x:c r="K126" s="10" t="n">
        <x:f>J126/I126</x:f>
        <x:v>217340</x:v>
      </x:c>
      <x:c r="L126" s="9" t="n">
        <x:f>DATE(2026,6,30)-H126</x:f>
        <x:v>74</x:v>
      </x:c>
      <x:c r="M126" s="9" t="n">
        <x:f>IF(L126&lt;=60,5,IF(L126&lt;=120,4,IF(L126&lt;=180,3,IF(L126&lt;=240,2,1))))</x:f>
        <x:v>4</x:v>
      </x:c>
      <x:c r="N126" s="9" t="n">
        <x:f>IF(I126&gt;=6,5,IF(I126&gt;=4,4,IF(I126=3,3,IF(I126=2,2,1))))</x:f>
        <x:v>4</x:v>
      </x:c>
      <x:c r="O126" s="9" t="n">
        <x:f>IF(J126&gt;=500000,5,IF(J126&gt;=300000,4,IF(J126&gt;=175000,3,IF(J126&gt;=75000,2,1))))</x:f>
        <x:v>5</x:v>
      </x:c>
      <x:c r="P126" s="7" t="str">
        <x:f>M126&amp;N126&amp;O126</x:f>
        <x:v>445</x:v>
      </x:c>
      <x:c r="Q126" s="7" t="str">
        <x:f>IF(AND(L126&lt;=60,I126&gt;=5,J126&gt;=300000),"Champions",IF(AND(L126&lt;=120,I126&gt;=3),"Loyal Growth",IF(AND(L126&gt;180,J126&gt;=300000),"High Value At Risk",IF(DATE(2026,6,30)-G126&lt;=90,"New Accounts",IF(AND(L126&lt;=120,I126=1),"Promising",IF(L126&lt;=240,"Needs Nurture","Dormant"))))))</x:f>
        <x:v>Loyal Growth</x:v>
      </x:c>
      <x:c r="R126" s="7" t="str">
        <x:f>IF(DATE(2026,6,30)-G126&lt;=90,"New",IF(AND(L126&lt;=120,I126&gt;=2),"Active",IF(I126=1,"One-time",IF(L126&lt;=240,"At Risk","Lapsed"))))</x:f>
        <x:v>Active</x:v>
      </x:c>
      <x:c r="S126" s="15" t="str">
        <x:f>IF(Q126="Champions","Invite to advisory program and cross-sell service plans",IF(Q126="Loyal Growth","Prioritize expansion offer and product education",IF(Q126="High Value At Risk","Assign sales recovery outreach within 14 days",IF(Q126="New Accounts","Launch 90-day onboarding and adoption sequence",IF(Q126="Promising","Nurture second purchase with use-case content",IF(Q126="Needs Nurture","Run product-fit review and re-engagement sequence","Move to low-frequency win-back program"))))))</x:f>
        <x:v>Prioritize expansion offer and product education</x:v>
      </x:c>
      <x:c r="T126" s="1"/>
      <x:c r="U126" s="1"/>
      <x:c r="V126" s="1"/>
      <x:c r="W126" s="1"/>
      <x:c r="X126" s="1"/>
      <x:c r="Y126" s="1"/>
      <x:c r="Z126" s="1"/>
    </x:row>
    <x:row r="127">
      <x:c r="A127" s="7" t="str">
        <x:v>ACC-0126</x:v>
      </x:c>
      <x:c r="B127" s="7" t="str">
        <x:v>Summit Products 126</x:v>
      </x:c>
      <x:c r="C127" s="7" t="str">
        <x:v>Northeast</x:v>
      </x:c>
      <x:c r="D127" s="7" t="str">
        <x:v>Food &amp; Beverage</x:v>
      </x:c>
      <x:c r="E127" s="7" t="str">
        <x:v>Enterprise</x:v>
      </x:c>
      <x:c r="F127" s="7" t="str">
        <x:v>Email</x:v>
      </x:c>
      <x:c r="G127" s="8" t="n">
        <x:v>45828</x:v>
      </x:c>
      <x:c r="H127" s="8" t="n">
        <x:v>46179</x:v>
      </x:c>
      <x:c r="I127" s="9" t="n">
        <x:v>6</x:v>
      </x:c>
      <x:c r="J127" s="10" t="n">
        <x:v>1011500</x:v>
      </x:c>
      <x:c r="K127" s="10" t="n">
        <x:f>J127/I127</x:f>
        <x:v>168583.33333333334</x:v>
      </x:c>
      <x:c r="L127" s="9" t="n">
        <x:f>DATE(2026,6,30)-H127</x:f>
        <x:v>24</x:v>
      </x:c>
      <x:c r="M127" s="9" t="n">
        <x:f>IF(L127&lt;=60,5,IF(L127&lt;=120,4,IF(L127&lt;=180,3,IF(L127&lt;=240,2,1))))</x:f>
        <x:v>5</x:v>
      </x:c>
      <x:c r="N127" s="9" t="n">
        <x:f>IF(I127&gt;=6,5,IF(I127&gt;=4,4,IF(I127=3,3,IF(I127=2,2,1))))</x:f>
        <x:v>5</x:v>
      </x:c>
      <x:c r="O127" s="9" t="n">
        <x:f>IF(J127&gt;=500000,5,IF(J127&gt;=300000,4,IF(J127&gt;=175000,3,IF(J127&gt;=75000,2,1))))</x:f>
        <x:v>5</x:v>
      </x:c>
      <x:c r="P127" s="7" t="str">
        <x:f>M127&amp;N127&amp;O127</x:f>
        <x:v>555</x:v>
      </x:c>
      <x:c r="Q127" s="7" t="str">
        <x:f>IF(AND(L127&lt;=60,I127&gt;=5,J127&gt;=300000),"Champions",IF(AND(L127&lt;=120,I127&gt;=3),"Loyal Growth",IF(AND(L127&gt;180,J127&gt;=300000),"High Value At Risk",IF(DATE(2026,6,30)-G127&lt;=90,"New Accounts",IF(AND(L127&lt;=120,I127=1),"Promising",IF(L127&lt;=240,"Needs Nurture","Dormant"))))))</x:f>
        <x:v>Champions</x:v>
      </x:c>
      <x:c r="R127" s="7" t="str">
        <x:f>IF(DATE(2026,6,30)-G127&lt;=90,"New",IF(AND(L127&lt;=120,I127&gt;=2),"Active",IF(I127=1,"One-time",IF(L127&lt;=240,"At Risk","Lapsed"))))</x:f>
        <x:v>Active</x:v>
      </x:c>
      <x:c r="S127" s="15" t="str">
        <x:f>IF(Q127="Champions","Invite to advisory program and cross-sell service plans",IF(Q127="Loyal Growth","Prioritize expansion offer and product education",IF(Q127="High Value At Risk","Assign sales recovery outreach within 14 days",IF(Q127="New Accounts","Launch 90-day onboarding and adoption sequence",IF(Q127="Promising","Nurture second purchase with use-case content",IF(Q127="Needs Nurture","Run product-fit review and re-engagement sequence","Move to low-frequency win-back program"))))))</x:f>
        <x:v>Invite to advisory program and cross-sell service plans</x:v>
      </x:c>
      <x:c r="T127" s="1"/>
      <x:c r="U127" s="1"/>
      <x:c r="V127" s="1"/>
      <x:c r="W127" s="1"/>
      <x:c r="X127" s="1"/>
      <x:c r="Y127" s="1"/>
      <x:c r="Z127" s="1"/>
    </x:row>
    <x:row r="128">
      <x:c r="A128" s="7" t="str">
        <x:v>ACC-0127</x:v>
      </x:c>
      <x:c r="B128" s="7" t="str">
        <x:v>Apex Industries 127</x:v>
      </x:c>
      <x:c r="C128" s="7" t="str">
        <x:v>Northeast</x:v>
      </x:c>
      <x:c r="D128" s="7" t="str">
        <x:v>Food &amp; Beverage</x:v>
      </x:c>
      <x:c r="E128" s="7" t="str">
        <x:v>Mid-market</x:v>
      </x:c>
      <x:c r="F128" s="7" t="str">
        <x:v>Google Search</x:v>
      </x:c>
      <x:c r="G128" s="8" t="n">
        <x:v>45932</x:v>
      </x:c>
      <x:c r="H128" s="8" t="n">
        <x:v>45972</x:v>
      </x:c>
      <x:c r="I128" s="9" t="n">
        <x:v>4</x:v>
      </x:c>
      <x:c r="J128" s="10" t="n">
        <x:v>501400</x:v>
      </x:c>
      <x:c r="K128" s="10" t="n">
        <x:f>J128/I128</x:f>
        <x:v>125350</x:v>
      </x:c>
      <x:c r="L128" s="9" t="n">
        <x:f>DATE(2026,6,30)-H128</x:f>
        <x:v>231</x:v>
      </x:c>
      <x:c r="M128" s="9" t="n">
        <x:f>IF(L128&lt;=60,5,IF(L128&lt;=120,4,IF(L128&lt;=180,3,IF(L128&lt;=240,2,1))))</x:f>
        <x:v>2</x:v>
      </x:c>
      <x:c r="N128" s="9" t="n">
        <x:f>IF(I128&gt;=6,5,IF(I128&gt;=4,4,IF(I128=3,3,IF(I128=2,2,1))))</x:f>
        <x:v>4</x:v>
      </x:c>
      <x:c r="O128" s="9" t="n">
        <x:f>IF(J128&gt;=500000,5,IF(J128&gt;=300000,4,IF(J128&gt;=175000,3,IF(J128&gt;=75000,2,1))))</x:f>
        <x:v>5</x:v>
      </x:c>
      <x:c r="P128" s="7" t="str">
        <x:f>M128&amp;N128&amp;O128</x:f>
        <x:v>245</x:v>
      </x:c>
      <x:c r="Q128" s="7" t="str">
        <x:f>IF(AND(L128&lt;=60,I128&gt;=5,J128&gt;=300000),"Champions",IF(AND(L128&lt;=120,I128&gt;=3),"Loyal Growth",IF(AND(L128&gt;180,J128&gt;=300000),"High Value At Risk",IF(DATE(2026,6,30)-G128&lt;=90,"New Accounts",IF(AND(L128&lt;=120,I128=1),"Promising",IF(L128&lt;=240,"Needs Nurture","Dormant"))))))</x:f>
        <x:v>High Value At Risk</x:v>
      </x:c>
      <x:c r="R128" s="7" t="str">
        <x:f>IF(DATE(2026,6,30)-G128&lt;=90,"New",IF(AND(L128&lt;=120,I128&gt;=2),"Active",IF(I128=1,"One-time",IF(L128&lt;=240,"At Risk","Lapsed"))))</x:f>
        <x:v>At Risk</x:v>
      </x:c>
      <x:c r="S128" s="15" t="str">
        <x:f>IF(Q128="Champions","Invite to advisory program and cross-sell service plans",IF(Q128="Loyal Growth","Prioritize expansion offer and product education",IF(Q128="High Value At Risk","Assign sales recovery outreach within 14 days",IF(Q128="New Accounts","Launch 90-day onboarding and adoption sequence",IF(Q128="Promising","Nurture second purchase with use-case content",IF(Q128="Needs Nurture","Run product-fit review and re-engagement sequence","Move to low-frequency win-back program"))))))</x:f>
        <x:v>Assign sales recovery outreach within 14 days</x:v>
      </x:c>
      <x:c r="T128" s="1"/>
      <x:c r="U128" s="1"/>
      <x:c r="V128" s="1"/>
      <x:c r="W128" s="1"/>
      <x:c r="X128" s="1"/>
      <x:c r="Y128" s="1"/>
      <x:c r="Z128" s="1"/>
    </x:row>
    <x:row r="129">
      <x:c r="A129" s="7" t="str">
        <x:v>ACC-0128</x:v>
      </x:c>
      <x:c r="B129" s="7" t="str">
        <x:v>Beacon Labs 128</x:v>
      </x:c>
      <x:c r="C129" s="7" t="str">
        <x:v>West</x:v>
      </x:c>
      <x:c r="D129" s="7" t="str">
        <x:v>Contract Packaging</x:v>
      </x:c>
      <x:c r="E129" s="7" t="str">
        <x:v>Mid-market</x:v>
      </x:c>
      <x:c r="F129" s="7" t="str">
        <x:v>Trade Show</x:v>
      </x:c>
      <x:c r="G129" s="8" t="n">
        <x:v>45338</x:v>
      </x:c>
      <x:c r="H129" s="8" t="n">
        <x:v>46124</x:v>
      </x:c>
      <x:c r="I129" s="9" t="n">
        <x:v>5</x:v>
      </x:c>
      <x:c r="J129" s="10" t="n">
        <x:v>485500</x:v>
      </x:c>
      <x:c r="K129" s="10" t="n">
        <x:f>J129/I129</x:f>
        <x:v>97100</x:v>
      </x:c>
      <x:c r="L129" s="9" t="n">
        <x:f>DATE(2026,6,30)-H129</x:f>
        <x:v>79</x:v>
      </x:c>
      <x:c r="M129" s="9" t="n">
        <x:f>IF(L129&lt;=60,5,IF(L129&lt;=120,4,IF(L129&lt;=180,3,IF(L129&lt;=240,2,1))))</x:f>
        <x:v>4</x:v>
      </x:c>
      <x:c r="N129" s="9" t="n">
        <x:f>IF(I129&gt;=6,5,IF(I129&gt;=4,4,IF(I129=3,3,IF(I129=2,2,1))))</x:f>
        <x:v>4</x:v>
      </x:c>
      <x:c r="O129" s="9" t="n">
        <x:f>IF(J129&gt;=500000,5,IF(J129&gt;=300000,4,IF(J129&gt;=175000,3,IF(J129&gt;=75000,2,1))))</x:f>
        <x:v>4</x:v>
      </x:c>
      <x:c r="P129" s="7" t="str">
        <x:f>M129&amp;N129&amp;O129</x:f>
        <x:v>444</x:v>
      </x:c>
      <x:c r="Q129" s="7" t="str">
        <x:f>IF(AND(L129&lt;=60,I129&gt;=5,J129&gt;=300000),"Champions",IF(AND(L129&lt;=120,I129&gt;=3),"Loyal Growth",IF(AND(L129&gt;180,J129&gt;=300000),"High Value At Risk",IF(DATE(2026,6,30)-G129&lt;=90,"New Accounts",IF(AND(L129&lt;=120,I129=1),"Promising",IF(L129&lt;=240,"Needs Nurture","Dormant"))))))</x:f>
        <x:v>Loyal Growth</x:v>
      </x:c>
      <x:c r="R129" s="7" t="str">
        <x:f>IF(DATE(2026,6,30)-G129&lt;=90,"New",IF(AND(L129&lt;=120,I129&gt;=2),"Active",IF(I129=1,"One-time",IF(L129&lt;=240,"At Risk","Lapsed"))))</x:f>
        <x:v>Active</x:v>
      </x:c>
      <x:c r="S129" s="15" t="str">
        <x:f>IF(Q129="Champions","Invite to advisory program and cross-sell service plans",IF(Q129="Loyal Growth","Prioritize expansion offer and product education",IF(Q129="High Value At Risk","Assign sales recovery outreach within 14 days",IF(Q129="New Accounts","Launch 90-day onboarding and adoption sequence",IF(Q129="Promising","Nurture second purchase with use-case content",IF(Q129="Needs Nurture","Run product-fit review and re-engagement sequence","Move to low-frequency win-back program"))))))</x:f>
        <x:v>Prioritize expansion offer and product education</x:v>
      </x:c>
      <x:c r="T129" s="1"/>
      <x:c r="U129" s="1"/>
      <x:c r="V129" s="1"/>
      <x:c r="W129" s="1"/>
      <x:c r="X129" s="1"/>
      <x:c r="Y129" s="1"/>
      <x:c r="Z129" s="1"/>
    </x:row>
    <x:row r="130">
      <x:c r="A130" s="7" t="str">
        <x:v>ACC-0129</x:v>
      </x:c>
      <x:c r="B130" s="7" t="str">
        <x:v>Titan Products 129</x:v>
      </x:c>
      <x:c r="C130" s="7" t="str">
        <x:v>West</x:v>
      </x:c>
      <x:c r="D130" s="7" t="str">
        <x:v>Contract Packaging</x:v>
      </x:c>
      <x:c r="E130" s="7" t="str">
        <x:v>Enterprise</x:v>
      </x:c>
      <x:c r="F130" s="7" t="str">
        <x:v>Email</x:v>
      </x:c>
      <x:c r="G130" s="8" t="n">
        <x:v>45686</x:v>
      </x:c>
      <x:c r="H130" s="8" t="n">
        <x:v>46037</x:v>
      </x:c>
      <x:c r="I130" s="9" t="n">
        <x:v>6</x:v>
      </x:c>
      <x:c r="J130" s="10" t="n">
        <x:v>850800</x:v>
      </x:c>
      <x:c r="K130" s="10" t="n">
        <x:f>J130/I130</x:f>
        <x:v>141800</x:v>
      </x:c>
      <x:c r="L130" s="9" t="n">
        <x:f>DATE(2026,6,30)-H130</x:f>
        <x:v>166</x:v>
      </x:c>
      <x:c r="M130" s="9" t="n">
        <x:f>IF(L130&lt;=60,5,IF(L130&lt;=120,4,IF(L130&lt;=180,3,IF(L130&lt;=240,2,1))))</x:f>
        <x:v>3</x:v>
      </x:c>
      <x:c r="N130" s="9" t="n">
        <x:f>IF(I130&gt;=6,5,IF(I130&gt;=4,4,IF(I130=3,3,IF(I130=2,2,1))))</x:f>
        <x:v>5</x:v>
      </x:c>
      <x:c r="O130" s="9" t="n">
        <x:f>IF(J130&gt;=500000,5,IF(J130&gt;=300000,4,IF(J130&gt;=175000,3,IF(J130&gt;=75000,2,1))))</x:f>
        <x:v>5</x:v>
      </x:c>
      <x:c r="P130" s="7" t="str">
        <x:f>M130&amp;N130&amp;O130</x:f>
        <x:v>355</x:v>
      </x:c>
      <x:c r="Q130" s="7" t="str">
        <x:f>IF(AND(L130&lt;=60,I130&gt;=5,J130&gt;=300000),"Champions",IF(AND(L130&lt;=120,I130&gt;=3),"Loyal Growth",IF(AND(L130&gt;180,J130&gt;=300000),"High Value At Risk",IF(DATE(2026,6,30)-G130&lt;=90,"New Accounts",IF(AND(L130&lt;=120,I130=1),"Promising",IF(L130&lt;=240,"Needs Nurture","Dormant"))))))</x:f>
        <x:v>Needs Nurture</x:v>
      </x:c>
      <x:c r="R130" s="7" t="str">
        <x:f>IF(DATE(2026,6,30)-G130&lt;=90,"New",IF(AND(L130&lt;=120,I130&gt;=2),"Active",IF(I130=1,"One-time",IF(L130&lt;=240,"At Risk","Lapsed"))))</x:f>
        <x:v>At Risk</x:v>
      </x:c>
      <x:c r="S130" s="15" t="str">
        <x:f>IF(Q130="Champions","Invite to advisory program and cross-sell service plans",IF(Q130="Loyal Growth","Prioritize expansion offer and product education",IF(Q130="High Value At Risk","Assign sales recovery outreach within 14 days",IF(Q130="New Accounts","Launch 90-day onboarding and adoption sequence",IF(Q130="Promising","Nurture second purchase with use-case content",IF(Q130="Needs Nurture","Run product-fit review and re-engagement sequence","Move to low-frequency win-back program"))))))</x:f>
        <x:v>Run product-fit review and re-engagement sequence</x:v>
      </x:c>
      <x:c r="T130" s="1"/>
      <x:c r="U130" s="1"/>
      <x:c r="V130" s="1"/>
      <x:c r="W130" s="1"/>
      <x:c r="X130" s="1"/>
      <x:c r="Y130" s="1"/>
      <x:c r="Z130" s="1"/>
    </x:row>
    <x:row r="131">
      <x:c r="A131" s="7" t="str">
        <x:v>ACC-0130</x:v>
      </x:c>
      <x:c r="B131" s="7" t="str">
        <x:v>Harbor Labs 130</x:v>
      </x:c>
      <x:c r="C131" s="7" t="str">
        <x:v>West</x:v>
      </x:c>
      <x:c r="D131" s="7" t="str">
        <x:v>Pharmaceuticals</x:v>
      </x:c>
      <x:c r="E131" s="7" t="str">
        <x:v>Small</x:v>
      </x:c>
      <x:c r="F131" s="7" t="str">
        <x:v>LinkedIn</x:v>
      </x:c>
      <x:c r="G131" s="8" t="n">
        <x:v>45755</x:v>
      </x:c>
      <x:c r="H131" s="8" t="n">
        <x:v>45988</x:v>
      </x:c>
      <x:c r="I131" s="9" t="n">
        <x:v>4</x:v>
      </x:c>
      <x:c r="J131" s="10" t="n">
        <x:v>236900</x:v>
      </x:c>
      <x:c r="K131" s="10" t="n">
        <x:f>J131/I131</x:f>
        <x:v>59225</x:v>
      </x:c>
      <x:c r="L131" s="9" t="n">
        <x:f>DATE(2026,6,30)-H131</x:f>
        <x:v>215</x:v>
      </x:c>
      <x:c r="M131" s="9" t="n">
        <x:f>IF(L131&lt;=60,5,IF(L131&lt;=120,4,IF(L131&lt;=180,3,IF(L131&lt;=240,2,1))))</x:f>
        <x:v>2</x:v>
      </x:c>
      <x:c r="N131" s="9" t="n">
        <x:f>IF(I131&gt;=6,5,IF(I131&gt;=4,4,IF(I131=3,3,IF(I131=2,2,1))))</x:f>
        <x:v>4</x:v>
      </x:c>
      <x:c r="O131" s="9" t="n">
        <x:f>IF(J131&gt;=500000,5,IF(J131&gt;=300000,4,IF(J131&gt;=175000,3,IF(J131&gt;=75000,2,1))))</x:f>
        <x:v>3</x:v>
      </x:c>
      <x:c r="P131" s="7" t="str">
        <x:f>M131&amp;N131&amp;O131</x:f>
        <x:v>243</x:v>
      </x:c>
      <x:c r="Q131" s="7" t="str">
        <x:f>IF(AND(L131&lt;=60,I131&gt;=5,J131&gt;=300000),"Champions",IF(AND(L131&lt;=120,I131&gt;=3),"Loyal Growth",IF(AND(L131&gt;180,J131&gt;=300000),"High Value At Risk",IF(DATE(2026,6,30)-G131&lt;=90,"New Accounts",IF(AND(L131&lt;=120,I131=1),"Promising",IF(L131&lt;=240,"Needs Nurture","Dormant"))))))</x:f>
        <x:v>Needs Nurture</x:v>
      </x:c>
      <x:c r="R131" s="7" t="str">
        <x:f>IF(DATE(2026,6,30)-G131&lt;=90,"New",IF(AND(L131&lt;=120,I131&gt;=2),"Active",IF(I131=1,"One-time",IF(L131&lt;=240,"At Risk","Lapsed"))))</x:f>
        <x:v>At Risk</x:v>
      </x:c>
      <x:c r="S131" s="15" t="str">
        <x:f>IF(Q131="Champions","Invite to advisory program and cross-sell service plans",IF(Q131="Loyal Growth","Prioritize expansion offer and product education",IF(Q131="High Value At Risk","Assign sales recovery outreach within 14 days",IF(Q131="New Accounts","Launch 90-day onboarding and adoption sequence",IF(Q131="Promising","Nurture second purchase with use-case content",IF(Q131="Needs Nurture","Run product-fit review and re-engagement sequence","Move to low-frequency win-back program"))))))</x:f>
        <x:v>Run product-fit review and re-engagement sequence</x:v>
      </x:c>
      <x:c r="T131" s="1"/>
      <x:c r="U131" s="1"/>
      <x:c r="V131" s="1"/>
      <x:c r="W131" s="1"/>
      <x:c r="X131" s="1"/>
      <x:c r="Y131" s="1"/>
      <x:c r="Z131" s="1"/>
    </x:row>
    <x:row r="132">
      <x:c r="A132" s="7" t="str">
        <x:v>ACC-0131</x:v>
      </x:c>
      <x:c r="B132" s="7" t="str">
        <x:v>Crest Products 131</x:v>
      </x:c>
      <x:c r="C132" s="7" t="str">
        <x:v>West</x:v>
      </x:c>
      <x:c r="D132" s="7" t="str">
        <x:v>Pharmaceuticals</x:v>
      </x:c>
      <x:c r="E132" s="7" t="str">
        <x:v>Enterprise</x:v>
      </x:c>
      <x:c r="F132" s="7" t="str">
        <x:v>Partner Referral</x:v>
      </x:c>
      <x:c r="G132" s="8" t="n">
        <x:v>46025</x:v>
      </x:c>
      <x:c r="H132" s="8" t="n">
        <x:v>46163</x:v>
      </x:c>
      <x:c r="I132" s="9" t="n">
        <x:v>3</x:v>
      </x:c>
      <x:c r="J132" s="10" t="n">
        <x:v>572800</x:v>
      </x:c>
      <x:c r="K132" s="10" t="n">
        <x:f>J132/I132</x:f>
        <x:v>190933.33333333334</x:v>
      </x:c>
      <x:c r="L132" s="9" t="n">
        <x:f>DATE(2026,6,30)-H132</x:f>
        <x:v>40</x:v>
      </x:c>
      <x:c r="M132" s="9" t="n">
        <x:f>IF(L132&lt;=60,5,IF(L132&lt;=120,4,IF(L132&lt;=180,3,IF(L132&lt;=240,2,1))))</x:f>
        <x:v>5</x:v>
      </x:c>
      <x:c r="N132" s="9" t="n">
        <x:f>IF(I132&gt;=6,5,IF(I132&gt;=4,4,IF(I132=3,3,IF(I132=2,2,1))))</x:f>
        <x:v>3</x:v>
      </x:c>
      <x:c r="O132" s="9" t="n">
        <x:f>IF(J132&gt;=500000,5,IF(J132&gt;=300000,4,IF(J132&gt;=175000,3,IF(J132&gt;=75000,2,1))))</x:f>
        <x:v>5</x:v>
      </x:c>
      <x:c r="P132" s="7" t="str">
        <x:f>M132&amp;N132&amp;O132</x:f>
        <x:v>535</x:v>
      </x:c>
      <x:c r="Q132" s="7" t="str">
        <x:f>IF(AND(L132&lt;=60,I132&gt;=5,J132&gt;=300000),"Champions",IF(AND(L132&lt;=120,I132&gt;=3),"Loyal Growth",IF(AND(L132&gt;180,J132&gt;=300000),"High Value At Risk",IF(DATE(2026,6,30)-G132&lt;=90,"New Accounts",IF(AND(L132&lt;=120,I132=1),"Promising",IF(L132&lt;=240,"Needs Nurture","Dormant"))))))</x:f>
        <x:v>Loyal Growth</x:v>
      </x:c>
      <x:c r="R132" s="7" t="str">
        <x:f>IF(DATE(2026,6,30)-G132&lt;=90,"New",IF(AND(L132&lt;=120,I132&gt;=2),"Active",IF(I132=1,"One-time",IF(L132&lt;=240,"At Risk","Lapsed"))))</x:f>
        <x:v>Active</x:v>
      </x:c>
      <x:c r="S132" s="15" t="str">
        <x:f>IF(Q132="Champions","Invite to advisory program and cross-sell service plans",IF(Q132="Loyal Growth","Prioritize expansion offer and product education",IF(Q132="High Value At Risk","Assign sales recovery outreach within 14 days",IF(Q132="New Accounts","Launch 90-day onboarding and adoption sequence",IF(Q132="Promising","Nurture second purchase with use-case content",IF(Q132="Needs Nurture","Run product-fit review and re-engagement sequence","Move to low-frequency win-back program"))))))</x:f>
        <x:v>Prioritize expansion offer and product education</x:v>
      </x:c>
      <x:c r="T132" s="1"/>
      <x:c r="U132" s="1"/>
      <x:c r="V132" s="1"/>
      <x:c r="W132" s="1"/>
      <x:c r="X132" s="1"/>
      <x:c r="Y132" s="1"/>
      <x:c r="Z132" s="1"/>
    </x:row>
    <x:row r="133">
      <x:c r="A133" s="7" t="str">
        <x:v>ACC-0132</x:v>
      </x:c>
      <x:c r="B133" s="7" t="str">
        <x:v>Harbor Brands 132</x:v>
      </x:c>
      <x:c r="C133" s="7" t="str">
        <x:v>Northeast</x:v>
      </x:c>
      <x:c r="D133" s="7" t="str">
        <x:v>Contract Packaging</x:v>
      </x:c>
      <x:c r="E133" s="7" t="str">
        <x:v>Mid-market</x:v>
      </x:c>
      <x:c r="F133" s="7" t="str">
        <x:v>Partner Referral</x:v>
      </x:c>
      <x:c r="G133" s="8" t="n">
        <x:v>46109</x:v>
      </x:c>
      <x:c r="H133" s="8" t="n">
        <x:v>46185</x:v>
      </x:c>
      <x:c r="I133" s="9" t="n">
        <x:v>2</x:v>
      </x:c>
      <x:c r="J133" s="10" t="n">
        <x:v>175900</x:v>
      </x:c>
      <x:c r="K133" s="10" t="n">
        <x:f>J133/I133</x:f>
        <x:v>87950</x:v>
      </x:c>
      <x:c r="L133" s="9" t="n">
        <x:f>DATE(2026,6,30)-H133</x:f>
        <x:v>18</x:v>
      </x:c>
      <x:c r="M133" s="9" t="n">
        <x:f>IF(L133&lt;=60,5,IF(L133&lt;=120,4,IF(L133&lt;=180,3,IF(L133&lt;=240,2,1))))</x:f>
        <x:v>5</x:v>
      </x:c>
      <x:c r="N133" s="9" t="n">
        <x:f>IF(I133&gt;=6,5,IF(I133&gt;=4,4,IF(I133=3,3,IF(I133=2,2,1))))</x:f>
        <x:v>2</x:v>
      </x:c>
      <x:c r="O133" s="9" t="n">
        <x:f>IF(J133&gt;=500000,5,IF(J133&gt;=300000,4,IF(J133&gt;=175000,3,IF(J133&gt;=75000,2,1))))</x:f>
        <x:v>3</x:v>
      </x:c>
      <x:c r="P133" s="7" t="str">
        <x:f>M133&amp;N133&amp;O133</x:f>
        <x:v>523</x:v>
      </x:c>
      <x:c r="Q133" s="7" t="str">
        <x:f>IF(AND(L133&lt;=60,I133&gt;=5,J133&gt;=300000),"Champions",IF(AND(L133&lt;=120,I133&gt;=3),"Loyal Growth",IF(AND(L133&gt;180,J133&gt;=300000),"High Value At Risk",IF(DATE(2026,6,30)-G133&lt;=90,"New Accounts",IF(AND(L133&lt;=120,I133=1),"Promising",IF(L133&lt;=240,"Needs Nurture","Dormant"))))))</x:f>
        <x:v>Needs Nurture</x:v>
      </x:c>
      <x:c r="R133" s="7" t="str">
        <x:f>IF(DATE(2026,6,30)-G133&lt;=90,"New",IF(AND(L133&lt;=120,I133&gt;=2),"Active",IF(I133=1,"One-time",IF(L133&lt;=240,"At Risk","Lapsed"))))</x:f>
        <x:v>Active</x:v>
      </x:c>
      <x:c r="S133" s="15" t="str">
        <x:f>IF(Q133="Champions","Invite to advisory program and cross-sell service plans",IF(Q133="Loyal Growth","Prioritize expansion offer and product education",IF(Q133="High Value At Risk","Assign sales recovery outreach within 14 days",IF(Q133="New Accounts","Launch 90-day onboarding and adoption sequence",IF(Q133="Promising","Nurture second purchase with use-case content",IF(Q133="Needs Nurture","Run product-fit review and re-engagement sequence","Move to low-frequency win-back program"))))))</x:f>
        <x:v>Run product-fit review and re-engagement sequence</x:v>
      </x:c>
      <x:c r="T133" s="1"/>
      <x:c r="U133" s="1"/>
      <x:c r="V133" s="1"/>
      <x:c r="W133" s="1"/>
      <x:c r="X133" s="1"/>
      <x:c r="Y133" s="1"/>
      <x:c r="Z133" s="1"/>
    </x:row>
    <x:row r="134">
      <x:c r="A134" s="7" t="str">
        <x:v>ACC-0133</x:v>
      </x:c>
      <x:c r="B134" s="7" t="str">
        <x:v>Beacon Products 133</x:v>
      </x:c>
      <x:c r="C134" s="7" t="str">
        <x:v>Midwest</x:v>
      </x:c>
      <x:c r="D134" s="7" t="str">
        <x:v>Food &amp; Beverage</x:v>
      </x:c>
      <x:c r="E134" s="7" t="str">
        <x:v>Small</x:v>
      </x:c>
      <x:c r="F134" s="7" t="str">
        <x:v>LinkedIn</x:v>
      </x:c>
      <x:c r="G134" s="8" t="n">
        <x:v>45950</x:v>
      </x:c>
      <x:c r="H134" s="8" t="n">
        <x:v>46006</x:v>
      </x:c>
      <x:c r="I134" s="9" t="n">
        <x:v>2</x:v>
      </x:c>
      <x:c r="J134" s="10" t="n">
        <x:v>204500</x:v>
      </x:c>
      <x:c r="K134" s="10" t="n">
        <x:f>J134/I134</x:f>
        <x:v>102250</x:v>
      </x:c>
      <x:c r="L134" s="9" t="n">
        <x:f>DATE(2026,6,30)-H134</x:f>
        <x:v>197</x:v>
      </x:c>
      <x:c r="M134" s="9" t="n">
        <x:f>IF(L134&lt;=60,5,IF(L134&lt;=120,4,IF(L134&lt;=180,3,IF(L134&lt;=240,2,1))))</x:f>
        <x:v>2</x:v>
      </x:c>
      <x:c r="N134" s="9" t="n">
        <x:f>IF(I134&gt;=6,5,IF(I134&gt;=4,4,IF(I134=3,3,IF(I134=2,2,1))))</x:f>
        <x:v>2</x:v>
      </x:c>
      <x:c r="O134" s="9" t="n">
        <x:f>IF(J134&gt;=500000,5,IF(J134&gt;=300000,4,IF(J134&gt;=175000,3,IF(J134&gt;=75000,2,1))))</x:f>
        <x:v>3</x:v>
      </x:c>
      <x:c r="P134" s="7" t="str">
        <x:f>M134&amp;N134&amp;O134</x:f>
        <x:v>223</x:v>
      </x:c>
      <x:c r="Q134" s="7" t="str">
        <x:f>IF(AND(L134&lt;=60,I134&gt;=5,J134&gt;=300000),"Champions",IF(AND(L134&lt;=120,I134&gt;=3),"Loyal Growth",IF(AND(L134&gt;180,J134&gt;=300000),"High Value At Risk",IF(DATE(2026,6,30)-G134&lt;=90,"New Accounts",IF(AND(L134&lt;=120,I134=1),"Promising",IF(L134&lt;=240,"Needs Nurture","Dormant"))))))</x:f>
        <x:v>Needs Nurture</x:v>
      </x:c>
      <x:c r="R134" s="7" t="str">
        <x:f>IF(DATE(2026,6,30)-G134&lt;=90,"New",IF(AND(L134&lt;=120,I134&gt;=2),"Active",IF(I134=1,"One-time",IF(L134&lt;=240,"At Risk","Lapsed"))))</x:f>
        <x:v>At Risk</x:v>
      </x:c>
      <x:c r="S134" s="15" t="str">
        <x:f>IF(Q134="Champions","Invite to advisory program and cross-sell service plans",IF(Q134="Loyal Growth","Prioritize expansion offer and product education",IF(Q134="High Value At Risk","Assign sales recovery outreach within 14 days",IF(Q134="New Accounts","Launch 90-day onboarding and adoption sequence",IF(Q134="Promising","Nurture second purchase with use-case content",IF(Q134="Needs Nurture","Run product-fit review and re-engagement sequence","Move to low-frequency win-back program"))))))</x:f>
        <x:v>Run product-fit review and re-engagement sequence</x:v>
      </x:c>
      <x:c r="T134" s="1"/>
      <x:c r="U134" s="1"/>
      <x:c r="V134" s="1"/>
      <x:c r="W134" s="1"/>
      <x:c r="X134" s="1"/>
      <x:c r="Y134" s="1"/>
      <x:c r="Z134" s="1"/>
    </x:row>
    <x:row r="135">
      <x:c r="A135" s="7" t="str">
        <x:v>ACC-0134</x:v>
      </x:c>
      <x:c r="B135" s="7" t="str">
        <x:v>Meridian Solutions 134</x:v>
      </x:c>
      <x:c r="C135" s="7" t="str">
        <x:v>West</x:v>
      </x:c>
      <x:c r="D135" s="7" t="str">
        <x:v>Industrial Products</x:v>
      </x:c>
      <x:c r="E135" s="7" t="str">
        <x:v>Enterprise</x:v>
      </x:c>
      <x:c r="F135" s="7" t="str">
        <x:v>Partner Referral</x:v>
      </x:c>
      <x:c r="G135" s="8" t="n">
        <x:v>45773</x:v>
      </x:c>
      <x:c r="H135" s="8" t="n">
        <x:v>46178</x:v>
      </x:c>
      <x:c r="I135" s="9" t="n">
        <x:v>7</x:v>
      </x:c>
      <x:c r="J135" s="10" t="n">
        <x:v>942100</x:v>
      </x:c>
      <x:c r="K135" s="10" t="n">
        <x:f>J135/I135</x:f>
        <x:v>134585.7142857143</x:v>
      </x:c>
      <x:c r="L135" s="9" t="n">
        <x:f>DATE(2026,6,30)-H135</x:f>
        <x:v>25</x:v>
      </x:c>
      <x:c r="M135" s="9" t="n">
        <x:f>IF(L135&lt;=60,5,IF(L135&lt;=120,4,IF(L135&lt;=180,3,IF(L135&lt;=240,2,1))))</x:f>
        <x:v>5</x:v>
      </x:c>
      <x:c r="N135" s="9" t="n">
        <x:f>IF(I135&gt;=6,5,IF(I135&gt;=4,4,IF(I135=3,3,IF(I135=2,2,1))))</x:f>
        <x:v>5</x:v>
      </x:c>
      <x:c r="O135" s="9" t="n">
        <x:f>IF(J135&gt;=500000,5,IF(J135&gt;=300000,4,IF(J135&gt;=175000,3,IF(J135&gt;=75000,2,1))))</x:f>
        <x:v>5</x:v>
      </x:c>
      <x:c r="P135" s="7" t="str">
        <x:f>M135&amp;N135&amp;O135</x:f>
        <x:v>555</x:v>
      </x:c>
      <x:c r="Q135" s="7" t="str">
        <x:f>IF(AND(L135&lt;=60,I135&gt;=5,J135&gt;=300000),"Champions",IF(AND(L135&lt;=120,I135&gt;=3),"Loyal Growth",IF(AND(L135&gt;180,J135&gt;=300000),"High Value At Risk",IF(DATE(2026,6,30)-G135&lt;=90,"New Accounts",IF(AND(L135&lt;=120,I135=1),"Promising",IF(L135&lt;=240,"Needs Nurture","Dormant"))))))</x:f>
        <x:v>Champions</x:v>
      </x:c>
      <x:c r="R135" s="7" t="str">
        <x:f>IF(DATE(2026,6,30)-G135&lt;=90,"New",IF(AND(L135&lt;=120,I135&gt;=2),"Active",IF(I135=1,"One-time",IF(L135&lt;=240,"At Risk","Lapsed"))))</x:f>
        <x:v>Active</x:v>
      </x:c>
      <x:c r="S135" s="15" t="str">
        <x:f>IF(Q135="Champions","Invite to advisory program and cross-sell service plans",IF(Q135="Loyal Growth","Prioritize expansion offer and product education",IF(Q135="High Value At Risk","Assign sales recovery outreach within 14 days",IF(Q135="New Accounts","Launch 90-day onboarding and adoption sequence",IF(Q135="Promising","Nurture second purchase with use-case content",IF(Q135="Needs Nurture","Run product-fit review and re-engagement sequence","Move to low-frequency win-back program"))))))</x:f>
        <x:v>Invite to advisory program and cross-sell service plans</x:v>
      </x:c>
      <x:c r="T135" s="1"/>
      <x:c r="U135" s="1"/>
      <x:c r="V135" s="1"/>
      <x:c r="W135" s="1"/>
      <x:c r="X135" s="1"/>
      <x:c r="Y135" s="1"/>
      <x:c r="Z135" s="1"/>
    </x:row>
    <x:row r="136">
      <x:c r="A136" s="7" t="str">
        <x:v>ACC-0135</x:v>
      </x:c>
      <x:c r="B136" s="7" t="str">
        <x:v>Keystone Foods 135</x:v>
      </x:c>
      <x:c r="C136" s="7" t="str">
        <x:v>Midwest</x:v>
      </x:c>
      <x:c r="D136" s="7" t="str">
        <x:v>Industrial Products</x:v>
      </x:c>
      <x:c r="E136" s="7" t="str">
        <x:v>Mid-market</x:v>
      </x:c>
      <x:c r="F136" s="7" t="str">
        <x:v>Trade Show</x:v>
      </x:c>
      <x:c r="G136" s="8" t="n">
        <x:v>45763</x:v>
      </x:c>
      <x:c r="H136" s="8" t="n">
        <x:v>45915</x:v>
      </x:c>
      <x:c r="I136" s="9" t="n">
        <x:v>2</x:v>
      </x:c>
      <x:c r="J136" s="10" t="n">
        <x:v>128000</x:v>
      </x:c>
      <x:c r="K136" s="10" t="n">
        <x:f>J136/I136</x:f>
        <x:v>64000</x:v>
      </x:c>
      <x:c r="L136" s="9" t="n">
        <x:f>DATE(2026,6,30)-H136</x:f>
        <x:v>288</x:v>
      </x:c>
      <x:c r="M136" s="9" t="n">
        <x:f>IF(L136&lt;=60,5,IF(L136&lt;=120,4,IF(L136&lt;=180,3,IF(L136&lt;=240,2,1))))</x:f>
        <x:v>1</x:v>
      </x:c>
      <x:c r="N136" s="9" t="n">
        <x:f>IF(I136&gt;=6,5,IF(I136&gt;=4,4,IF(I136=3,3,IF(I136=2,2,1))))</x:f>
        <x:v>2</x:v>
      </x:c>
      <x:c r="O136" s="9" t="n">
        <x:f>IF(J136&gt;=500000,5,IF(J136&gt;=300000,4,IF(J136&gt;=175000,3,IF(J136&gt;=75000,2,1))))</x:f>
        <x:v>2</x:v>
      </x:c>
      <x:c r="P136" s="7" t="str">
        <x:f>M136&amp;N136&amp;O136</x:f>
        <x:v>122</x:v>
      </x:c>
      <x:c r="Q136" s="7" t="str">
        <x:f>IF(AND(L136&lt;=60,I136&gt;=5,J136&gt;=300000),"Champions",IF(AND(L136&lt;=120,I136&gt;=3),"Loyal Growth",IF(AND(L136&gt;180,J136&gt;=300000),"High Value At Risk",IF(DATE(2026,6,30)-G136&lt;=90,"New Accounts",IF(AND(L136&lt;=120,I136=1),"Promising",IF(L136&lt;=240,"Needs Nurture","Dormant"))))))</x:f>
        <x:v>Dormant</x:v>
      </x:c>
      <x:c r="R136" s="7" t="str">
        <x:f>IF(DATE(2026,6,30)-G136&lt;=90,"New",IF(AND(L136&lt;=120,I136&gt;=2),"Active",IF(I136=1,"One-time",IF(L136&lt;=240,"At Risk","Lapsed"))))</x:f>
        <x:v>Lapsed</x:v>
      </x:c>
      <x:c r="S136" s="15" t="str">
        <x:f>IF(Q136="Champions","Invite to advisory program and cross-sell service plans",IF(Q136="Loyal Growth","Prioritize expansion offer and product education",IF(Q136="High Value At Risk","Assign sales recovery outreach within 14 days",IF(Q136="New Accounts","Launch 90-day onboarding and adoption sequence",IF(Q136="Promising","Nurture second purchase with use-case content",IF(Q136="Needs Nurture","Run product-fit review and re-engagement sequence","Move to low-frequency win-back program"))))))</x:f>
        <x:v>Move to low-frequency win-back program</x:v>
      </x:c>
      <x:c r="T136" s="1"/>
      <x:c r="U136" s="1"/>
      <x:c r="V136" s="1"/>
      <x:c r="W136" s="1"/>
      <x:c r="X136" s="1"/>
      <x:c r="Y136" s="1"/>
      <x:c r="Z136" s="1"/>
    </x:row>
    <x:row r="137">
      <x:c r="A137" s="7" t="str">
        <x:v>ACC-0136</x:v>
      </x:c>
      <x:c r="B137" s="7" t="str">
        <x:v>Northstar Packaging 136</x:v>
      </x:c>
      <x:c r="C137" s="7" t="str">
        <x:v>Northeast</x:v>
      </x:c>
      <x:c r="D137" s="7" t="str">
        <x:v>Industrial Products</x:v>
      </x:c>
      <x:c r="E137" s="7" t="str">
        <x:v>Small</x:v>
      </x:c>
      <x:c r="F137" s="7" t="str">
        <x:v>Trade Show</x:v>
      </x:c>
      <x:c r="G137" s="8" t="n">
        <x:v>45770</x:v>
      </x:c>
      <x:c r="H137" s="8" t="n">
        <x:v>46056</x:v>
      </x:c>
      <x:c r="I137" s="9" t="n">
        <x:v>4</x:v>
      </x:c>
      <x:c r="J137" s="10" t="n">
        <x:v>223300</x:v>
      </x:c>
      <x:c r="K137" s="10" t="n">
        <x:f>J137/I137</x:f>
        <x:v>55825</x:v>
      </x:c>
      <x:c r="L137" s="9" t="n">
        <x:f>DATE(2026,6,30)-H137</x:f>
        <x:v>147</x:v>
      </x:c>
      <x:c r="M137" s="9" t="n">
        <x:f>IF(L137&lt;=60,5,IF(L137&lt;=120,4,IF(L137&lt;=180,3,IF(L137&lt;=240,2,1))))</x:f>
        <x:v>3</x:v>
      </x:c>
      <x:c r="N137" s="9" t="n">
        <x:f>IF(I137&gt;=6,5,IF(I137&gt;=4,4,IF(I137=3,3,IF(I137=2,2,1))))</x:f>
        <x:v>4</x:v>
      </x:c>
      <x:c r="O137" s="9" t="n">
        <x:f>IF(J137&gt;=500000,5,IF(J137&gt;=300000,4,IF(J137&gt;=175000,3,IF(J137&gt;=75000,2,1))))</x:f>
        <x:v>3</x:v>
      </x:c>
      <x:c r="P137" s="7" t="str">
        <x:f>M137&amp;N137&amp;O137</x:f>
        <x:v>343</x:v>
      </x:c>
      <x:c r="Q137" s="7" t="str">
        <x:f>IF(AND(L137&lt;=60,I137&gt;=5,J137&gt;=300000),"Champions",IF(AND(L137&lt;=120,I137&gt;=3),"Loyal Growth",IF(AND(L137&gt;180,J137&gt;=300000),"High Value At Risk",IF(DATE(2026,6,30)-G137&lt;=90,"New Accounts",IF(AND(L137&lt;=120,I137=1),"Promising",IF(L137&lt;=240,"Needs Nurture","Dormant"))))))</x:f>
        <x:v>Needs Nurture</x:v>
      </x:c>
      <x:c r="R137" s="7" t="str">
        <x:f>IF(DATE(2026,6,30)-G137&lt;=90,"New",IF(AND(L137&lt;=120,I137&gt;=2),"Active",IF(I137=1,"One-time",IF(L137&lt;=240,"At Risk","Lapsed"))))</x:f>
        <x:v>At Risk</x:v>
      </x:c>
      <x:c r="S137" s="15" t="str">
        <x:f>IF(Q137="Champions","Invite to advisory program and cross-sell service plans",IF(Q137="Loyal Growth","Prioritize expansion offer and product education",IF(Q137="High Value At Risk","Assign sales recovery outreach within 14 days",IF(Q137="New Accounts","Launch 90-day onboarding and adoption sequence",IF(Q137="Promising","Nurture second purchase with use-case content",IF(Q137="Needs Nurture","Run product-fit review and re-engagement sequence","Move to low-frequency win-back program"))))))</x:f>
        <x:v>Run product-fit review and re-engagement sequence</x:v>
      </x:c>
      <x:c r="T137" s="1"/>
      <x:c r="U137" s="1"/>
      <x:c r="V137" s="1"/>
      <x:c r="W137" s="1"/>
      <x:c r="X137" s="1"/>
      <x:c r="Y137" s="1"/>
      <x:c r="Z137" s="1"/>
    </x:row>
    <x:row r="138">
      <x:c r="A138" s="7" t="str">
        <x:v>ACC-0137</x:v>
      </x:c>
      <x:c r="B138" s="7" t="str">
        <x:v>Evergreen Manufacturing 137</x:v>
      </x:c>
      <x:c r="C138" s="7" t="str">
        <x:v>Midwest</x:v>
      </x:c>
      <x:c r="D138" s="7" t="str">
        <x:v>Pharmaceuticals</x:v>
      </x:c>
      <x:c r="E138" s="7" t="str">
        <x:v>Mid-market</x:v>
      </x:c>
      <x:c r="F138" s="7" t="str">
        <x:v>Email</x:v>
      </x:c>
      <x:c r="G138" s="8" t="n">
        <x:v>45461</x:v>
      </x:c>
      <x:c r="H138" s="8" t="n">
        <x:v>45781</x:v>
      </x:c>
      <x:c r="I138" s="9" t="n">
        <x:v>4</x:v>
      </x:c>
      <x:c r="J138" s="10" t="n">
        <x:v>441200</x:v>
      </x:c>
      <x:c r="K138" s="10" t="n">
        <x:f>J138/I138</x:f>
        <x:v>110300</x:v>
      </x:c>
      <x:c r="L138" s="9" t="n">
        <x:f>DATE(2026,6,30)-H138</x:f>
        <x:v>422</x:v>
      </x:c>
      <x:c r="M138" s="9" t="n">
        <x:f>IF(L138&lt;=60,5,IF(L138&lt;=120,4,IF(L138&lt;=180,3,IF(L138&lt;=240,2,1))))</x:f>
        <x:v>1</x:v>
      </x:c>
      <x:c r="N138" s="9" t="n">
        <x:f>IF(I138&gt;=6,5,IF(I138&gt;=4,4,IF(I138=3,3,IF(I138=2,2,1))))</x:f>
        <x:v>4</x:v>
      </x:c>
      <x:c r="O138" s="9" t="n">
        <x:f>IF(J138&gt;=500000,5,IF(J138&gt;=300000,4,IF(J138&gt;=175000,3,IF(J138&gt;=75000,2,1))))</x:f>
        <x:v>4</x:v>
      </x:c>
      <x:c r="P138" s="7" t="str">
        <x:f>M138&amp;N138&amp;O138</x:f>
        <x:v>144</x:v>
      </x:c>
      <x:c r="Q138" s="7" t="str">
        <x:f>IF(AND(L138&lt;=60,I138&gt;=5,J138&gt;=300000),"Champions",IF(AND(L138&lt;=120,I138&gt;=3),"Loyal Growth",IF(AND(L138&gt;180,J138&gt;=300000),"High Value At Risk",IF(DATE(2026,6,30)-G138&lt;=90,"New Accounts",IF(AND(L138&lt;=120,I138=1),"Promising",IF(L138&lt;=240,"Needs Nurture","Dormant"))))))</x:f>
        <x:v>High Value At Risk</x:v>
      </x:c>
      <x:c r="R138" s="7" t="str">
        <x:f>IF(DATE(2026,6,30)-G138&lt;=90,"New",IF(AND(L138&lt;=120,I138&gt;=2),"Active",IF(I138=1,"One-time",IF(L138&lt;=240,"At Risk","Lapsed"))))</x:f>
        <x:v>Lapsed</x:v>
      </x:c>
      <x:c r="S138" s="15" t="str">
        <x:f>IF(Q138="Champions","Invite to advisory program and cross-sell service plans",IF(Q138="Loyal Growth","Prioritize expansion offer and product education",IF(Q138="High Value At Risk","Assign sales recovery outreach within 14 days",IF(Q138="New Accounts","Launch 90-day onboarding and adoption sequence",IF(Q138="Promising","Nurture second purchase with use-case content",IF(Q138="Needs Nurture","Run product-fit review and re-engagement sequence","Move to low-frequency win-back program"))))))</x:f>
        <x:v>Assign sales recovery outreach within 14 days</x:v>
      </x:c>
      <x:c r="T138" s="1"/>
      <x:c r="U138" s="1"/>
      <x:c r="V138" s="1"/>
      <x:c r="W138" s="1"/>
      <x:c r="X138" s="1"/>
      <x:c r="Y138" s="1"/>
      <x:c r="Z138" s="1"/>
    </x:row>
    <x:row r="139">
      <x:c r="A139" s="7" t="str">
        <x:v>ACC-0138</x:v>
      </x:c>
      <x:c r="B139" s="7" t="str">
        <x:v>Granite Products 138</x:v>
      </x:c>
      <x:c r="C139" s="7" t="str">
        <x:v>Midwest</x:v>
      </x:c>
      <x:c r="D139" s="7" t="str">
        <x:v>Industrial Products</x:v>
      </x:c>
      <x:c r="E139" s="7" t="str">
        <x:v>Small</x:v>
      </x:c>
      <x:c r="F139" s="7" t="str">
        <x:v>Partner Referral</x:v>
      </x:c>
      <x:c r="G139" s="8" t="n">
        <x:v>45758</x:v>
      </x:c>
      <x:c r="H139" s="8" t="n">
        <x:v>46085</x:v>
      </x:c>
      <x:c r="I139" s="9" t="n">
        <x:v>4</x:v>
      </x:c>
      <x:c r="J139" s="10" t="n">
        <x:v>294100</x:v>
      </x:c>
      <x:c r="K139" s="10" t="n">
        <x:f>J139/I139</x:f>
        <x:v>73525</x:v>
      </x:c>
      <x:c r="L139" s="9" t="n">
        <x:f>DATE(2026,6,30)-H139</x:f>
        <x:v>118</x:v>
      </x:c>
      <x:c r="M139" s="9" t="n">
        <x:f>IF(L139&lt;=60,5,IF(L139&lt;=120,4,IF(L139&lt;=180,3,IF(L139&lt;=240,2,1))))</x:f>
        <x:v>4</x:v>
      </x:c>
      <x:c r="N139" s="9" t="n">
        <x:f>IF(I139&gt;=6,5,IF(I139&gt;=4,4,IF(I139=3,3,IF(I139=2,2,1))))</x:f>
        <x:v>4</x:v>
      </x:c>
      <x:c r="O139" s="9" t="n">
        <x:f>IF(J139&gt;=500000,5,IF(J139&gt;=300000,4,IF(J139&gt;=175000,3,IF(J139&gt;=75000,2,1))))</x:f>
        <x:v>3</x:v>
      </x:c>
      <x:c r="P139" s="7" t="str">
        <x:f>M139&amp;N139&amp;O139</x:f>
        <x:v>443</x:v>
      </x:c>
      <x:c r="Q139" s="7" t="str">
        <x:f>IF(AND(L139&lt;=60,I139&gt;=5,J139&gt;=300000),"Champions",IF(AND(L139&lt;=120,I139&gt;=3),"Loyal Growth",IF(AND(L139&gt;180,J139&gt;=300000),"High Value At Risk",IF(DATE(2026,6,30)-G139&lt;=90,"New Accounts",IF(AND(L139&lt;=120,I139=1),"Promising",IF(L139&lt;=240,"Needs Nurture","Dormant"))))))</x:f>
        <x:v>Loyal Growth</x:v>
      </x:c>
      <x:c r="R139" s="7" t="str">
        <x:f>IF(DATE(2026,6,30)-G139&lt;=90,"New",IF(AND(L139&lt;=120,I139&gt;=2),"Active",IF(I139=1,"One-time",IF(L139&lt;=240,"At Risk","Lapsed"))))</x:f>
        <x:v>Active</x:v>
      </x:c>
      <x:c r="S139" s="15" t="str">
        <x:f>IF(Q139="Champions","Invite to advisory program and cross-sell service plans",IF(Q139="Loyal Growth","Prioritize expansion offer and product education",IF(Q139="High Value At Risk","Assign sales recovery outreach within 14 days",IF(Q139="New Accounts","Launch 90-day onboarding and adoption sequence",IF(Q139="Promising","Nurture second purchase with use-case content",IF(Q139="Needs Nurture","Run product-fit review and re-engagement sequence","Move to low-frequency win-back program"))))))</x:f>
        <x:v>Prioritize expansion offer and product education</x:v>
      </x:c>
      <x:c r="T139" s="1"/>
      <x:c r="U139" s="1"/>
      <x:c r="V139" s="1"/>
      <x:c r="W139" s="1"/>
      <x:c r="X139" s="1"/>
      <x:c r="Y139" s="1"/>
      <x:c r="Z139" s="1"/>
    </x:row>
    <x:row r="140">
      <x:c r="A140" s="7" t="str">
        <x:v>ACC-0139</x:v>
      </x:c>
      <x:c r="B140" s="7" t="str">
        <x:v>Vertex Solutions 139</x:v>
      </x:c>
      <x:c r="C140" s="7" t="str">
        <x:v>West</x:v>
      </x:c>
      <x:c r="D140" s="7" t="str">
        <x:v>Pharmaceuticals</x:v>
      </x:c>
      <x:c r="E140" s="7" t="str">
        <x:v>Enterprise</x:v>
      </x:c>
      <x:c r="F140" s="7" t="str">
        <x:v>Trade Show</x:v>
      </x:c>
      <x:c r="G140" s="8" t="n">
        <x:v>45492</x:v>
      </x:c>
      <x:c r="H140" s="8" t="n">
        <x:v>46052</x:v>
      </x:c>
      <x:c r="I140" s="9" t="n">
        <x:v>7</x:v>
      </x:c>
      <x:c r="J140" s="10" t="n">
        <x:v>630900</x:v>
      </x:c>
      <x:c r="K140" s="10" t="n">
        <x:f>J140/I140</x:f>
        <x:v>90128.57142857143</x:v>
      </x:c>
      <x:c r="L140" s="9" t="n">
        <x:f>DATE(2026,6,30)-H140</x:f>
        <x:v>151</x:v>
      </x:c>
      <x:c r="M140" s="9" t="n">
        <x:f>IF(L140&lt;=60,5,IF(L140&lt;=120,4,IF(L140&lt;=180,3,IF(L140&lt;=240,2,1))))</x:f>
        <x:v>3</x:v>
      </x:c>
      <x:c r="N140" s="9" t="n">
        <x:f>IF(I140&gt;=6,5,IF(I140&gt;=4,4,IF(I140=3,3,IF(I140=2,2,1))))</x:f>
        <x:v>5</x:v>
      </x:c>
      <x:c r="O140" s="9" t="n">
        <x:f>IF(J140&gt;=500000,5,IF(J140&gt;=300000,4,IF(J140&gt;=175000,3,IF(J140&gt;=75000,2,1))))</x:f>
        <x:v>5</x:v>
      </x:c>
      <x:c r="P140" s="7" t="str">
        <x:f>M140&amp;N140&amp;O140</x:f>
        <x:v>355</x:v>
      </x:c>
      <x:c r="Q140" s="7" t="str">
        <x:f>IF(AND(L140&lt;=60,I140&gt;=5,J140&gt;=300000),"Champions",IF(AND(L140&lt;=120,I140&gt;=3),"Loyal Growth",IF(AND(L140&gt;180,J140&gt;=300000),"High Value At Risk",IF(DATE(2026,6,30)-G140&lt;=90,"New Accounts",IF(AND(L140&lt;=120,I140=1),"Promising",IF(L140&lt;=240,"Needs Nurture","Dormant"))))))</x:f>
        <x:v>Needs Nurture</x:v>
      </x:c>
      <x:c r="R140" s="7" t="str">
        <x:f>IF(DATE(2026,6,30)-G140&lt;=90,"New",IF(AND(L140&lt;=120,I140&gt;=2),"Active",IF(I140=1,"One-time",IF(L140&lt;=240,"At Risk","Lapsed"))))</x:f>
        <x:v>At Risk</x:v>
      </x:c>
      <x:c r="S140" s="15" t="str">
        <x:f>IF(Q140="Champions","Invite to advisory program and cross-sell service plans",IF(Q140="Loyal Growth","Prioritize expansion offer and product education",IF(Q140="High Value At Risk","Assign sales recovery outreach within 14 days",IF(Q140="New Accounts","Launch 90-day onboarding and adoption sequence",IF(Q140="Promising","Nurture second purchase with use-case content",IF(Q140="Needs Nurture","Run product-fit review and re-engagement sequence","Move to low-frequency win-back program"))))))</x:f>
        <x:v>Run product-fit review and re-engagement sequence</x:v>
      </x:c>
      <x:c r="T140" s="1"/>
      <x:c r="U140" s="1"/>
      <x:c r="V140" s="1"/>
      <x:c r="W140" s="1"/>
      <x:c r="X140" s="1"/>
      <x:c r="Y140" s="1"/>
      <x:c r="Z140" s="1"/>
    </x:row>
    <x:row r="141">
      <x:c r="A141" s="7" t="str">
        <x:v>ACC-0140</x:v>
      </x:c>
      <x:c r="B141" s="7" t="str">
        <x:v>Evergreen Products 140</x:v>
      </x:c>
      <x:c r="C141" s="7" t="str">
        <x:v>Midwest</x:v>
      </x:c>
      <x:c r="D141" s="7" t="str">
        <x:v>Contract Packaging</x:v>
      </x:c>
      <x:c r="E141" s="7" t="str">
        <x:v>Enterprise</x:v>
      </x:c>
      <x:c r="F141" s="7" t="str">
        <x:v>Partner Referral</x:v>
      </x:c>
      <x:c r="G141" s="8" t="n">
        <x:v>45374</x:v>
      </x:c>
      <x:c r="H141" s="8" t="n">
        <x:v>46178</x:v>
      </x:c>
      <x:c r="I141" s="9" t="n">
        <x:v>7</x:v>
      </x:c>
      <x:c r="J141" s="10" t="n">
        <x:v>1135300</x:v>
      </x:c>
      <x:c r="K141" s="10" t="n">
        <x:f>J141/I141</x:f>
        <x:v>162185.7142857143</x:v>
      </x:c>
      <x:c r="L141" s="9" t="n">
        <x:f>DATE(2026,6,30)-H141</x:f>
        <x:v>25</x:v>
      </x:c>
      <x:c r="M141" s="9" t="n">
        <x:f>IF(L141&lt;=60,5,IF(L141&lt;=120,4,IF(L141&lt;=180,3,IF(L141&lt;=240,2,1))))</x:f>
        <x:v>5</x:v>
      </x:c>
      <x:c r="N141" s="9" t="n">
        <x:f>IF(I141&gt;=6,5,IF(I141&gt;=4,4,IF(I141=3,3,IF(I141=2,2,1))))</x:f>
        <x:v>5</x:v>
      </x:c>
      <x:c r="O141" s="9" t="n">
        <x:f>IF(J141&gt;=500000,5,IF(J141&gt;=300000,4,IF(J141&gt;=175000,3,IF(J141&gt;=75000,2,1))))</x:f>
        <x:v>5</x:v>
      </x:c>
      <x:c r="P141" s="7" t="str">
        <x:f>M141&amp;N141&amp;O141</x:f>
        <x:v>555</x:v>
      </x:c>
      <x:c r="Q141" s="7" t="str">
        <x:f>IF(AND(L141&lt;=60,I141&gt;=5,J141&gt;=300000),"Champions",IF(AND(L141&lt;=120,I141&gt;=3),"Loyal Growth",IF(AND(L141&gt;180,J141&gt;=300000),"High Value At Risk",IF(DATE(2026,6,30)-G141&lt;=90,"New Accounts",IF(AND(L141&lt;=120,I141=1),"Promising",IF(L141&lt;=240,"Needs Nurture","Dormant"))))))</x:f>
        <x:v>Champions</x:v>
      </x:c>
      <x:c r="R141" s="7" t="str">
        <x:f>IF(DATE(2026,6,30)-G141&lt;=90,"New",IF(AND(L141&lt;=120,I141&gt;=2),"Active",IF(I141=1,"One-time",IF(L141&lt;=240,"At Risk","Lapsed"))))</x:f>
        <x:v>Active</x:v>
      </x:c>
      <x:c r="S141" s="15" t="str">
        <x:f>IF(Q141="Champions","Invite to advisory program and cross-sell service plans",IF(Q141="Loyal Growth","Prioritize expansion offer and product education",IF(Q141="High Value At Risk","Assign sales recovery outreach within 14 days",IF(Q141="New Accounts","Launch 90-day onboarding and adoption sequence",IF(Q141="Promising","Nurture second purchase with use-case content",IF(Q141="Needs Nurture","Run product-fit review and re-engagement sequence","Move to low-frequency win-back program"))))))</x:f>
        <x:v>Invite to advisory program and cross-sell service plans</x:v>
      </x:c>
      <x:c r="T141" s="1"/>
      <x:c r="U141" s="1"/>
      <x:c r="V141" s="1"/>
      <x:c r="W141" s="1"/>
      <x:c r="X141" s="1"/>
      <x:c r="Y141" s="1"/>
      <x:c r="Z141" s="1"/>
    </x:row>
    <x:row r="142">
      <x:c r="A142" s="7" t="str">
        <x:v>ACC-0141</x:v>
      </x:c>
      <x:c r="B142" s="7" t="str">
        <x:v>Meridian Products 141</x:v>
      </x:c>
      <x:c r="C142" s="7" t="str">
        <x:v>Northeast</x:v>
      </x:c>
      <x:c r="D142" s="7" t="str">
        <x:v>Consumer Goods</x:v>
      </x:c>
      <x:c r="E142" s="7" t="str">
        <x:v>Enterprise</x:v>
      </x:c>
      <x:c r="F142" s="7" t="str">
        <x:v>Partner Referral</x:v>
      </x:c>
      <x:c r="G142" s="8" t="n">
        <x:v>46132</x:v>
      </x:c>
      <x:c r="H142" s="8" t="n">
        <x:v>46171</x:v>
      </x:c>
      <x:c r="I142" s="9" t="n">
        <x:v>2</x:v>
      </x:c>
      <x:c r="J142" s="10" t="n">
        <x:v>253600</x:v>
      </x:c>
      <x:c r="K142" s="10" t="n">
        <x:f>J142/I142</x:f>
        <x:v>126800</x:v>
      </x:c>
      <x:c r="L142" s="9" t="n">
        <x:f>DATE(2026,6,30)-H142</x:f>
        <x:v>32</x:v>
      </x:c>
      <x:c r="M142" s="9" t="n">
        <x:f>IF(L142&lt;=60,5,IF(L142&lt;=120,4,IF(L142&lt;=180,3,IF(L142&lt;=240,2,1))))</x:f>
        <x:v>5</x:v>
      </x:c>
      <x:c r="N142" s="9" t="n">
        <x:f>IF(I142&gt;=6,5,IF(I142&gt;=4,4,IF(I142=3,3,IF(I142=2,2,1))))</x:f>
        <x:v>2</x:v>
      </x:c>
      <x:c r="O142" s="9" t="n">
        <x:f>IF(J142&gt;=500000,5,IF(J142&gt;=300000,4,IF(J142&gt;=175000,3,IF(J142&gt;=75000,2,1))))</x:f>
        <x:v>3</x:v>
      </x:c>
      <x:c r="P142" s="7" t="str">
        <x:f>M142&amp;N142&amp;O142</x:f>
        <x:v>523</x:v>
      </x:c>
      <x:c r="Q142" s="7" t="str">
        <x:f>IF(AND(L142&lt;=60,I142&gt;=5,J142&gt;=300000),"Champions",IF(AND(L142&lt;=120,I142&gt;=3),"Loyal Growth",IF(AND(L142&gt;180,J142&gt;=300000),"High Value At Risk",IF(DATE(2026,6,30)-G142&lt;=90,"New Accounts",IF(AND(L142&lt;=120,I142=1),"Promising",IF(L142&lt;=240,"Needs Nurture","Dormant"))))))</x:f>
        <x:v>New Accounts</x:v>
      </x:c>
      <x:c r="R142" s="7" t="str">
        <x:f>IF(DATE(2026,6,30)-G142&lt;=90,"New",IF(AND(L142&lt;=120,I142&gt;=2),"Active",IF(I142=1,"One-time",IF(L142&lt;=240,"At Risk","Lapsed"))))</x:f>
        <x:v>New</x:v>
      </x:c>
      <x:c r="S142" s="15" t="str">
        <x:f>IF(Q142="Champions","Invite to advisory program and cross-sell service plans",IF(Q142="Loyal Growth","Prioritize expansion offer and product education",IF(Q142="High Value At Risk","Assign sales recovery outreach within 14 days",IF(Q142="New Accounts","Launch 90-day onboarding and adoption sequence",IF(Q142="Promising","Nurture second purchase with use-case content",IF(Q142="Needs Nurture","Run product-fit review and re-engagement sequence","Move to low-frequency win-back program"))))))</x:f>
        <x:v>Launch 90-day onboarding and adoption sequence</x:v>
      </x:c>
      <x:c r="T142" s="1"/>
      <x:c r="U142" s="1"/>
      <x:c r="V142" s="1"/>
      <x:c r="W142" s="1"/>
      <x:c r="X142" s="1"/>
      <x:c r="Y142" s="1"/>
      <x:c r="Z142" s="1"/>
    </x:row>
    <x:row r="143">
      <x:c r="A143" s="7" t="str">
        <x:v>ACC-0142</x:v>
      </x:c>
      <x:c r="B143" s="7" t="str">
        <x:v>Harbor Labs 142</x:v>
      </x:c>
      <x:c r="C143" s="7" t="str">
        <x:v>Midwest</x:v>
      </x:c>
      <x:c r="D143" s="7" t="str">
        <x:v>Food &amp; Beverage</x:v>
      </x:c>
      <x:c r="E143" s="7" t="str">
        <x:v>Small</x:v>
      </x:c>
      <x:c r="F143" s="7" t="str">
        <x:v>Google Search</x:v>
      </x:c>
      <x:c r="G143" s="8" t="n">
        <x:v>45972</x:v>
      </x:c>
      <x:c r="H143" s="8" t="n">
        <x:v>46168</x:v>
      </x:c>
      <x:c r="I143" s="9" t="n">
        <x:v>4</x:v>
      </x:c>
      <x:c r="J143" s="10" t="n">
        <x:v>123000</x:v>
      </x:c>
      <x:c r="K143" s="10" t="n">
        <x:f>J143/I143</x:f>
        <x:v>30750</x:v>
      </x:c>
      <x:c r="L143" s="9" t="n">
        <x:f>DATE(2026,6,30)-H143</x:f>
        <x:v>35</x:v>
      </x:c>
      <x:c r="M143" s="9" t="n">
        <x:f>IF(L143&lt;=60,5,IF(L143&lt;=120,4,IF(L143&lt;=180,3,IF(L143&lt;=240,2,1))))</x:f>
        <x:v>5</x:v>
      </x:c>
      <x:c r="N143" s="9" t="n">
        <x:f>IF(I143&gt;=6,5,IF(I143&gt;=4,4,IF(I143=3,3,IF(I143=2,2,1))))</x:f>
        <x:v>4</x:v>
      </x:c>
      <x:c r="O143" s="9" t="n">
        <x:f>IF(J143&gt;=500000,5,IF(J143&gt;=300000,4,IF(J143&gt;=175000,3,IF(J143&gt;=75000,2,1))))</x:f>
        <x:v>2</x:v>
      </x:c>
      <x:c r="P143" s="7" t="str">
        <x:f>M143&amp;N143&amp;O143</x:f>
        <x:v>542</x:v>
      </x:c>
      <x:c r="Q143" s="7" t="str">
        <x:f>IF(AND(L143&lt;=60,I143&gt;=5,J143&gt;=300000),"Champions",IF(AND(L143&lt;=120,I143&gt;=3),"Loyal Growth",IF(AND(L143&gt;180,J143&gt;=300000),"High Value At Risk",IF(DATE(2026,6,30)-G143&lt;=90,"New Accounts",IF(AND(L143&lt;=120,I143=1),"Promising",IF(L143&lt;=240,"Needs Nurture","Dormant"))))))</x:f>
        <x:v>Loyal Growth</x:v>
      </x:c>
      <x:c r="R143" s="7" t="str">
        <x:f>IF(DATE(2026,6,30)-G143&lt;=90,"New",IF(AND(L143&lt;=120,I143&gt;=2),"Active",IF(I143=1,"One-time",IF(L143&lt;=240,"At Risk","Lapsed"))))</x:f>
        <x:v>Active</x:v>
      </x:c>
      <x:c r="S143" s="15" t="str">
        <x:f>IF(Q143="Champions","Invite to advisory program and cross-sell service plans",IF(Q143="Loyal Growth","Prioritize expansion offer and product education",IF(Q143="High Value At Risk","Assign sales recovery outreach within 14 days",IF(Q143="New Accounts","Launch 90-day onboarding and adoption sequence",IF(Q143="Promising","Nurture second purchase with use-case content",IF(Q143="Needs Nurture","Run product-fit review and re-engagement sequence","Move to low-frequency win-back program"))))))</x:f>
        <x:v>Prioritize expansion offer and product education</x:v>
      </x:c>
      <x:c r="T143" s="1"/>
      <x:c r="U143" s="1"/>
      <x:c r="V143" s="1"/>
      <x:c r="W143" s="1"/>
      <x:c r="X143" s="1"/>
      <x:c r="Y143" s="1"/>
      <x:c r="Z143" s="1"/>
    </x:row>
    <x:row r="144">
      <x:c r="A144" s="7" t="str">
        <x:v>ACC-0143</x:v>
      </x:c>
      <x:c r="B144" s="7" t="str">
        <x:v>Apex Labs 143</x:v>
      </x:c>
      <x:c r="C144" s="7" t="str">
        <x:v>Northeast</x:v>
      </x:c>
      <x:c r="D144" s="7" t="str">
        <x:v>Contract Packaging</x:v>
      </x:c>
      <x:c r="E144" s="7" t="str">
        <x:v>Enterprise</x:v>
      </x:c>
      <x:c r="F144" s="7" t="str">
        <x:v>Google Search</x:v>
      </x:c>
      <x:c r="G144" s="8" t="n">
        <x:v>46117</x:v>
      </x:c>
      <x:c r="H144" s="8" t="n">
        <x:v>46161</x:v>
      </x:c>
      <x:c r="I144" s="9" t="n">
        <x:v>2</x:v>
      </x:c>
      <x:c r="J144" s="10" t="n">
        <x:v>479600</x:v>
      </x:c>
      <x:c r="K144" s="10" t="n">
        <x:f>J144/I144</x:f>
        <x:v>239800</x:v>
      </x:c>
      <x:c r="L144" s="9" t="n">
        <x:f>DATE(2026,6,30)-H144</x:f>
        <x:v>42</x:v>
      </x:c>
      <x:c r="M144" s="9" t="n">
        <x:f>IF(L144&lt;=60,5,IF(L144&lt;=120,4,IF(L144&lt;=180,3,IF(L144&lt;=240,2,1))))</x:f>
        <x:v>5</x:v>
      </x:c>
      <x:c r="N144" s="9" t="n">
        <x:f>IF(I144&gt;=6,5,IF(I144&gt;=4,4,IF(I144=3,3,IF(I144=2,2,1))))</x:f>
        <x:v>2</x:v>
      </x:c>
      <x:c r="O144" s="9" t="n">
        <x:f>IF(J144&gt;=500000,5,IF(J144&gt;=300000,4,IF(J144&gt;=175000,3,IF(J144&gt;=75000,2,1))))</x:f>
        <x:v>4</x:v>
      </x:c>
      <x:c r="P144" s="7" t="str">
        <x:f>M144&amp;N144&amp;O144</x:f>
        <x:v>524</x:v>
      </x:c>
      <x:c r="Q144" s="7" t="str">
        <x:f>IF(AND(L144&lt;=60,I144&gt;=5,J144&gt;=300000),"Champions",IF(AND(L144&lt;=120,I144&gt;=3),"Loyal Growth",IF(AND(L144&gt;180,J144&gt;=300000),"High Value At Risk",IF(DATE(2026,6,30)-G144&lt;=90,"New Accounts",IF(AND(L144&lt;=120,I144=1),"Promising",IF(L144&lt;=240,"Needs Nurture","Dormant"))))))</x:f>
        <x:v>New Accounts</x:v>
      </x:c>
      <x:c r="R144" s="7" t="str">
        <x:f>IF(DATE(2026,6,30)-G144&lt;=90,"New",IF(AND(L144&lt;=120,I144&gt;=2),"Active",IF(I144=1,"One-time",IF(L144&lt;=240,"At Risk","Lapsed"))))</x:f>
        <x:v>New</x:v>
      </x:c>
      <x:c r="S144" s="15" t="str">
        <x:f>IF(Q144="Champions","Invite to advisory program and cross-sell service plans",IF(Q144="Loyal Growth","Prioritize expansion offer and product education",IF(Q144="High Value At Risk","Assign sales recovery outreach within 14 days",IF(Q144="New Accounts","Launch 90-day onboarding and adoption sequence",IF(Q144="Promising","Nurture second purchase with use-case content",IF(Q144="Needs Nurture","Run product-fit review and re-engagement sequence","Move to low-frequency win-back program"))))))</x:f>
        <x:v>Launch 90-day onboarding and adoption sequence</x:v>
      </x:c>
      <x:c r="T144" s="1"/>
      <x:c r="U144" s="1"/>
      <x:c r="V144" s="1"/>
      <x:c r="W144" s="1"/>
      <x:c r="X144" s="1"/>
      <x:c r="Y144" s="1"/>
      <x:c r="Z144" s="1"/>
    </x:row>
    <x:row r="145">
      <x:c r="A145" s="7" t="str">
        <x:v>ACC-0144</x:v>
      </x:c>
      <x:c r="B145" s="7" t="str">
        <x:v>Apex Foods 144</x:v>
      </x:c>
      <x:c r="C145" s="7" t="str">
        <x:v>West</x:v>
      </x:c>
      <x:c r="D145" s="7" t="str">
        <x:v>Industrial Products</x:v>
      </x:c>
      <x:c r="E145" s="7" t="str">
        <x:v>Enterprise</x:v>
      </x:c>
      <x:c r="F145" s="7" t="str">
        <x:v>Email</x:v>
      </x:c>
      <x:c r="G145" s="8" t="n">
        <x:v>45495</x:v>
      </x:c>
      <x:c r="H145" s="8" t="n">
        <x:v>46187</x:v>
      </x:c>
      <x:c r="I145" s="9" t="n">
        <x:v>8</x:v>
      </x:c>
      <x:c r="J145" s="10" t="n">
        <x:v>968800</x:v>
      </x:c>
      <x:c r="K145" s="10" t="n">
        <x:f>J145/I145</x:f>
        <x:v>121100</x:v>
      </x:c>
      <x:c r="L145" s="9" t="n">
        <x:f>DATE(2026,6,30)-H145</x:f>
        <x:v>16</x:v>
      </x:c>
      <x:c r="M145" s="9" t="n">
        <x:f>IF(L145&lt;=60,5,IF(L145&lt;=120,4,IF(L145&lt;=180,3,IF(L145&lt;=240,2,1))))</x:f>
        <x:v>5</x:v>
      </x:c>
      <x:c r="N145" s="9" t="n">
        <x:f>IF(I145&gt;=6,5,IF(I145&gt;=4,4,IF(I145=3,3,IF(I145=2,2,1))))</x:f>
        <x:v>5</x:v>
      </x:c>
      <x:c r="O145" s="9" t="n">
        <x:f>IF(J145&gt;=500000,5,IF(J145&gt;=300000,4,IF(J145&gt;=175000,3,IF(J145&gt;=75000,2,1))))</x:f>
        <x:v>5</x:v>
      </x:c>
      <x:c r="P145" s="7" t="str">
        <x:f>M145&amp;N145&amp;O145</x:f>
        <x:v>555</x:v>
      </x:c>
      <x:c r="Q145" s="7" t="str">
        <x:f>IF(AND(L145&lt;=60,I145&gt;=5,J145&gt;=300000),"Champions",IF(AND(L145&lt;=120,I145&gt;=3),"Loyal Growth",IF(AND(L145&gt;180,J145&gt;=300000),"High Value At Risk",IF(DATE(2026,6,30)-G145&lt;=90,"New Accounts",IF(AND(L145&lt;=120,I145=1),"Promising",IF(L145&lt;=240,"Needs Nurture","Dormant"))))))</x:f>
        <x:v>Champions</x:v>
      </x:c>
      <x:c r="R145" s="7" t="str">
        <x:f>IF(DATE(2026,6,30)-G145&lt;=90,"New",IF(AND(L145&lt;=120,I145&gt;=2),"Active",IF(I145=1,"One-time",IF(L145&lt;=240,"At Risk","Lapsed"))))</x:f>
        <x:v>Active</x:v>
      </x:c>
      <x:c r="S145" s="15" t="str">
        <x:f>IF(Q145="Champions","Invite to advisory program and cross-sell service plans",IF(Q145="Loyal Growth","Prioritize expansion offer and product education",IF(Q145="High Value At Risk","Assign sales recovery outreach within 14 days",IF(Q145="New Accounts","Launch 90-day onboarding and adoption sequence",IF(Q145="Promising","Nurture second purchase with use-case content",IF(Q145="Needs Nurture","Run product-fit review and re-engagement sequence","Move to low-frequency win-back program"))))))</x:f>
        <x:v>Invite to advisory program and cross-sell service plans</x:v>
      </x:c>
      <x:c r="T145" s="1"/>
      <x:c r="U145" s="1"/>
      <x:c r="V145" s="1"/>
      <x:c r="W145" s="1"/>
      <x:c r="X145" s="1"/>
      <x:c r="Y145" s="1"/>
      <x:c r="Z145" s="1"/>
    </x:row>
    <x:row r="146">
      <x:c r="A146" s="7" t="str">
        <x:v>ACC-0145</x:v>
      </x:c>
      <x:c r="B146" s="7" t="str">
        <x:v>Vertex Brands 145</x:v>
      </x:c>
      <x:c r="C146" s="7" t="str">
        <x:v>Midwest</x:v>
      </x:c>
      <x:c r="D146" s="7" t="str">
        <x:v>Food &amp; Beverage</x:v>
      </x:c>
      <x:c r="E146" s="7" t="str">
        <x:v>Mid-market</x:v>
      </x:c>
      <x:c r="F146" s="7" t="str">
        <x:v>Email</x:v>
      </x:c>
      <x:c r="G146" s="8" t="n">
        <x:v>45369</x:v>
      </x:c>
      <x:c r="H146" s="8" t="n">
        <x:v>45950</x:v>
      </x:c>
      <x:c r="I146" s="9" t="n">
        <x:v>5</x:v>
      </x:c>
      <x:c r="J146" s="10" t="n">
        <x:v>593200</x:v>
      </x:c>
      <x:c r="K146" s="10" t="n">
        <x:f>J146/I146</x:f>
        <x:v>118640</x:v>
      </x:c>
      <x:c r="L146" s="9" t="n">
        <x:f>DATE(2026,6,30)-H146</x:f>
        <x:v>253</x:v>
      </x:c>
      <x:c r="M146" s="9" t="n">
        <x:f>IF(L146&lt;=60,5,IF(L146&lt;=120,4,IF(L146&lt;=180,3,IF(L146&lt;=240,2,1))))</x:f>
        <x:v>1</x:v>
      </x:c>
      <x:c r="N146" s="9" t="n">
        <x:f>IF(I146&gt;=6,5,IF(I146&gt;=4,4,IF(I146=3,3,IF(I146=2,2,1))))</x:f>
        <x:v>4</x:v>
      </x:c>
      <x:c r="O146" s="9" t="n">
        <x:f>IF(J146&gt;=500000,5,IF(J146&gt;=300000,4,IF(J146&gt;=175000,3,IF(J146&gt;=75000,2,1))))</x:f>
        <x:v>5</x:v>
      </x:c>
      <x:c r="P146" s="7" t="str">
        <x:f>M146&amp;N146&amp;O146</x:f>
        <x:v>145</x:v>
      </x:c>
      <x:c r="Q146" s="7" t="str">
        <x:f>IF(AND(L146&lt;=60,I146&gt;=5,J146&gt;=300000),"Champions",IF(AND(L146&lt;=120,I146&gt;=3),"Loyal Growth",IF(AND(L146&gt;180,J146&gt;=300000),"High Value At Risk",IF(DATE(2026,6,30)-G146&lt;=90,"New Accounts",IF(AND(L146&lt;=120,I146=1),"Promising",IF(L146&lt;=240,"Needs Nurture","Dormant"))))))</x:f>
        <x:v>High Value At Risk</x:v>
      </x:c>
      <x:c r="R146" s="7" t="str">
        <x:f>IF(DATE(2026,6,30)-G146&lt;=90,"New",IF(AND(L146&lt;=120,I146&gt;=2),"Active",IF(I146=1,"One-time",IF(L146&lt;=240,"At Risk","Lapsed"))))</x:f>
        <x:v>Lapsed</x:v>
      </x:c>
      <x:c r="S146" s="15" t="str">
        <x:f>IF(Q146="Champions","Invite to advisory program and cross-sell service plans",IF(Q146="Loyal Growth","Prioritize expansion offer and product education",IF(Q146="High Value At Risk","Assign sales recovery outreach within 14 days",IF(Q146="New Accounts","Launch 90-day onboarding and adoption sequence",IF(Q146="Promising","Nurture second purchase with use-case content",IF(Q146="Needs Nurture","Run product-fit review and re-engagement sequence","Move to low-frequency win-back program"))))))</x:f>
        <x:v>Assign sales recovery outreach within 14 days</x:v>
      </x:c>
      <x:c r="T146" s="1"/>
      <x:c r="U146" s="1"/>
      <x:c r="V146" s="1"/>
      <x:c r="W146" s="1"/>
      <x:c r="X146" s="1"/>
      <x:c r="Y146" s="1"/>
      <x:c r="Z146" s="1"/>
    </x:row>
    <x:row r="147">
      <x:c r="A147" s="7" t="str">
        <x:v>ACC-0146</x:v>
      </x:c>
      <x:c r="B147" s="7" t="str">
        <x:v>Granite Foods 146</x:v>
      </x:c>
      <x:c r="C147" s="7" t="str">
        <x:v>South</x:v>
      </x:c>
      <x:c r="D147" s="7" t="str">
        <x:v>Industrial Products</x:v>
      </x:c>
      <x:c r="E147" s="7" t="str">
        <x:v>Small</x:v>
      </x:c>
      <x:c r="F147" s="7" t="str">
        <x:v>Trade Show</x:v>
      </x:c>
      <x:c r="G147" s="8" t="n">
        <x:v>45612</x:v>
      </x:c>
      <x:c r="H147" s="8" t="n">
        <x:v>45612</x:v>
      </x:c>
      <x:c r="I147" s="9" t="n">
        <x:v>1</x:v>
      </x:c>
      <x:c r="J147" s="10" t="n">
        <x:v>104200</x:v>
      </x:c>
      <x:c r="K147" s="10" t="n">
        <x:f>J147/I147</x:f>
        <x:v>104200</x:v>
      </x:c>
      <x:c r="L147" s="9" t="n">
        <x:f>DATE(2026,6,30)-H147</x:f>
        <x:v>591</x:v>
      </x:c>
      <x:c r="M147" s="9" t="n">
        <x:f>IF(L147&lt;=60,5,IF(L147&lt;=120,4,IF(L147&lt;=180,3,IF(L147&lt;=240,2,1))))</x:f>
        <x:v>1</x:v>
      </x:c>
      <x:c r="N147" s="9" t="n">
        <x:f>IF(I147&gt;=6,5,IF(I147&gt;=4,4,IF(I147=3,3,IF(I147=2,2,1))))</x:f>
        <x:v>1</x:v>
      </x:c>
      <x:c r="O147" s="9" t="n">
        <x:f>IF(J147&gt;=500000,5,IF(J147&gt;=300000,4,IF(J147&gt;=175000,3,IF(J147&gt;=75000,2,1))))</x:f>
        <x:v>2</x:v>
      </x:c>
      <x:c r="P147" s="7" t="str">
        <x:f>M147&amp;N147&amp;O147</x:f>
        <x:v>112</x:v>
      </x:c>
      <x:c r="Q147" s="7" t="str">
        <x:f>IF(AND(L147&lt;=60,I147&gt;=5,J147&gt;=300000),"Champions",IF(AND(L147&lt;=120,I147&gt;=3),"Loyal Growth",IF(AND(L147&gt;180,J147&gt;=300000),"High Value At Risk",IF(DATE(2026,6,30)-G147&lt;=90,"New Accounts",IF(AND(L147&lt;=120,I147=1),"Promising",IF(L147&lt;=240,"Needs Nurture","Dormant"))))))</x:f>
        <x:v>Dormant</x:v>
      </x:c>
      <x:c r="R147" s="7" t="str">
        <x:f>IF(DATE(2026,6,30)-G147&lt;=90,"New",IF(AND(L147&lt;=120,I147&gt;=2),"Active",IF(I147=1,"One-time",IF(L147&lt;=240,"At Risk","Lapsed"))))</x:f>
        <x:v>One-time</x:v>
      </x:c>
      <x:c r="S147" s="15" t="str">
        <x:f>IF(Q147="Champions","Invite to advisory program and cross-sell service plans",IF(Q147="Loyal Growth","Prioritize expansion offer and product education",IF(Q147="High Value At Risk","Assign sales recovery outreach within 14 days",IF(Q147="New Accounts","Launch 90-day onboarding and adoption sequence",IF(Q147="Promising","Nurture second purchase with use-case content",IF(Q147="Needs Nurture","Run product-fit review and re-engagement sequence","Move to low-frequency win-back program"))))))</x:f>
        <x:v>Move to low-frequency win-back program</x:v>
      </x:c>
      <x:c r="T147" s="1"/>
      <x:c r="U147" s="1"/>
      <x:c r="V147" s="1"/>
      <x:c r="W147" s="1"/>
      <x:c r="X147" s="1"/>
      <x:c r="Y147" s="1"/>
      <x:c r="Z147" s="1"/>
    </x:row>
    <x:row r="148">
      <x:c r="A148" s="7" t="str">
        <x:v>ACC-0147</x:v>
      </x:c>
      <x:c r="B148" s="7" t="str">
        <x:v>Titan Manufacturing 147</x:v>
      </x:c>
      <x:c r="C148" s="7" t="str">
        <x:v>South</x:v>
      </x:c>
      <x:c r="D148" s="7" t="str">
        <x:v>Food &amp; Beverage</x:v>
      </x:c>
      <x:c r="E148" s="7" t="str">
        <x:v>Enterprise</x:v>
      </x:c>
      <x:c r="F148" s="7" t="str">
        <x:v>LinkedIn</x:v>
      </x:c>
      <x:c r="G148" s="8" t="n">
        <x:v>45348</x:v>
      </x:c>
      <x:c r="H148" s="8" t="n">
        <x:v>45898</x:v>
      </x:c>
      <x:c r="I148" s="9" t="n">
        <x:v>6</x:v>
      </x:c>
      <x:c r="J148" s="10" t="n">
        <x:v>784500</x:v>
      </x:c>
      <x:c r="K148" s="10" t="n">
        <x:f>J148/I148</x:f>
        <x:v>130750</x:v>
      </x:c>
      <x:c r="L148" s="9" t="n">
        <x:f>DATE(2026,6,30)-H148</x:f>
        <x:v>305</x:v>
      </x:c>
      <x:c r="M148" s="9" t="n">
        <x:f>IF(L148&lt;=60,5,IF(L148&lt;=120,4,IF(L148&lt;=180,3,IF(L148&lt;=240,2,1))))</x:f>
        <x:v>1</x:v>
      </x:c>
      <x:c r="N148" s="9" t="n">
        <x:f>IF(I148&gt;=6,5,IF(I148&gt;=4,4,IF(I148=3,3,IF(I148=2,2,1))))</x:f>
        <x:v>5</x:v>
      </x:c>
      <x:c r="O148" s="9" t="n">
        <x:f>IF(J148&gt;=500000,5,IF(J148&gt;=300000,4,IF(J148&gt;=175000,3,IF(J148&gt;=75000,2,1))))</x:f>
        <x:v>5</x:v>
      </x:c>
      <x:c r="P148" s="7" t="str">
        <x:f>M148&amp;N148&amp;O148</x:f>
        <x:v>155</x:v>
      </x:c>
      <x:c r="Q148" s="7" t="str">
        <x:f>IF(AND(L148&lt;=60,I148&gt;=5,J148&gt;=300000),"Champions",IF(AND(L148&lt;=120,I148&gt;=3),"Loyal Growth",IF(AND(L148&gt;180,J148&gt;=300000),"High Value At Risk",IF(DATE(2026,6,30)-G148&lt;=90,"New Accounts",IF(AND(L148&lt;=120,I148=1),"Promising",IF(L148&lt;=240,"Needs Nurture","Dormant"))))))</x:f>
        <x:v>High Value At Risk</x:v>
      </x:c>
      <x:c r="R148" s="7" t="str">
        <x:f>IF(DATE(2026,6,30)-G148&lt;=90,"New",IF(AND(L148&lt;=120,I148&gt;=2),"Active",IF(I148=1,"One-time",IF(L148&lt;=240,"At Risk","Lapsed"))))</x:f>
        <x:v>Lapsed</x:v>
      </x:c>
      <x:c r="S148" s="15" t="str">
        <x:f>IF(Q148="Champions","Invite to advisory program and cross-sell service plans",IF(Q148="Loyal Growth","Prioritize expansion offer and product education",IF(Q148="High Value At Risk","Assign sales recovery outreach within 14 days",IF(Q148="New Accounts","Launch 90-day onboarding and adoption sequence",IF(Q148="Promising","Nurture second purchase with use-case content",IF(Q148="Needs Nurture","Run product-fit review and re-engagement sequence","Move to low-frequency win-back program"))))))</x:f>
        <x:v>Assign sales recovery outreach within 14 days</x:v>
      </x:c>
      <x:c r="T148" s="1"/>
      <x:c r="U148" s="1"/>
      <x:c r="V148" s="1"/>
      <x:c r="W148" s="1"/>
      <x:c r="X148" s="1"/>
      <x:c r="Y148" s="1"/>
      <x:c r="Z148" s="1"/>
    </x:row>
    <x:row r="149">
      <x:c r="A149" s="7" t="str">
        <x:v>ACC-0148</x:v>
      </x:c>
      <x:c r="B149" s="7" t="str">
        <x:v>Vertex Industries 148</x:v>
      </x:c>
      <x:c r="C149" s="7" t="str">
        <x:v>South</x:v>
      </x:c>
      <x:c r="D149" s="7" t="str">
        <x:v>Food &amp; Beverage</x:v>
      </x:c>
      <x:c r="E149" s="7" t="str">
        <x:v>Enterprise</x:v>
      </x:c>
      <x:c r="F149" s="7" t="str">
        <x:v>Google Search</x:v>
      </x:c>
      <x:c r="G149" s="8" t="n">
        <x:v>45985</x:v>
      </x:c>
      <x:c r="H149" s="8" t="n">
        <x:v>46148</x:v>
      </x:c>
      <x:c r="I149" s="9" t="n">
        <x:v>4</x:v>
      </x:c>
      <x:c r="J149" s="10" t="n">
        <x:v>618000</x:v>
      </x:c>
      <x:c r="K149" s="10" t="n">
        <x:f>J149/I149</x:f>
        <x:v>154500</x:v>
      </x:c>
      <x:c r="L149" s="9" t="n">
        <x:f>DATE(2026,6,30)-H149</x:f>
        <x:v>55</x:v>
      </x:c>
      <x:c r="M149" s="9" t="n">
        <x:f>IF(L149&lt;=60,5,IF(L149&lt;=120,4,IF(L149&lt;=180,3,IF(L149&lt;=240,2,1))))</x:f>
        <x:v>5</x:v>
      </x:c>
      <x:c r="N149" s="9" t="n">
        <x:f>IF(I149&gt;=6,5,IF(I149&gt;=4,4,IF(I149=3,3,IF(I149=2,2,1))))</x:f>
        <x:v>4</x:v>
      </x:c>
      <x:c r="O149" s="9" t="n">
        <x:f>IF(J149&gt;=500000,5,IF(J149&gt;=300000,4,IF(J149&gt;=175000,3,IF(J149&gt;=75000,2,1))))</x:f>
        <x:v>5</x:v>
      </x:c>
      <x:c r="P149" s="7" t="str">
        <x:f>M149&amp;N149&amp;O149</x:f>
        <x:v>545</x:v>
      </x:c>
      <x:c r="Q149" s="7" t="str">
        <x:f>IF(AND(L149&lt;=60,I149&gt;=5,J149&gt;=300000),"Champions",IF(AND(L149&lt;=120,I149&gt;=3),"Loyal Growth",IF(AND(L149&gt;180,J149&gt;=300000),"High Value At Risk",IF(DATE(2026,6,30)-G149&lt;=90,"New Accounts",IF(AND(L149&lt;=120,I149=1),"Promising",IF(L149&lt;=240,"Needs Nurture","Dormant"))))))</x:f>
        <x:v>Loyal Growth</x:v>
      </x:c>
      <x:c r="R149" s="7" t="str">
        <x:f>IF(DATE(2026,6,30)-G149&lt;=90,"New",IF(AND(L149&lt;=120,I149&gt;=2),"Active",IF(I149=1,"One-time",IF(L149&lt;=240,"At Risk","Lapsed"))))</x:f>
        <x:v>Active</x:v>
      </x:c>
      <x:c r="S149" s="15" t="str">
        <x:f>IF(Q149="Champions","Invite to advisory program and cross-sell service plans",IF(Q149="Loyal Growth","Prioritize expansion offer and product education",IF(Q149="High Value At Risk","Assign sales recovery outreach within 14 days",IF(Q149="New Accounts","Launch 90-day onboarding and adoption sequence",IF(Q149="Promising","Nurture second purchase with use-case content",IF(Q149="Needs Nurture","Run product-fit review and re-engagement sequence","Move to low-frequency win-back program"))))))</x:f>
        <x:v>Prioritize expansion offer and product education</x:v>
      </x:c>
      <x:c r="T149" s="1"/>
      <x:c r="U149" s="1"/>
      <x:c r="V149" s="1"/>
      <x:c r="W149" s="1"/>
      <x:c r="X149" s="1"/>
      <x:c r="Y149" s="1"/>
      <x:c r="Z149" s="1"/>
    </x:row>
    <x:row r="150">
      <x:c r="A150" s="7" t="str">
        <x:v>ACC-0149</x:v>
      </x:c>
      <x:c r="B150" s="7" t="str">
        <x:v>Northstar Manufacturing 149</x:v>
      </x:c>
      <x:c r="C150" s="7" t="str">
        <x:v>Northeast</x:v>
      </x:c>
      <x:c r="D150" s="7" t="str">
        <x:v>Contract Packaging</x:v>
      </x:c>
      <x:c r="E150" s="7" t="str">
        <x:v>Small</x:v>
      </x:c>
      <x:c r="F150" s="7" t="str">
        <x:v>LinkedIn</x:v>
      </x:c>
      <x:c r="G150" s="8" t="n">
        <x:v>45432</x:v>
      </x:c>
      <x:c r="H150" s="8" t="n">
        <x:v>45432</x:v>
      </x:c>
      <x:c r="I150" s="9" t="n">
        <x:v>1</x:v>
      </x:c>
      <x:c r="J150" s="10" t="n">
        <x:v>34800</x:v>
      </x:c>
      <x:c r="K150" s="10" t="n">
        <x:f>J150/I150</x:f>
        <x:v>34800</x:v>
      </x:c>
      <x:c r="L150" s="9" t="n">
        <x:f>DATE(2026,6,30)-H150</x:f>
        <x:v>771</x:v>
      </x:c>
      <x:c r="M150" s="9" t="n">
        <x:f>IF(L150&lt;=60,5,IF(L150&lt;=120,4,IF(L150&lt;=180,3,IF(L150&lt;=240,2,1))))</x:f>
        <x:v>1</x:v>
      </x:c>
      <x:c r="N150" s="9" t="n">
        <x:f>IF(I150&gt;=6,5,IF(I150&gt;=4,4,IF(I150=3,3,IF(I150=2,2,1))))</x:f>
        <x:v>1</x:v>
      </x:c>
      <x:c r="O150" s="9" t="n">
        <x:f>IF(J150&gt;=500000,5,IF(J150&gt;=300000,4,IF(J150&gt;=175000,3,IF(J150&gt;=75000,2,1))))</x:f>
        <x:v>1</x:v>
      </x:c>
      <x:c r="P150" s="7" t="str">
        <x:f>M150&amp;N150&amp;O150</x:f>
        <x:v>111</x:v>
      </x:c>
      <x:c r="Q150" s="7" t="str">
        <x:f>IF(AND(L150&lt;=60,I150&gt;=5,J150&gt;=300000),"Champions",IF(AND(L150&lt;=120,I150&gt;=3),"Loyal Growth",IF(AND(L150&gt;180,J150&gt;=300000),"High Value At Risk",IF(DATE(2026,6,30)-G150&lt;=90,"New Accounts",IF(AND(L150&lt;=120,I150=1),"Promising",IF(L150&lt;=240,"Needs Nurture","Dormant"))))))</x:f>
        <x:v>Dormant</x:v>
      </x:c>
      <x:c r="R150" s="7" t="str">
        <x:f>IF(DATE(2026,6,30)-G150&lt;=90,"New",IF(AND(L150&lt;=120,I150&gt;=2),"Active",IF(I150=1,"One-time",IF(L150&lt;=240,"At Risk","Lapsed"))))</x:f>
        <x:v>One-time</x:v>
      </x:c>
      <x:c r="S150" s="15" t="str">
        <x:f>IF(Q150="Champions","Invite to advisory program and cross-sell service plans",IF(Q150="Loyal Growth","Prioritize expansion offer and product education",IF(Q150="High Value At Risk","Assign sales recovery outreach within 14 days",IF(Q150="New Accounts","Launch 90-day onboarding and adoption sequence",IF(Q150="Promising","Nurture second purchase with use-case content",IF(Q150="Needs Nurture","Run product-fit review and re-engagement sequence","Move to low-frequency win-back program"))))))</x:f>
        <x:v>Move to low-frequency win-back program</x:v>
      </x:c>
      <x:c r="T150" s="1"/>
      <x:c r="U150" s="1"/>
      <x:c r="V150" s="1"/>
      <x:c r="W150" s="1"/>
      <x:c r="X150" s="1"/>
      <x:c r="Y150" s="1"/>
      <x:c r="Z150" s="1"/>
    </x:row>
    <x:row r="151">
      <x:c r="A151" s="7" t="str">
        <x:v>ACC-0150</x:v>
      </x:c>
      <x:c r="B151" s="7" t="str">
        <x:v>Granite Foods 150</x:v>
      </x:c>
      <x:c r="C151" s="7" t="str">
        <x:v>Midwest</x:v>
      </x:c>
      <x:c r="D151" s="7" t="str">
        <x:v>Industrial Products</x:v>
      </x:c>
      <x:c r="E151" s="7" t="str">
        <x:v>Enterprise</x:v>
      </x:c>
      <x:c r="F151" s="7" t="str">
        <x:v>Trade Show</x:v>
      </x:c>
      <x:c r="G151" s="8" t="n">
        <x:v>45831</x:v>
      </x:c>
      <x:c r="H151" s="8" t="n">
        <x:v>46127</x:v>
      </x:c>
      <x:c r="I151" s="9" t="n">
        <x:v>3</x:v>
      </x:c>
      <x:c r="J151" s="10" t="n">
        <x:v>545100</x:v>
      </x:c>
      <x:c r="K151" s="10" t="n">
        <x:f>J151/I151</x:f>
        <x:v>181700</x:v>
      </x:c>
      <x:c r="L151" s="9" t="n">
        <x:f>DATE(2026,6,30)-H151</x:f>
        <x:v>76</x:v>
      </x:c>
      <x:c r="M151" s="9" t="n">
        <x:f>IF(L151&lt;=60,5,IF(L151&lt;=120,4,IF(L151&lt;=180,3,IF(L151&lt;=240,2,1))))</x:f>
        <x:v>4</x:v>
      </x:c>
      <x:c r="N151" s="9" t="n">
        <x:f>IF(I151&gt;=6,5,IF(I151&gt;=4,4,IF(I151=3,3,IF(I151=2,2,1))))</x:f>
        <x:v>3</x:v>
      </x:c>
      <x:c r="O151" s="9" t="n">
        <x:f>IF(J151&gt;=500000,5,IF(J151&gt;=300000,4,IF(J151&gt;=175000,3,IF(J151&gt;=75000,2,1))))</x:f>
        <x:v>5</x:v>
      </x:c>
      <x:c r="P151" s="7" t="str">
        <x:f>M151&amp;N151&amp;O151</x:f>
        <x:v>435</x:v>
      </x:c>
      <x:c r="Q151" s="7" t="str">
        <x:f>IF(AND(L151&lt;=60,I151&gt;=5,J151&gt;=300000),"Champions",IF(AND(L151&lt;=120,I151&gt;=3),"Loyal Growth",IF(AND(L151&gt;180,J151&gt;=300000),"High Value At Risk",IF(DATE(2026,6,30)-G151&lt;=90,"New Accounts",IF(AND(L151&lt;=120,I151=1),"Promising",IF(L151&lt;=240,"Needs Nurture","Dormant"))))))</x:f>
        <x:v>Loyal Growth</x:v>
      </x:c>
      <x:c r="R151" s="7" t="str">
        <x:f>IF(DATE(2026,6,30)-G151&lt;=90,"New",IF(AND(L151&lt;=120,I151&gt;=2),"Active",IF(I151=1,"One-time",IF(L151&lt;=240,"At Risk","Lapsed"))))</x:f>
        <x:v>Active</x:v>
      </x:c>
      <x:c r="S151" s="15" t="str">
        <x:f>IF(Q151="Champions","Invite to advisory program and cross-sell service plans",IF(Q151="Loyal Growth","Prioritize expansion offer and product education",IF(Q151="High Value At Risk","Assign sales recovery outreach within 14 days",IF(Q151="New Accounts","Launch 90-day onboarding and adoption sequence",IF(Q151="Promising","Nurture second purchase with use-case content",IF(Q151="Needs Nurture","Run product-fit review and re-engagement sequence","Move to low-frequency win-back program"))))))</x:f>
        <x:v>Prioritize expansion offer and product education</x:v>
      </x:c>
      <x:c r="T151" s="1"/>
      <x:c r="U151" s="1"/>
      <x:c r="V151" s="1"/>
      <x:c r="W151" s="1"/>
      <x:c r="X151" s="1"/>
      <x:c r="Y151" s="1"/>
      <x:c r="Z151" s="1"/>
    </x:row>
    <x:row r="152">
      <x:c r="A152" s="7" t="str">
        <x:v>ACC-0151</x:v>
      </x:c>
      <x:c r="B152" s="7" t="str">
        <x:v>Harbor Solutions 151</x:v>
      </x:c>
      <x:c r="C152" s="7" t="str">
        <x:v>Midwest</x:v>
      </x:c>
      <x:c r="D152" s="7" t="str">
        <x:v>Contract Packaging</x:v>
      </x:c>
      <x:c r="E152" s="7" t="str">
        <x:v>Enterprise</x:v>
      </x:c>
      <x:c r="F152" s="7" t="str">
        <x:v>Trade Show</x:v>
      </x:c>
      <x:c r="G152" s="8" t="n">
        <x:v>45973</x:v>
      </x:c>
      <x:c r="H152" s="8" t="n">
        <x:v>46103</x:v>
      </x:c>
      <x:c r="I152" s="9" t="n">
        <x:v>4</x:v>
      </x:c>
      <x:c r="J152" s="10" t="n">
        <x:v>525400</x:v>
      </x:c>
      <x:c r="K152" s="10" t="n">
        <x:f>J152/I152</x:f>
        <x:v>131350</x:v>
      </x:c>
      <x:c r="L152" s="9" t="n">
        <x:f>DATE(2026,6,30)-H152</x:f>
        <x:v>100</x:v>
      </x:c>
      <x:c r="M152" s="9" t="n">
        <x:f>IF(L152&lt;=60,5,IF(L152&lt;=120,4,IF(L152&lt;=180,3,IF(L152&lt;=240,2,1))))</x:f>
        <x:v>4</x:v>
      </x:c>
      <x:c r="N152" s="9" t="n">
        <x:f>IF(I152&gt;=6,5,IF(I152&gt;=4,4,IF(I152=3,3,IF(I152=2,2,1))))</x:f>
        <x:v>4</x:v>
      </x:c>
      <x:c r="O152" s="9" t="n">
        <x:f>IF(J152&gt;=500000,5,IF(J152&gt;=300000,4,IF(J152&gt;=175000,3,IF(J152&gt;=75000,2,1))))</x:f>
        <x:v>5</x:v>
      </x:c>
      <x:c r="P152" s="7" t="str">
        <x:f>M152&amp;N152&amp;O152</x:f>
        <x:v>445</x:v>
      </x:c>
      <x:c r="Q152" s="7" t="str">
        <x:f>IF(AND(L152&lt;=60,I152&gt;=5,J152&gt;=300000),"Champions",IF(AND(L152&lt;=120,I152&gt;=3),"Loyal Growth",IF(AND(L152&gt;180,J152&gt;=300000),"High Value At Risk",IF(DATE(2026,6,30)-G152&lt;=90,"New Accounts",IF(AND(L152&lt;=120,I152=1),"Promising",IF(L152&lt;=240,"Needs Nurture","Dormant"))))))</x:f>
        <x:v>Loyal Growth</x:v>
      </x:c>
      <x:c r="R152" s="7" t="str">
        <x:f>IF(DATE(2026,6,30)-G152&lt;=90,"New",IF(AND(L152&lt;=120,I152&gt;=2),"Active",IF(I152=1,"One-time",IF(L152&lt;=240,"At Risk","Lapsed"))))</x:f>
        <x:v>Active</x:v>
      </x:c>
      <x:c r="S152" s="15" t="str">
        <x:f>IF(Q152="Champions","Invite to advisory program and cross-sell service plans",IF(Q152="Loyal Growth","Prioritize expansion offer and product education",IF(Q152="High Value At Risk","Assign sales recovery outreach within 14 days",IF(Q152="New Accounts","Launch 90-day onboarding and adoption sequence",IF(Q152="Promising","Nurture second purchase with use-case content",IF(Q152="Needs Nurture","Run product-fit review and re-engagement sequence","Move to low-frequency win-back program"))))))</x:f>
        <x:v>Prioritize expansion offer and product education</x:v>
      </x:c>
      <x:c r="T152" s="1"/>
      <x:c r="U152" s="1"/>
      <x:c r="V152" s="1"/>
      <x:c r="W152" s="1"/>
      <x:c r="X152" s="1"/>
      <x:c r="Y152" s="1"/>
      <x:c r="Z152" s="1"/>
    </x:row>
    <x:row r="153">
      <x:c r="A153" s="7" t="str">
        <x:v>ACC-0152</x:v>
      </x:c>
      <x:c r="B153" s="7" t="str">
        <x:v>Pioneer Products 152</x:v>
      </x:c>
      <x:c r="C153" s="7" t="str">
        <x:v>Midwest</x:v>
      </x:c>
      <x:c r="D153" s="7" t="str">
        <x:v>Consumer Goods</x:v>
      </x:c>
      <x:c r="E153" s="7" t="str">
        <x:v>Small</x:v>
      </x:c>
      <x:c r="F153" s="7" t="str">
        <x:v>Partner Referral</x:v>
      </x:c>
      <x:c r="G153" s="8" t="n">
        <x:v>45761</x:v>
      </x:c>
      <x:c r="H153" s="8" t="n">
        <x:v>46095</x:v>
      </x:c>
      <x:c r="I153" s="9" t="n">
        <x:v>3</x:v>
      </x:c>
      <x:c r="J153" s="10" t="n">
        <x:v>220300</x:v>
      </x:c>
      <x:c r="K153" s="10" t="n">
        <x:f>J153/I153</x:f>
        <x:v>73433.33333333333</x:v>
      </x:c>
      <x:c r="L153" s="9" t="n">
        <x:f>DATE(2026,6,30)-H153</x:f>
        <x:v>108</x:v>
      </x:c>
      <x:c r="M153" s="9" t="n">
        <x:f>IF(L153&lt;=60,5,IF(L153&lt;=120,4,IF(L153&lt;=180,3,IF(L153&lt;=240,2,1))))</x:f>
        <x:v>4</x:v>
      </x:c>
      <x:c r="N153" s="9" t="n">
        <x:f>IF(I153&gt;=6,5,IF(I153&gt;=4,4,IF(I153=3,3,IF(I153=2,2,1))))</x:f>
        <x:v>3</x:v>
      </x:c>
      <x:c r="O153" s="9" t="n">
        <x:f>IF(J153&gt;=500000,5,IF(J153&gt;=300000,4,IF(J153&gt;=175000,3,IF(J153&gt;=75000,2,1))))</x:f>
        <x:v>3</x:v>
      </x:c>
      <x:c r="P153" s="7" t="str">
        <x:f>M153&amp;N153&amp;O153</x:f>
        <x:v>433</x:v>
      </x:c>
      <x:c r="Q153" s="7" t="str">
        <x:f>IF(AND(L153&lt;=60,I153&gt;=5,J153&gt;=300000),"Champions",IF(AND(L153&lt;=120,I153&gt;=3),"Loyal Growth",IF(AND(L153&gt;180,J153&gt;=300000),"High Value At Risk",IF(DATE(2026,6,30)-G153&lt;=90,"New Accounts",IF(AND(L153&lt;=120,I153=1),"Promising",IF(L153&lt;=240,"Needs Nurture","Dormant"))))))</x:f>
        <x:v>Loyal Growth</x:v>
      </x:c>
      <x:c r="R153" s="7" t="str">
        <x:f>IF(DATE(2026,6,30)-G153&lt;=90,"New",IF(AND(L153&lt;=120,I153&gt;=2),"Active",IF(I153=1,"One-time",IF(L153&lt;=240,"At Risk","Lapsed"))))</x:f>
        <x:v>Active</x:v>
      </x:c>
      <x:c r="S153" s="15" t="str">
        <x:f>IF(Q153="Champions","Invite to advisory program and cross-sell service plans",IF(Q153="Loyal Growth","Prioritize expansion offer and product education",IF(Q153="High Value At Risk","Assign sales recovery outreach within 14 days",IF(Q153="New Accounts","Launch 90-day onboarding and adoption sequence",IF(Q153="Promising","Nurture second purchase with use-case content",IF(Q153="Needs Nurture","Run product-fit review and re-engagement sequence","Move to low-frequency win-back program"))))))</x:f>
        <x:v>Prioritize expansion offer and product education</x:v>
      </x:c>
      <x:c r="T153" s="1"/>
      <x:c r="U153" s="1"/>
      <x:c r="V153" s="1"/>
      <x:c r="W153" s="1"/>
      <x:c r="X153" s="1"/>
      <x:c r="Y153" s="1"/>
      <x:c r="Z153" s="1"/>
    </x:row>
    <x:row r="154">
      <x:c r="A154" s="7" t="str">
        <x:v>ACC-0153</x:v>
      </x:c>
      <x:c r="B154" s="7" t="str">
        <x:v>Summit Industries 153</x:v>
      </x:c>
      <x:c r="C154" s="7" t="str">
        <x:v>Midwest</x:v>
      </x:c>
      <x:c r="D154" s="7" t="str">
        <x:v>Food &amp; Beverage</x:v>
      </x:c>
      <x:c r="E154" s="7" t="str">
        <x:v>Small</x:v>
      </x:c>
      <x:c r="F154" s="7" t="str">
        <x:v>Google Search</x:v>
      </x:c>
      <x:c r="G154" s="8" t="n">
        <x:v>45872</x:v>
      </x:c>
      <x:c r="H154" s="8" t="n">
        <x:v>45872</x:v>
      </x:c>
      <x:c r="I154" s="9" t="n">
        <x:v>1</x:v>
      </x:c>
      <x:c r="J154" s="10" t="n">
        <x:v>20900</x:v>
      </x:c>
      <x:c r="K154" s="10" t="n">
        <x:f>J154/I154</x:f>
        <x:v>20900</x:v>
      </x:c>
      <x:c r="L154" s="9" t="n">
        <x:f>DATE(2026,6,30)-H154</x:f>
        <x:v>331</x:v>
      </x:c>
      <x:c r="M154" s="9" t="n">
        <x:f>IF(L154&lt;=60,5,IF(L154&lt;=120,4,IF(L154&lt;=180,3,IF(L154&lt;=240,2,1))))</x:f>
        <x:v>1</x:v>
      </x:c>
      <x:c r="N154" s="9" t="n">
        <x:f>IF(I154&gt;=6,5,IF(I154&gt;=4,4,IF(I154=3,3,IF(I154=2,2,1))))</x:f>
        <x:v>1</x:v>
      </x:c>
      <x:c r="O154" s="9" t="n">
        <x:f>IF(J154&gt;=500000,5,IF(J154&gt;=300000,4,IF(J154&gt;=175000,3,IF(J154&gt;=75000,2,1))))</x:f>
        <x:v>1</x:v>
      </x:c>
      <x:c r="P154" s="7" t="str">
        <x:f>M154&amp;N154&amp;O154</x:f>
        <x:v>111</x:v>
      </x:c>
      <x:c r="Q154" s="7" t="str">
        <x:f>IF(AND(L154&lt;=60,I154&gt;=5,J154&gt;=300000),"Champions",IF(AND(L154&lt;=120,I154&gt;=3),"Loyal Growth",IF(AND(L154&gt;180,J154&gt;=300000),"High Value At Risk",IF(DATE(2026,6,30)-G154&lt;=90,"New Accounts",IF(AND(L154&lt;=120,I154=1),"Promising",IF(L154&lt;=240,"Needs Nurture","Dormant"))))))</x:f>
        <x:v>Dormant</x:v>
      </x:c>
      <x:c r="R154" s="7" t="str">
        <x:f>IF(DATE(2026,6,30)-G154&lt;=90,"New",IF(AND(L154&lt;=120,I154&gt;=2),"Active",IF(I154=1,"One-time",IF(L154&lt;=240,"At Risk","Lapsed"))))</x:f>
        <x:v>One-time</x:v>
      </x:c>
      <x:c r="S154" s="15" t="str">
        <x:f>IF(Q154="Champions","Invite to advisory program and cross-sell service plans",IF(Q154="Loyal Growth","Prioritize expansion offer and product education",IF(Q154="High Value At Risk","Assign sales recovery outreach within 14 days",IF(Q154="New Accounts","Launch 90-day onboarding and adoption sequence",IF(Q154="Promising","Nurture second purchase with use-case content",IF(Q154="Needs Nurture","Run product-fit review and re-engagement sequence","Move to low-frequency win-back program"))))))</x:f>
        <x:v>Move to low-frequency win-back program</x:v>
      </x:c>
      <x:c r="T154" s="1"/>
      <x:c r="U154" s="1"/>
      <x:c r="V154" s="1"/>
      <x:c r="W154" s="1"/>
      <x:c r="X154" s="1"/>
      <x:c r="Y154" s="1"/>
      <x:c r="Z154" s="1"/>
    </x:row>
    <x:row r="155">
      <x:c r="A155" s="7" t="str">
        <x:v>ACC-0154</x:v>
      </x:c>
      <x:c r="B155" s="7" t="str">
        <x:v>BlueRiver Brands 154</x:v>
      </x:c>
      <x:c r="C155" s="7" t="str">
        <x:v>South</x:v>
      </x:c>
      <x:c r="D155" s="7" t="str">
        <x:v>Food &amp; Beverage</x:v>
      </x:c>
      <x:c r="E155" s="7" t="str">
        <x:v>Small</x:v>
      </x:c>
      <x:c r="F155" s="7" t="str">
        <x:v>Email</x:v>
      </x:c>
      <x:c r="G155" s="8" t="n">
        <x:v>45836</x:v>
      </x:c>
      <x:c r="H155" s="8" t="n">
        <x:v>45836</x:v>
      </x:c>
      <x:c r="I155" s="9" t="n">
        <x:v>1</x:v>
      </x:c>
      <x:c r="J155" s="10" t="n">
        <x:v>62500</x:v>
      </x:c>
      <x:c r="K155" s="10" t="n">
        <x:f>J155/I155</x:f>
        <x:v>62500</x:v>
      </x:c>
      <x:c r="L155" s="9" t="n">
        <x:f>DATE(2026,6,30)-H155</x:f>
        <x:v>367</x:v>
      </x:c>
      <x:c r="M155" s="9" t="n">
        <x:f>IF(L155&lt;=60,5,IF(L155&lt;=120,4,IF(L155&lt;=180,3,IF(L155&lt;=240,2,1))))</x:f>
        <x:v>1</x:v>
      </x:c>
      <x:c r="N155" s="9" t="n">
        <x:f>IF(I155&gt;=6,5,IF(I155&gt;=4,4,IF(I155=3,3,IF(I155=2,2,1))))</x:f>
        <x:v>1</x:v>
      </x:c>
      <x:c r="O155" s="9" t="n">
        <x:f>IF(J155&gt;=500000,5,IF(J155&gt;=300000,4,IF(J155&gt;=175000,3,IF(J155&gt;=75000,2,1))))</x:f>
        <x:v>1</x:v>
      </x:c>
      <x:c r="P155" s="7" t="str">
        <x:f>M155&amp;N155&amp;O155</x:f>
        <x:v>111</x:v>
      </x:c>
      <x:c r="Q155" s="7" t="str">
        <x:f>IF(AND(L155&lt;=60,I155&gt;=5,J155&gt;=300000),"Champions",IF(AND(L155&lt;=120,I155&gt;=3),"Loyal Growth",IF(AND(L155&gt;180,J155&gt;=300000),"High Value At Risk",IF(DATE(2026,6,30)-G155&lt;=90,"New Accounts",IF(AND(L155&lt;=120,I155=1),"Promising",IF(L155&lt;=240,"Needs Nurture","Dormant"))))))</x:f>
        <x:v>Dormant</x:v>
      </x:c>
      <x:c r="R155" s="7" t="str">
        <x:f>IF(DATE(2026,6,30)-G155&lt;=90,"New",IF(AND(L155&lt;=120,I155&gt;=2),"Active",IF(I155=1,"One-time",IF(L155&lt;=240,"At Risk","Lapsed"))))</x:f>
        <x:v>One-time</x:v>
      </x:c>
      <x:c r="S155" s="15" t="str">
        <x:f>IF(Q155="Champions","Invite to advisory program and cross-sell service plans",IF(Q155="Loyal Growth","Prioritize expansion offer and product education",IF(Q155="High Value At Risk","Assign sales recovery outreach within 14 days",IF(Q155="New Accounts","Launch 90-day onboarding and adoption sequence",IF(Q155="Promising","Nurture second purchase with use-case content",IF(Q155="Needs Nurture","Run product-fit review and re-engagement sequence","Move to low-frequency win-back program"))))))</x:f>
        <x:v>Move to low-frequency win-back program</x:v>
      </x:c>
      <x:c r="T155" s="1"/>
      <x:c r="U155" s="1"/>
      <x:c r="V155" s="1"/>
      <x:c r="W155" s="1"/>
      <x:c r="X155" s="1"/>
      <x:c r="Y155" s="1"/>
      <x:c r="Z155" s="1"/>
    </x:row>
    <x:row r="156">
      <x:c r="A156" s="7" t="str">
        <x:v>ACC-0155</x:v>
      </x:c>
      <x:c r="B156" s="7" t="str">
        <x:v>Titan Labs 155</x:v>
      </x:c>
      <x:c r="C156" s="7" t="str">
        <x:v>West</x:v>
      </x:c>
      <x:c r="D156" s="7" t="str">
        <x:v>Food &amp; Beverage</x:v>
      </x:c>
      <x:c r="E156" s="7" t="str">
        <x:v>Mid-market</x:v>
      </x:c>
      <x:c r="F156" s="7" t="str">
        <x:v>Trade Show</x:v>
      </x:c>
      <x:c r="G156" s="8" t="n">
        <x:v>45579</x:v>
      </x:c>
      <x:c r="H156" s="8" t="n">
        <x:v>45836</x:v>
      </x:c>
      <x:c r="I156" s="9" t="n">
        <x:v>4</x:v>
      </x:c>
      <x:c r="J156" s="10" t="n">
        <x:v>376400</x:v>
      </x:c>
      <x:c r="K156" s="10" t="n">
        <x:f>J156/I156</x:f>
        <x:v>94100</x:v>
      </x:c>
      <x:c r="L156" s="9" t="n">
        <x:f>DATE(2026,6,30)-H156</x:f>
        <x:v>367</x:v>
      </x:c>
      <x:c r="M156" s="9" t="n">
        <x:f>IF(L156&lt;=60,5,IF(L156&lt;=120,4,IF(L156&lt;=180,3,IF(L156&lt;=240,2,1))))</x:f>
        <x:v>1</x:v>
      </x:c>
      <x:c r="N156" s="9" t="n">
        <x:f>IF(I156&gt;=6,5,IF(I156&gt;=4,4,IF(I156=3,3,IF(I156=2,2,1))))</x:f>
        <x:v>4</x:v>
      </x:c>
      <x:c r="O156" s="9" t="n">
        <x:f>IF(J156&gt;=500000,5,IF(J156&gt;=300000,4,IF(J156&gt;=175000,3,IF(J156&gt;=75000,2,1))))</x:f>
        <x:v>4</x:v>
      </x:c>
      <x:c r="P156" s="7" t="str">
        <x:f>M156&amp;N156&amp;O156</x:f>
        <x:v>144</x:v>
      </x:c>
      <x:c r="Q156" s="7" t="str">
        <x:f>IF(AND(L156&lt;=60,I156&gt;=5,J156&gt;=300000),"Champions",IF(AND(L156&lt;=120,I156&gt;=3),"Loyal Growth",IF(AND(L156&gt;180,J156&gt;=300000),"High Value At Risk",IF(DATE(2026,6,30)-G156&lt;=90,"New Accounts",IF(AND(L156&lt;=120,I156=1),"Promising",IF(L156&lt;=240,"Needs Nurture","Dormant"))))))</x:f>
        <x:v>High Value At Risk</x:v>
      </x:c>
      <x:c r="R156" s="7" t="str">
        <x:f>IF(DATE(2026,6,30)-G156&lt;=90,"New",IF(AND(L156&lt;=120,I156&gt;=2),"Active",IF(I156=1,"One-time",IF(L156&lt;=240,"At Risk","Lapsed"))))</x:f>
        <x:v>Lapsed</x:v>
      </x:c>
      <x:c r="S156" s="15" t="str">
        <x:f>IF(Q156="Champions","Invite to advisory program and cross-sell service plans",IF(Q156="Loyal Growth","Prioritize expansion offer and product education",IF(Q156="High Value At Risk","Assign sales recovery outreach within 14 days",IF(Q156="New Accounts","Launch 90-day onboarding and adoption sequence",IF(Q156="Promising","Nurture second purchase with use-case content",IF(Q156="Needs Nurture","Run product-fit review and re-engagement sequence","Move to low-frequency win-back program"))))))</x:f>
        <x:v>Assign sales recovery outreach within 14 days</x:v>
      </x:c>
      <x:c r="T156" s="1"/>
      <x:c r="U156" s="1"/>
      <x:c r="V156" s="1"/>
      <x:c r="W156" s="1"/>
      <x:c r="X156" s="1"/>
      <x:c r="Y156" s="1"/>
      <x:c r="Z156" s="1"/>
    </x:row>
    <x:row r="157">
      <x:c r="A157" s="7" t="str">
        <x:v>ACC-0156</x:v>
      </x:c>
      <x:c r="B157" s="7" t="str">
        <x:v>Pioneer Industries 156</x:v>
      </x:c>
      <x:c r="C157" s="7" t="str">
        <x:v>South</x:v>
      </x:c>
      <x:c r="D157" s="7" t="str">
        <x:v>Contract Packaging</x:v>
      </x:c>
      <x:c r="E157" s="7" t="str">
        <x:v>Small</x:v>
      </x:c>
      <x:c r="F157" s="7" t="str">
        <x:v>Email</x:v>
      </x:c>
      <x:c r="G157" s="8" t="n">
        <x:v>46021</x:v>
      </x:c>
      <x:c r="H157" s="8" t="n">
        <x:v>46181</x:v>
      </x:c>
      <x:c r="I157" s="9" t="n">
        <x:v>3</x:v>
      </x:c>
      <x:c r="J157" s="10" t="n">
        <x:v>148300</x:v>
      </x:c>
      <x:c r="K157" s="10" t="n">
        <x:f>J157/I157</x:f>
        <x:v>49433.333333333336</x:v>
      </x:c>
      <x:c r="L157" s="9" t="n">
        <x:f>DATE(2026,6,30)-H157</x:f>
        <x:v>22</x:v>
      </x:c>
      <x:c r="M157" s="9" t="n">
        <x:f>IF(L157&lt;=60,5,IF(L157&lt;=120,4,IF(L157&lt;=180,3,IF(L157&lt;=240,2,1))))</x:f>
        <x:v>5</x:v>
      </x:c>
      <x:c r="N157" s="9" t="n">
        <x:f>IF(I157&gt;=6,5,IF(I157&gt;=4,4,IF(I157=3,3,IF(I157=2,2,1))))</x:f>
        <x:v>3</x:v>
      </x:c>
      <x:c r="O157" s="9" t="n">
        <x:f>IF(J157&gt;=500000,5,IF(J157&gt;=300000,4,IF(J157&gt;=175000,3,IF(J157&gt;=75000,2,1))))</x:f>
        <x:v>2</x:v>
      </x:c>
      <x:c r="P157" s="7" t="str">
        <x:f>M157&amp;N157&amp;O157</x:f>
        <x:v>532</x:v>
      </x:c>
      <x:c r="Q157" s="7" t="str">
        <x:f>IF(AND(L157&lt;=60,I157&gt;=5,J157&gt;=300000),"Champions",IF(AND(L157&lt;=120,I157&gt;=3),"Loyal Growth",IF(AND(L157&gt;180,J157&gt;=300000),"High Value At Risk",IF(DATE(2026,6,30)-G157&lt;=90,"New Accounts",IF(AND(L157&lt;=120,I157=1),"Promising",IF(L157&lt;=240,"Needs Nurture","Dormant"))))))</x:f>
        <x:v>Loyal Growth</x:v>
      </x:c>
      <x:c r="R157" s="7" t="str">
        <x:f>IF(DATE(2026,6,30)-G157&lt;=90,"New",IF(AND(L157&lt;=120,I157&gt;=2),"Active",IF(I157=1,"One-time",IF(L157&lt;=240,"At Risk","Lapsed"))))</x:f>
        <x:v>Active</x:v>
      </x:c>
      <x:c r="S157" s="15" t="str">
        <x:f>IF(Q157="Champions","Invite to advisory program and cross-sell service plans",IF(Q157="Loyal Growth","Prioritize expansion offer and product education",IF(Q157="High Value At Risk","Assign sales recovery outreach within 14 days",IF(Q157="New Accounts","Launch 90-day onboarding and adoption sequence",IF(Q157="Promising","Nurture second purchase with use-case content",IF(Q157="Needs Nurture","Run product-fit review and re-engagement sequence","Move to low-frequency win-back program"))))))</x:f>
        <x:v>Prioritize expansion offer and product education</x:v>
      </x:c>
      <x:c r="T157" s="1"/>
      <x:c r="U157" s="1"/>
      <x:c r="V157" s="1"/>
      <x:c r="W157" s="1"/>
      <x:c r="X157" s="1"/>
      <x:c r="Y157" s="1"/>
      <x:c r="Z157" s="1"/>
    </x:row>
    <x:row r="158">
      <x:c r="A158" s="7" t="str">
        <x:v>ACC-0157</x:v>
      </x:c>
      <x:c r="B158" s="7" t="str">
        <x:v>Meridian Manufacturing 157</x:v>
      </x:c>
      <x:c r="C158" s="7" t="str">
        <x:v>West</x:v>
      </x:c>
      <x:c r="D158" s="7" t="str">
        <x:v>Industrial Products</x:v>
      </x:c>
      <x:c r="E158" s="7" t="str">
        <x:v>Enterprise</x:v>
      </x:c>
      <x:c r="F158" s="7" t="str">
        <x:v>Email</x:v>
      </x:c>
      <x:c r="G158" s="8" t="n">
        <x:v>45693</x:v>
      </x:c>
      <x:c r="H158" s="8" t="n">
        <x:v>46114</x:v>
      </x:c>
      <x:c r="I158" s="9" t="n">
        <x:v>7</x:v>
      </x:c>
      <x:c r="J158" s="10" t="n">
        <x:v>876900</x:v>
      </x:c>
      <x:c r="K158" s="10" t="n">
        <x:f>J158/I158</x:f>
        <x:v>125271.42857142857</x:v>
      </x:c>
      <x:c r="L158" s="9" t="n">
        <x:f>DATE(2026,6,30)-H158</x:f>
        <x:v>89</x:v>
      </x:c>
      <x:c r="M158" s="9" t="n">
        <x:f>IF(L158&lt;=60,5,IF(L158&lt;=120,4,IF(L158&lt;=180,3,IF(L158&lt;=240,2,1))))</x:f>
        <x:v>4</x:v>
      </x:c>
      <x:c r="N158" s="9" t="n">
        <x:f>IF(I158&gt;=6,5,IF(I158&gt;=4,4,IF(I158=3,3,IF(I158=2,2,1))))</x:f>
        <x:v>5</x:v>
      </x:c>
      <x:c r="O158" s="9" t="n">
        <x:f>IF(J158&gt;=500000,5,IF(J158&gt;=300000,4,IF(J158&gt;=175000,3,IF(J158&gt;=75000,2,1))))</x:f>
        <x:v>5</x:v>
      </x:c>
      <x:c r="P158" s="7" t="str">
        <x:f>M158&amp;N158&amp;O158</x:f>
        <x:v>455</x:v>
      </x:c>
      <x:c r="Q158" s="7" t="str">
        <x:f>IF(AND(L158&lt;=60,I158&gt;=5,J158&gt;=300000),"Champions",IF(AND(L158&lt;=120,I158&gt;=3),"Loyal Growth",IF(AND(L158&gt;180,J158&gt;=300000),"High Value At Risk",IF(DATE(2026,6,30)-G158&lt;=90,"New Accounts",IF(AND(L158&lt;=120,I158=1),"Promising",IF(L158&lt;=240,"Needs Nurture","Dormant"))))))</x:f>
        <x:v>Loyal Growth</x:v>
      </x:c>
      <x:c r="R158" s="7" t="str">
        <x:f>IF(DATE(2026,6,30)-G158&lt;=90,"New",IF(AND(L158&lt;=120,I158&gt;=2),"Active",IF(I158=1,"One-time",IF(L158&lt;=240,"At Risk","Lapsed"))))</x:f>
        <x:v>Active</x:v>
      </x:c>
      <x:c r="S158" s="15" t="str">
        <x:f>IF(Q158="Champions","Invite to advisory program and cross-sell service plans",IF(Q158="Loyal Growth","Prioritize expansion offer and product education",IF(Q158="High Value At Risk","Assign sales recovery outreach within 14 days",IF(Q158="New Accounts","Launch 90-day onboarding and adoption sequence",IF(Q158="Promising","Nurture second purchase with use-case content",IF(Q158="Needs Nurture","Run product-fit review and re-engagement sequence","Move to low-frequency win-back program"))))))</x:f>
        <x:v>Prioritize expansion offer and product education</x:v>
      </x:c>
      <x:c r="T158" s="1"/>
      <x:c r="U158" s="1"/>
      <x:c r="V158" s="1"/>
      <x:c r="W158" s="1"/>
      <x:c r="X158" s="1"/>
      <x:c r="Y158" s="1"/>
      <x:c r="Z158" s="1"/>
    </x:row>
    <x:row r="159">
      <x:c r="A159" s="7" t="str">
        <x:v>ACC-0158</x:v>
      </x:c>
      <x:c r="B159" s="7" t="str">
        <x:v>Evergreen Solutions 158</x:v>
      </x:c>
      <x:c r="C159" s="7" t="str">
        <x:v>South</x:v>
      </x:c>
      <x:c r="D159" s="7" t="str">
        <x:v>Food &amp; Beverage</x:v>
      </x:c>
      <x:c r="E159" s="7" t="str">
        <x:v>Mid-market</x:v>
      </x:c>
      <x:c r="F159" s="7" t="str">
        <x:v>Trade Show</x:v>
      </x:c>
      <x:c r="G159" s="8" t="n">
        <x:v>45825</x:v>
      </x:c>
      <x:c r="H159" s="8" t="n">
        <x:v>46191</x:v>
      </x:c>
      <x:c r="I159" s="9" t="n">
        <x:v>6</x:v>
      </x:c>
      <x:c r="J159" s="10" t="n">
        <x:v>718500</x:v>
      </x:c>
      <x:c r="K159" s="10" t="n">
        <x:f>J159/I159</x:f>
        <x:v>119750</x:v>
      </x:c>
      <x:c r="L159" s="9" t="n">
        <x:f>DATE(2026,6,30)-H159</x:f>
        <x:v>12</x:v>
      </x:c>
      <x:c r="M159" s="9" t="n">
        <x:f>IF(L159&lt;=60,5,IF(L159&lt;=120,4,IF(L159&lt;=180,3,IF(L159&lt;=240,2,1))))</x:f>
        <x:v>5</x:v>
      </x:c>
      <x:c r="N159" s="9" t="n">
        <x:f>IF(I159&gt;=6,5,IF(I159&gt;=4,4,IF(I159=3,3,IF(I159=2,2,1))))</x:f>
        <x:v>5</x:v>
      </x:c>
      <x:c r="O159" s="9" t="n">
        <x:f>IF(J159&gt;=500000,5,IF(J159&gt;=300000,4,IF(J159&gt;=175000,3,IF(J159&gt;=75000,2,1))))</x:f>
        <x:v>5</x:v>
      </x:c>
      <x:c r="P159" s="7" t="str">
        <x:f>M159&amp;N159&amp;O159</x:f>
        <x:v>555</x:v>
      </x:c>
      <x:c r="Q159" s="7" t="str">
        <x:f>IF(AND(L159&lt;=60,I159&gt;=5,J159&gt;=300000),"Champions",IF(AND(L159&lt;=120,I159&gt;=3),"Loyal Growth",IF(AND(L159&gt;180,J159&gt;=300000),"High Value At Risk",IF(DATE(2026,6,30)-G159&lt;=90,"New Accounts",IF(AND(L159&lt;=120,I159=1),"Promising",IF(L159&lt;=240,"Needs Nurture","Dormant"))))))</x:f>
        <x:v>Champions</x:v>
      </x:c>
      <x:c r="R159" s="7" t="str">
        <x:f>IF(DATE(2026,6,30)-G159&lt;=90,"New",IF(AND(L159&lt;=120,I159&gt;=2),"Active",IF(I159=1,"One-time",IF(L159&lt;=240,"At Risk","Lapsed"))))</x:f>
        <x:v>Active</x:v>
      </x:c>
      <x:c r="S159" s="15" t="str">
        <x:f>IF(Q159="Champions","Invite to advisory program and cross-sell service plans",IF(Q159="Loyal Growth","Prioritize expansion offer and product education",IF(Q159="High Value At Risk","Assign sales recovery outreach within 14 days",IF(Q159="New Accounts","Launch 90-day onboarding and adoption sequence",IF(Q159="Promising","Nurture second purchase with use-case content",IF(Q159="Needs Nurture","Run product-fit review and re-engagement sequence","Move to low-frequency win-back program"))))))</x:f>
        <x:v>Invite to advisory program and cross-sell service plans</x:v>
      </x:c>
      <x:c r="T159" s="1"/>
      <x:c r="U159" s="1"/>
      <x:c r="V159" s="1"/>
      <x:c r="W159" s="1"/>
      <x:c r="X159" s="1"/>
      <x:c r="Y159" s="1"/>
      <x:c r="Z159" s="1"/>
    </x:row>
    <x:row r="160">
      <x:c r="A160" s="7" t="str">
        <x:v>ACC-0159</x:v>
      </x:c>
      <x:c r="B160" s="7" t="str">
        <x:v>Vertex Products 159</x:v>
      </x:c>
      <x:c r="C160" s="7" t="str">
        <x:v>West</x:v>
      </x:c>
      <x:c r="D160" s="7" t="str">
        <x:v>Contract Packaging</x:v>
      </x:c>
      <x:c r="E160" s="7" t="str">
        <x:v>Mid-market</x:v>
      </x:c>
      <x:c r="F160" s="7" t="str">
        <x:v>Partner Referral</x:v>
      </x:c>
      <x:c r="G160" s="8" t="n">
        <x:v>45367</x:v>
      </x:c>
      <x:c r="H160" s="8" t="n">
        <x:v>46112</x:v>
      </x:c>
      <x:c r="I160" s="9" t="n">
        <x:v>4</x:v>
      </x:c>
      <x:c r="J160" s="10" t="n">
        <x:v>437700</x:v>
      </x:c>
      <x:c r="K160" s="10" t="n">
        <x:f>J160/I160</x:f>
        <x:v>109425</x:v>
      </x:c>
      <x:c r="L160" s="9" t="n">
        <x:f>DATE(2026,6,30)-H160</x:f>
        <x:v>91</x:v>
      </x:c>
      <x:c r="M160" s="9" t="n">
        <x:f>IF(L160&lt;=60,5,IF(L160&lt;=120,4,IF(L160&lt;=180,3,IF(L160&lt;=240,2,1))))</x:f>
        <x:v>4</x:v>
      </x:c>
      <x:c r="N160" s="9" t="n">
        <x:f>IF(I160&gt;=6,5,IF(I160&gt;=4,4,IF(I160=3,3,IF(I160=2,2,1))))</x:f>
        <x:v>4</x:v>
      </x:c>
      <x:c r="O160" s="9" t="n">
        <x:f>IF(J160&gt;=500000,5,IF(J160&gt;=300000,4,IF(J160&gt;=175000,3,IF(J160&gt;=75000,2,1))))</x:f>
        <x:v>4</x:v>
      </x:c>
      <x:c r="P160" s="7" t="str">
        <x:f>M160&amp;N160&amp;O160</x:f>
        <x:v>444</x:v>
      </x:c>
      <x:c r="Q160" s="7" t="str">
        <x:f>IF(AND(L160&lt;=60,I160&gt;=5,J160&gt;=300000),"Champions",IF(AND(L160&lt;=120,I160&gt;=3),"Loyal Growth",IF(AND(L160&gt;180,J160&gt;=300000),"High Value At Risk",IF(DATE(2026,6,30)-G160&lt;=90,"New Accounts",IF(AND(L160&lt;=120,I160=1),"Promising",IF(L160&lt;=240,"Needs Nurture","Dormant"))))))</x:f>
        <x:v>Loyal Growth</x:v>
      </x:c>
      <x:c r="R160" s="7" t="str">
        <x:f>IF(DATE(2026,6,30)-G160&lt;=90,"New",IF(AND(L160&lt;=120,I160&gt;=2),"Active",IF(I160=1,"One-time",IF(L160&lt;=240,"At Risk","Lapsed"))))</x:f>
        <x:v>Active</x:v>
      </x:c>
      <x:c r="S160" s="15" t="str">
        <x:f>IF(Q160="Champions","Invite to advisory program and cross-sell service plans",IF(Q160="Loyal Growth","Prioritize expansion offer and product education",IF(Q160="High Value At Risk","Assign sales recovery outreach within 14 days",IF(Q160="New Accounts","Launch 90-day onboarding and adoption sequence",IF(Q160="Promising","Nurture second purchase with use-case content",IF(Q160="Needs Nurture","Run product-fit review and re-engagement sequence","Move to low-frequency win-back program"))))))</x:f>
        <x:v>Prioritize expansion offer and product education</x:v>
      </x:c>
      <x:c r="T160" s="1"/>
      <x:c r="U160" s="1"/>
      <x:c r="V160" s="1"/>
      <x:c r="W160" s="1"/>
      <x:c r="X160" s="1"/>
      <x:c r="Y160" s="1"/>
      <x:c r="Z160" s="1"/>
    </x:row>
    <x:row r="161">
      <x:c r="A161" s="7" t="str">
        <x:v>ACC-0160</x:v>
      </x:c>
      <x:c r="B161" s="7" t="str">
        <x:v>Summit Packaging 160</x:v>
      </x:c>
      <x:c r="C161" s="7" t="str">
        <x:v>Midwest</x:v>
      </x:c>
      <x:c r="D161" s="7" t="str">
        <x:v>Contract Packaging</x:v>
      </x:c>
      <x:c r="E161" s="7" t="str">
        <x:v>Mid-market</x:v>
      </x:c>
      <x:c r="F161" s="7" t="str">
        <x:v>Trade Show</x:v>
      </x:c>
      <x:c r="G161" s="8" t="n">
        <x:v>45917</x:v>
      </x:c>
      <x:c r="H161" s="8" t="n">
        <x:v>46038</x:v>
      </x:c>
      <x:c r="I161" s="9" t="n">
        <x:v>4</x:v>
      </x:c>
      <x:c r="J161" s="10" t="n">
        <x:v>458900</x:v>
      </x:c>
      <x:c r="K161" s="10" t="n">
        <x:f>J161/I161</x:f>
        <x:v>114725</x:v>
      </x:c>
      <x:c r="L161" s="9" t="n">
        <x:f>DATE(2026,6,30)-H161</x:f>
        <x:v>165</x:v>
      </x:c>
      <x:c r="M161" s="9" t="n">
        <x:f>IF(L161&lt;=60,5,IF(L161&lt;=120,4,IF(L161&lt;=180,3,IF(L161&lt;=240,2,1))))</x:f>
        <x:v>3</x:v>
      </x:c>
      <x:c r="N161" s="9" t="n">
        <x:f>IF(I161&gt;=6,5,IF(I161&gt;=4,4,IF(I161=3,3,IF(I161=2,2,1))))</x:f>
        <x:v>4</x:v>
      </x:c>
      <x:c r="O161" s="9" t="n">
        <x:f>IF(J161&gt;=500000,5,IF(J161&gt;=300000,4,IF(J161&gt;=175000,3,IF(J161&gt;=75000,2,1))))</x:f>
        <x:v>4</x:v>
      </x:c>
      <x:c r="P161" s="7" t="str">
        <x:f>M161&amp;N161&amp;O161</x:f>
        <x:v>344</x:v>
      </x:c>
      <x:c r="Q161" s="7" t="str">
        <x:f>IF(AND(L161&lt;=60,I161&gt;=5,J161&gt;=300000),"Champions",IF(AND(L161&lt;=120,I161&gt;=3),"Loyal Growth",IF(AND(L161&gt;180,J161&gt;=300000),"High Value At Risk",IF(DATE(2026,6,30)-G161&lt;=90,"New Accounts",IF(AND(L161&lt;=120,I161=1),"Promising",IF(L161&lt;=240,"Needs Nurture","Dormant"))))))</x:f>
        <x:v>Needs Nurture</x:v>
      </x:c>
      <x:c r="R161" s="7" t="str">
        <x:f>IF(DATE(2026,6,30)-G161&lt;=90,"New",IF(AND(L161&lt;=120,I161&gt;=2),"Active",IF(I161=1,"One-time",IF(L161&lt;=240,"At Risk","Lapsed"))))</x:f>
        <x:v>At Risk</x:v>
      </x:c>
      <x:c r="S161" s="15" t="str">
        <x:f>IF(Q161="Champions","Invite to advisory program and cross-sell service plans",IF(Q161="Loyal Growth","Prioritize expansion offer and product education",IF(Q161="High Value At Risk","Assign sales recovery outreach within 14 days",IF(Q161="New Accounts","Launch 90-day onboarding and adoption sequence",IF(Q161="Promising","Nurture second purchase with use-case content",IF(Q161="Needs Nurture","Run product-fit review and re-engagement sequence","Move to low-frequency win-back program"))))))</x:f>
        <x:v>Run product-fit review and re-engagement sequence</x:v>
      </x:c>
      <x:c r="T161" s="1"/>
      <x:c r="U161" s="1"/>
      <x:c r="V161" s="1"/>
      <x:c r="W161" s="1"/>
      <x:c r="X161" s="1"/>
      <x:c r="Y161" s="1"/>
      <x:c r="Z161" s="1"/>
    </x:row>
    <x:row r="162">
      <x:c r="A162" s="7" t="str">
        <x:v>ACC-0161</x:v>
      </x:c>
      <x:c r="B162" s="7" t="str">
        <x:v>Summit Foods 161</x:v>
      </x:c>
      <x:c r="C162" s="7" t="str">
        <x:v>Northeast</x:v>
      </x:c>
      <x:c r="D162" s="7" t="str">
        <x:v>Contract Packaging</x:v>
      </x:c>
      <x:c r="E162" s="7" t="str">
        <x:v>Small</x:v>
      </x:c>
      <x:c r="F162" s="7" t="str">
        <x:v>Email</x:v>
      </x:c>
      <x:c r="G162" s="8" t="n">
        <x:v>46028</x:v>
      </x:c>
      <x:c r="H162" s="8" t="n">
        <x:v>46172</x:v>
      </x:c>
      <x:c r="I162" s="9" t="n">
        <x:v>3</x:v>
      </x:c>
      <x:c r="J162" s="10" t="n">
        <x:v>184900</x:v>
      </x:c>
      <x:c r="K162" s="10" t="n">
        <x:f>J162/I162</x:f>
        <x:v>61633.333333333336</x:v>
      </x:c>
      <x:c r="L162" s="9" t="n">
        <x:f>DATE(2026,6,30)-H162</x:f>
        <x:v>31</x:v>
      </x:c>
      <x:c r="M162" s="9" t="n">
        <x:f>IF(L162&lt;=60,5,IF(L162&lt;=120,4,IF(L162&lt;=180,3,IF(L162&lt;=240,2,1))))</x:f>
        <x:v>5</x:v>
      </x:c>
      <x:c r="N162" s="9" t="n">
        <x:f>IF(I162&gt;=6,5,IF(I162&gt;=4,4,IF(I162=3,3,IF(I162=2,2,1))))</x:f>
        <x:v>3</x:v>
      </x:c>
      <x:c r="O162" s="9" t="n">
        <x:f>IF(J162&gt;=500000,5,IF(J162&gt;=300000,4,IF(J162&gt;=175000,3,IF(J162&gt;=75000,2,1))))</x:f>
        <x:v>3</x:v>
      </x:c>
      <x:c r="P162" s="7" t="str">
        <x:f>M162&amp;N162&amp;O162</x:f>
        <x:v>533</x:v>
      </x:c>
      <x:c r="Q162" s="7" t="str">
        <x:f>IF(AND(L162&lt;=60,I162&gt;=5,J162&gt;=300000),"Champions",IF(AND(L162&lt;=120,I162&gt;=3),"Loyal Growth",IF(AND(L162&gt;180,J162&gt;=300000),"High Value At Risk",IF(DATE(2026,6,30)-G162&lt;=90,"New Accounts",IF(AND(L162&lt;=120,I162=1),"Promising",IF(L162&lt;=240,"Needs Nurture","Dormant"))))))</x:f>
        <x:v>Loyal Growth</x:v>
      </x:c>
      <x:c r="R162" s="7" t="str">
        <x:f>IF(DATE(2026,6,30)-G162&lt;=90,"New",IF(AND(L162&lt;=120,I162&gt;=2),"Active",IF(I162=1,"One-time",IF(L162&lt;=240,"At Risk","Lapsed"))))</x:f>
        <x:v>Active</x:v>
      </x:c>
      <x:c r="S162" s="15" t="str">
        <x:f>IF(Q162="Champions","Invite to advisory program and cross-sell service plans",IF(Q162="Loyal Growth","Prioritize expansion offer and product education",IF(Q162="High Value At Risk","Assign sales recovery outreach within 14 days",IF(Q162="New Accounts","Launch 90-day onboarding and adoption sequence",IF(Q162="Promising","Nurture second purchase with use-case content",IF(Q162="Needs Nurture","Run product-fit review and re-engagement sequence","Move to low-frequency win-back program"))))))</x:f>
        <x:v>Prioritize expansion offer and product education</x:v>
      </x:c>
      <x:c r="T162" s="1"/>
      <x:c r="U162" s="1"/>
      <x:c r="V162" s="1"/>
      <x:c r="W162" s="1"/>
      <x:c r="X162" s="1"/>
      <x:c r="Y162" s="1"/>
      <x:c r="Z162" s="1"/>
    </x:row>
    <x:row r="163">
      <x:c r="A163" s="7" t="str">
        <x:v>ACC-0162</x:v>
      </x:c>
      <x:c r="B163" s="7" t="str">
        <x:v>Keystone Products 162</x:v>
      </x:c>
      <x:c r="C163" s="7" t="str">
        <x:v>West</x:v>
      </x:c>
      <x:c r="D163" s="7" t="str">
        <x:v>Contract Packaging</x:v>
      </x:c>
      <x:c r="E163" s="7" t="str">
        <x:v>Mid-market</x:v>
      </x:c>
      <x:c r="F163" s="7" t="str">
        <x:v>Email</x:v>
      </x:c>
      <x:c r="G163" s="8" t="n">
        <x:v>45410</x:v>
      </x:c>
      <x:c r="H163" s="8" t="n">
        <x:v>45661</x:v>
      </x:c>
      <x:c r="I163" s="9" t="n">
        <x:v>3</x:v>
      </x:c>
      <x:c r="J163" s="10" t="n">
        <x:v>438700</x:v>
      </x:c>
      <x:c r="K163" s="10" t="n">
        <x:f>J163/I163</x:f>
        <x:v>146233.33333333334</x:v>
      </x:c>
      <x:c r="L163" s="9" t="n">
        <x:f>DATE(2026,6,30)-H163</x:f>
        <x:v>542</x:v>
      </x:c>
      <x:c r="M163" s="9" t="n">
        <x:f>IF(L163&lt;=60,5,IF(L163&lt;=120,4,IF(L163&lt;=180,3,IF(L163&lt;=240,2,1))))</x:f>
        <x:v>1</x:v>
      </x:c>
      <x:c r="N163" s="9" t="n">
        <x:f>IF(I163&gt;=6,5,IF(I163&gt;=4,4,IF(I163=3,3,IF(I163=2,2,1))))</x:f>
        <x:v>3</x:v>
      </x:c>
      <x:c r="O163" s="9" t="n">
        <x:f>IF(J163&gt;=500000,5,IF(J163&gt;=300000,4,IF(J163&gt;=175000,3,IF(J163&gt;=75000,2,1))))</x:f>
        <x:v>4</x:v>
      </x:c>
      <x:c r="P163" s="7" t="str">
        <x:f>M163&amp;N163&amp;O163</x:f>
        <x:v>134</x:v>
      </x:c>
      <x:c r="Q163" s="7" t="str">
        <x:f>IF(AND(L163&lt;=60,I163&gt;=5,J163&gt;=300000),"Champions",IF(AND(L163&lt;=120,I163&gt;=3),"Loyal Growth",IF(AND(L163&gt;180,J163&gt;=300000),"High Value At Risk",IF(DATE(2026,6,30)-G163&lt;=90,"New Accounts",IF(AND(L163&lt;=120,I163=1),"Promising",IF(L163&lt;=240,"Needs Nurture","Dormant"))))))</x:f>
        <x:v>High Value At Risk</x:v>
      </x:c>
      <x:c r="R163" s="7" t="str">
        <x:f>IF(DATE(2026,6,30)-G163&lt;=90,"New",IF(AND(L163&lt;=120,I163&gt;=2),"Active",IF(I163=1,"One-time",IF(L163&lt;=240,"At Risk","Lapsed"))))</x:f>
        <x:v>Lapsed</x:v>
      </x:c>
      <x:c r="S163" s="15" t="str">
        <x:f>IF(Q163="Champions","Invite to advisory program and cross-sell service plans",IF(Q163="Loyal Growth","Prioritize expansion offer and product education",IF(Q163="High Value At Risk","Assign sales recovery outreach within 14 days",IF(Q163="New Accounts","Launch 90-day onboarding and adoption sequence",IF(Q163="Promising","Nurture second purchase with use-case content",IF(Q163="Needs Nurture","Run product-fit review and re-engagement sequence","Move to low-frequency win-back program"))))))</x:f>
        <x:v>Assign sales recovery outreach within 14 days</x:v>
      </x:c>
      <x:c r="T163" s="1"/>
      <x:c r="U163" s="1"/>
      <x:c r="V163" s="1"/>
      <x:c r="W163" s="1"/>
      <x:c r="X163" s="1"/>
      <x:c r="Y163" s="1"/>
      <x:c r="Z163" s="1"/>
    </x:row>
    <x:row r="164">
      <x:c r="A164" s="7" t="str">
        <x:v>ACC-0163</x:v>
      </x:c>
      <x:c r="B164" s="7" t="str">
        <x:v>Apex Manufacturing 163</x:v>
      </x:c>
      <x:c r="C164" s="7" t="str">
        <x:v>West</x:v>
      </x:c>
      <x:c r="D164" s="7" t="str">
        <x:v>Food &amp; Beverage</x:v>
      </x:c>
      <x:c r="E164" s="7" t="str">
        <x:v>Enterprise</x:v>
      </x:c>
      <x:c r="F164" s="7" t="str">
        <x:v>Partner Referral</x:v>
      </x:c>
      <x:c r="G164" s="8" t="n">
        <x:v>46145</x:v>
      </x:c>
      <x:c r="H164" s="8" t="n">
        <x:v>46179</x:v>
      </x:c>
      <x:c r="I164" s="9" t="n">
        <x:v>2</x:v>
      </x:c>
      <x:c r="J164" s="10" t="n">
        <x:v>458600</x:v>
      </x:c>
      <x:c r="K164" s="10" t="n">
        <x:f>J164/I164</x:f>
        <x:v>229300</x:v>
      </x:c>
      <x:c r="L164" s="9" t="n">
        <x:f>DATE(2026,6,30)-H164</x:f>
        <x:v>24</x:v>
      </x:c>
      <x:c r="M164" s="9" t="n">
        <x:f>IF(L164&lt;=60,5,IF(L164&lt;=120,4,IF(L164&lt;=180,3,IF(L164&lt;=240,2,1))))</x:f>
        <x:v>5</x:v>
      </x:c>
      <x:c r="N164" s="9" t="n">
        <x:f>IF(I164&gt;=6,5,IF(I164&gt;=4,4,IF(I164=3,3,IF(I164=2,2,1))))</x:f>
        <x:v>2</x:v>
      </x:c>
      <x:c r="O164" s="9" t="n">
        <x:f>IF(J164&gt;=500000,5,IF(J164&gt;=300000,4,IF(J164&gt;=175000,3,IF(J164&gt;=75000,2,1))))</x:f>
        <x:v>4</x:v>
      </x:c>
      <x:c r="P164" s="7" t="str">
        <x:f>M164&amp;N164&amp;O164</x:f>
        <x:v>524</x:v>
      </x:c>
      <x:c r="Q164" s="7" t="str">
        <x:f>IF(AND(L164&lt;=60,I164&gt;=5,J164&gt;=300000),"Champions",IF(AND(L164&lt;=120,I164&gt;=3),"Loyal Growth",IF(AND(L164&gt;180,J164&gt;=300000),"High Value At Risk",IF(DATE(2026,6,30)-G164&lt;=90,"New Accounts",IF(AND(L164&lt;=120,I164=1),"Promising",IF(L164&lt;=240,"Needs Nurture","Dormant"))))))</x:f>
        <x:v>New Accounts</x:v>
      </x:c>
      <x:c r="R164" s="7" t="str">
        <x:f>IF(DATE(2026,6,30)-G164&lt;=90,"New",IF(AND(L164&lt;=120,I164&gt;=2),"Active",IF(I164=1,"One-time",IF(L164&lt;=240,"At Risk","Lapsed"))))</x:f>
        <x:v>New</x:v>
      </x:c>
      <x:c r="S164" s="15" t="str">
        <x:f>IF(Q164="Champions","Invite to advisory program and cross-sell service plans",IF(Q164="Loyal Growth","Prioritize expansion offer and product education",IF(Q164="High Value At Risk","Assign sales recovery outreach within 14 days",IF(Q164="New Accounts","Launch 90-day onboarding and adoption sequence",IF(Q164="Promising","Nurture second purchase with use-case content",IF(Q164="Needs Nurture","Run product-fit review and re-engagement sequence","Move to low-frequency win-back program"))))))</x:f>
        <x:v>Launch 90-day onboarding and adoption sequence</x:v>
      </x:c>
      <x:c r="T164" s="1"/>
      <x:c r="U164" s="1"/>
      <x:c r="V164" s="1"/>
      <x:c r="W164" s="1"/>
      <x:c r="X164" s="1"/>
      <x:c r="Y164" s="1"/>
      <x:c r="Z164" s="1"/>
    </x:row>
    <x:row r="165">
      <x:c r="A165" s="7" t="str">
        <x:v>ACC-0164</x:v>
      </x:c>
      <x:c r="B165" s="7" t="str">
        <x:v>Pioneer Foods 164</x:v>
      </x:c>
      <x:c r="C165" s="7" t="str">
        <x:v>South</x:v>
      </x:c>
      <x:c r="D165" s="7" t="str">
        <x:v>Industrial Products</x:v>
      </x:c>
      <x:c r="E165" s="7" t="str">
        <x:v>Enterprise</x:v>
      </x:c>
      <x:c r="F165" s="7" t="str">
        <x:v>Partner Referral</x:v>
      </x:c>
      <x:c r="G165" s="8" t="n">
        <x:v>45746</x:v>
      </x:c>
      <x:c r="H165" s="8" t="n">
        <x:v>46201</x:v>
      </x:c>
      <x:c r="I165" s="9" t="n">
        <x:v>6</x:v>
      </x:c>
      <x:c r="J165" s="10" t="n">
        <x:v>534200</x:v>
      </x:c>
      <x:c r="K165" s="10" t="n">
        <x:f>J165/I165</x:f>
        <x:v>89033.33333333333</x:v>
      </x:c>
      <x:c r="L165" s="9" t="n">
        <x:f>DATE(2026,6,30)-H165</x:f>
        <x:v>2</x:v>
      </x:c>
      <x:c r="M165" s="9" t="n">
        <x:f>IF(L165&lt;=60,5,IF(L165&lt;=120,4,IF(L165&lt;=180,3,IF(L165&lt;=240,2,1))))</x:f>
        <x:v>5</x:v>
      </x:c>
      <x:c r="N165" s="9" t="n">
        <x:f>IF(I165&gt;=6,5,IF(I165&gt;=4,4,IF(I165=3,3,IF(I165=2,2,1))))</x:f>
        <x:v>5</x:v>
      </x:c>
      <x:c r="O165" s="9" t="n">
        <x:f>IF(J165&gt;=500000,5,IF(J165&gt;=300000,4,IF(J165&gt;=175000,3,IF(J165&gt;=75000,2,1))))</x:f>
        <x:v>5</x:v>
      </x:c>
      <x:c r="P165" s="7" t="str">
        <x:f>M165&amp;N165&amp;O165</x:f>
        <x:v>555</x:v>
      </x:c>
      <x:c r="Q165" s="7" t="str">
        <x:f>IF(AND(L165&lt;=60,I165&gt;=5,J165&gt;=300000),"Champions",IF(AND(L165&lt;=120,I165&gt;=3),"Loyal Growth",IF(AND(L165&gt;180,J165&gt;=300000),"High Value At Risk",IF(DATE(2026,6,30)-G165&lt;=90,"New Accounts",IF(AND(L165&lt;=120,I165=1),"Promising",IF(L165&lt;=240,"Needs Nurture","Dormant"))))))</x:f>
        <x:v>Champions</x:v>
      </x:c>
      <x:c r="R165" s="7" t="str">
        <x:f>IF(DATE(2026,6,30)-G165&lt;=90,"New",IF(AND(L165&lt;=120,I165&gt;=2),"Active",IF(I165=1,"One-time",IF(L165&lt;=240,"At Risk","Lapsed"))))</x:f>
        <x:v>Active</x:v>
      </x:c>
      <x:c r="S165" s="15" t="str">
        <x:f>IF(Q165="Champions","Invite to advisory program and cross-sell service plans",IF(Q165="Loyal Growth","Prioritize expansion offer and product education",IF(Q165="High Value At Risk","Assign sales recovery outreach within 14 days",IF(Q165="New Accounts","Launch 90-day onboarding and adoption sequence",IF(Q165="Promising","Nurture second purchase with use-case content",IF(Q165="Needs Nurture","Run product-fit review and re-engagement sequence","Move to low-frequency win-back program"))))))</x:f>
        <x:v>Invite to advisory program and cross-sell service plans</x:v>
      </x:c>
      <x:c r="T165" s="1"/>
      <x:c r="U165" s="1"/>
      <x:c r="V165" s="1"/>
      <x:c r="W165" s="1"/>
      <x:c r="X165" s="1"/>
      <x:c r="Y165" s="1"/>
      <x:c r="Z165" s="1"/>
    </x:row>
    <x:row r="166">
      <x:c r="A166" s="7" t="str">
        <x:v>ACC-0165</x:v>
      </x:c>
      <x:c r="B166" s="7" t="str">
        <x:v>BlueRiver Packaging 165</x:v>
      </x:c>
      <x:c r="C166" s="7" t="str">
        <x:v>West</x:v>
      </x:c>
      <x:c r="D166" s="7" t="str">
        <x:v>Pharmaceuticals</x:v>
      </x:c>
      <x:c r="E166" s="7" t="str">
        <x:v>Enterprise</x:v>
      </x:c>
      <x:c r="F166" s="7" t="str">
        <x:v>LinkedIn</x:v>
      </x:c>
      <x:c r="G166" s="8" t="n">
        <x:v>45950</x:v>
      </x:c>
      <x:c r="H166" s="8" t="n">
        <x:v>46068</x:v>
      </x:c>
      <x:c r="I166" s="9" t="n">
        <x:v>4</x:v>
      </x:c>
      <x:c r="J166" s="10" t="n">
        <x:v>722500</x:v>
      </x:c>
      <x:c r="K166" s="10" t="n">
        <x:f>J166/I166</x:f>
        <x:v>180625</x:v>
      </x:c>
      <x:c r="L166" s="9" t="n">
        <x:f>DATE(2026,6,30)-H166</x:f>
        <x:v>135</x:v>
      </x:c>
      <x:c r="M166" s="9" t="n">
        <x:f>IF(L166&lt;=60,5,IF(L166&lt;=120,4,IF(L166&lt;=180,3,IF(L166&lt;=240,2,1))))</x:f>
        <x:v>3</x:v>
      </x:c>
      <x:c r="N166" s="9" t="n">
        <x:f>IF(I166&gt;=6,5,IF(I166&gt;=4,4,IF(I166=3,3,IF(I166=2,2,1))))</x:f>
        <x:v>4</x:v>
      </x:c>
      <x:c r="O166" s="9" t="n">
        <x:f>IF(J166&gt;=500000,5,IF(J166&gt;=300000,4,IF(J166&gt;=175000,3,IF(J166&gt;=75000,2,1))))</x:f>
        <x:v>5</x:v>
      </x:c>
      <x:c r="P166" s="7" t="str">
        <x:f>M166&amp;N166&amp;O166</x:f>
        <x:v>345</x:v>
      </x:c>
      <x:c r="Q166" s="7" t="str">
        <x:f>IF(AND(L166&lt;=60,I166&gt;=5,J166&gt;=300000),"Champions",IF(AND(L166&lt;=120,I166&gt;=3),"Loyal Growth",IF(AND(L166&gt;180,J166&gt;=300000),"High Value At Risk",IF(DATE(2026,6,30)-G166&lt;=90,"New Accounts",IF(AND(L166&lt;=120,I166=1),"Promising",IF(L166&lt;=240,"Needs Nurture","Dormant"))))))</x:f>
        <x:v>Needs Nurture</x:v>
      </x:c>
      <x:c r="R166" s="7" t="str">
        <x:f>IF(DATE(2026,6,30)-G166&lt;=90,"New",IF(AND(L166&lt;=120,I166&gt;=2),"Active",IF(I166=1,"One-time",IF(L166&lt;=240,"At Risk","Lapsed"))))</x:f>
        <x:v>At Risk</x:v>
      </x:c>
      <x:c r="S166" s="15" t="str">
        <x:f>IF(Q166="Champions","Invite to advisory program and cross-sell service plans",IF(Q166="Loyal Growth","Prioritize expansion offer and product education",IF(Q166="High Value At Risk","Assign sales recovery outreach within 14 days",IF(Q166="New Accounts","Launch 90-day onboarding and adoption sequence",IF(Q166="Promising","Nurture second purchase with use-case content",IF(Q166="Needs Nurture","Run product-fit review and re-engagement sequence","Move to low-frequency win-back program"))))))</x:f>
        <x:v>Run product-fit review and re-engagement sequence</x:v>
      </x:c>
      <x:c r="T166" s="1"/>
      <x:c r="U166" s="1"/>
      <x:c r="V166" s="1"/>
      <x:c r="W166" s="1"/>
      <x:c r="X166" s="1"/>
      <x:c r="Y166" s="1"/>
      <x:c r="Z166" s="1"/>
    </x:row>
    <x:row r="167">
      <x:c r="A167" s="7" t="str">
        <x:v>ACC-0166</x:v>
      </x:c>
      <x:c r="B167" s="7" t="str">
        <x:v>Harbor Industries 166</x:v>
      </x:c>
      <x:c r="C167" s="7" t="str">
        <x:v>Northeast</x:v>
      </x:c>
      <x:c r="D167" s="7" t="str">
        <x:v>Food &amp; Beverage</x:v>
      </x:c>
      <x:c r="E167" s="7" t="str">
        <x:v>Mid-market</x:v>
      </x:c>
      <x:c r="F167" s="7" t="str">
        <x:v>Partner Referral</x:v>
      </x:c>
      <x:c r="G167" s="8" t="n">
        <x:v>45787</x:v>
      </x:c>
      <x:c r="H167" s="8" t="n">
        <x:v>46058</x:v>
      </x:c>
      <x:c r="I167" s="9" t="n">
        <x:v>2</x:v>
      </x:c>
      <x:c r="J167" s="10" t="n">
        <x:v>163900</x:v>
      </x:c>
      <x:c r="K167" s="10" t="n">
        <x:f>J167/I167</x:f>
        <x:v>81950</x:v>
      </x:c>
      <x:c r="L167" s="9" t="n">
        <x:f>DATE(2026,6,30)-H167</x:f>
        <x:v>145</x:v>
      </x:c>
      <x:c r="M167" s="9" t="n">
        <x:f>IF(L167&lt;=60,5,IF(L167&lt;=120,4,IF(L167&lt;=180,3,IF(L167&lt;=240,2,1))))</x:f>
        <x:v>3</x:v>
      </x:c>
      <x:c r="N167" s="9" t="n">
        <x:f>IF(I167&gt;=6,5,IF(I167&gt;=4,4,IF(I167=3,3,IF(I167=2,2,1))))</x:f>
        <x:v>2</x:v>
      </x:c>
      <x:c r="O167" s="9" t="n">
        <x:f>IF(J167&gt;=500000,5,IF(J167&gt;=300000,4,IF(J167&gt;=175000,3,IF(J167&gt;=75000,2,1))))</x:f>
        <x:v>2</x:v>
      </x:c>
      <x:c r="P167" s="7" t="str">
        <x:f>M167&amp;N167&amp;O167</x:f>
        <x:v>322</x:v>
      </x:c>
      <x:c r="Q167" s="7" t="str">
        <x:f>IF(AND(L167&lt;=60,I167&gt;=5,J167&gt;=300000),"Champions",IF(AND(L167&lt;=120,I167&gt;=3),"Loyal Growth",IF(AND(L167&gt;180,J167&gt;=300000),"High Value At Risk",IF(DATE(2026,6,30)-G167&lt;=90,"New Accounts",IF(AND(L167&lt;=120,I167=1),"Promising",IF(L167&lt;=240,"Needs Nurture","Dormant"))))))</x:f>
        <x:v>Needs Nurture</x:v>
      </x:c>
      <x:c r="R167" s="7" t="str">
        <x:f>IF(DATE(2026,6,30)-G167&lt;=90,"New",IF(AND(L167&lt;=120,I167&gt;=2),"Active",IF(I167=1,"One-time",IF(L167&lt;=240,"At Risk","Lapsed"))))</x:f>
        <x:v>At Risk</x:v>
      </x:c>
      <x:c r="S167" s="15" t="str">
        <x:f>IF(Q167="Champions","Invite to advisory program and cross-sell service plans",IF(Q167="Loyal Growth","Prioritize expansion offer and product education",IF(Q167="High Value At Risk","Assign sales recovery outreach within 14 days",IF(Q167="New Accounts","Launch 90-day onboarding and adoption sequence",IF(Q167="Promising","Nurture second purchase with use-case content",IF(Q167="Needs Nurture","Run product-fit review and re-engagement sequence","Move to low-frequency win-back program"))))))</x:f>
        <x:v>Run product-fit review and re-engagement sequence</x:v>
      </x:c>
      <x:c r="T167" s="1"/>
      <x:c r="U167" s="1"/>
      <x:c r="V167" s="1"/>
      <x:c r="W167" s="1"/>
      <x:c r="X167" s="1"/>
      <x:c r="Y167" s="1"/>
      <x:c r="Z167" s="1"/>
    </x:row>
    <x:row r="168">
      <x:c r="A168" s="7" t="str">
        <x:v>ACC-0167</x:v>
      </x:c>
      <x:c r="B168" s="7" t="str">
        <x:v>Apex Products 167</x:v>
      </x:c>
      <x:c r="C168" s="7" t="str">
        <x:v>West</x:v>
      </x:c>
      <x:c r="D168" s="7" t="str">
        <x:v>Food &amp; Beverage</x:v>
      </x:c>
      <x:c r="E168" s="7" t="str">
        <x:v>Small</x:v>
      </x:c>
      <x:c r="F168" s="7" t="str">
        <x:v>LinkedIn</x:v>
      </x:c>
      <x:c r="G168" s="8" t="n">
        <x:v>45768</x:v>
      </x:c>
      <x:c r="H168" s="8" t="n">
        <x:v>45881</x:v>
      </x:c>
      <x:c r="I168" s="9" t="n">
        <x:v>2</x:v>
      </x:c>
      <x:c r="J168" s="10" t="n">
        <x:v>125200</x:v>
      </x:c>
      <x:c r="K168" s="10" t="n">
        <x:f>J168/I168</x:f>
        <x:v>62600</x:v>
      </x:c>
      <x:c r="L168" s="9" t="n">
        <x:f>DATE(2026,6,30)-H168</x:f>
        <x:v>322</x:v>
      </x:c>
      <x:c r="M168" s="9" t="n">
        <x:f>IF(L168&lt;=60,5,IF(L168&lt;=120,4,IF(L168&lt;=180,3,IF(L168&lt;=240,2,1))))</x:f>
        <x:v>1</x:v>
      </x:c>
      <x:c r="N168" s="9" t="n">
        <x:f>IF(I168&gt;=6,5,IF(I168&gt;=4,4,IF(I168=3,3,IF(I168=2,2,1))))</x:f>
        <x:v>2</x:v>
      </x:c>
      <x:c r="O168" s="9" t="n">
        <x:f>IF(J168&gt;=500000,5,IF(J168&gt;=300000,4,IF(J168&gt;=175000,3,IF(J168&gt;=75000,2,1))))</x:f>
        <x:v>2</x:v>
      </x:c>
      <x:c r="P168" s="7" t="str">
        <x:f>M168&amp;N168&amp;O168</x:f>
        <x:v>122</x:v>
      </x:c>
      <x:c r="Q168" s="7" t="str">
        <x:f>IF(AND(L168&lt;=60,I168&gt;=5,J168&gt;=300000),"Champions",IF(AND(L168&lt;=120,I168&gt;=3),"Loyal Growth",IF(AND(L168&gt;180,J168&gt;=300000),"High Value At Risk",IF(DATE(2026,6,30)-G168&lt;=90,"New Accounts",IF(AND(L168&lt;=120,I168=1),"Promising",IF(L168&lt;=240,"Needs Nurture","Dormant"))))))</x:f>
        <x:v>Dormant</x:v>
      </x:c>
      <x:c r="R168" s="7" t="str">
        <x:f>IF(DATE(2026,6,30)-G168&lt;=90,"New",IF(AND(L168&lt;=120,I168&gt;=2),"Active",IF(I168=1,"One-time",IF(L168&lt;=240,"At Risk","Lapsed"))))</x:f>
        <x:v>Lapsed</x:v>
      </x:c>
      <x:c r="S168" s="15" t="str">
        <x:f>IF(Q168="Champions","Invite to advisory program and cross-sell service plans",IF(Q168="Loyal Growth","Prioritize expansion offer and product education",IF(Q168="High Value At Risk","Assign sales recovery outreach within 14 days",IF(Q168="New Accounts","Launch 90-day onboarding and adoption sequence",IF(Q168="Promising","Nurture second purchase with use-case content",IF(Q168="Needs Nurture","Run product-fit review and re-engagement sequence","Move to low-frequency win-back program"))))))</x:f>
        <x:v>Move to low-frequency win-back program</x:v>
      </x:c>
      <x:c r="T168" s="1"/>
      <x:c r="U168" s="1"/>
      <x:c r="V168" s="1"/>
      <x:c r="W168" s="1"/>
      <x:c r="X168" s="1"/>
      <x:c r="Y168" s="1"/>
      <x:c r="Z168" s="1"/>
    </x:row>
    <x:row r="169">
      <x:c r="A169" s="7" t="str">
        <x:v>ACC-0168</x:v>
      </x:c>
      <x:c r="B169" s="7" t="str">
        <x:v>Apex Packaging 168</x:v>
      </x:c>
      <x:c r="C169" s="7" t="str">
        <x:v>West</x:v>
      </x:c>
      <x:c r="D169" s="7" t="str">
        <x:v>Food &amp; Beverage</x:v>
      </x:c>
      <x:c r="E169" s="7" t="str">
        <x:v>Small</x:v>
      </x:c>
      <x:c r="F169" s="7" t="str">
        <x:v>Trade Show</x:v>
      </x:c>
      <x:c r="G169" s="8" t="n">
        <x:v>45640</x:v>
      </x:c>
      <x:c r="H169" s="8" t="n">
        <x:v>45640</x:v>
      </x:c>
      <x:c r="I169" s="9" t="n">
        <x:v>1</x:v>
      </x:c>
      <x:c r="J169" s="10" t="n">
        <x:v>140400</x:v>
      </x:c>
      <x:c r="K169" s="10" t="n">
        <x:f>J169/I169</x:f>
        <x:v>140400</x:v>
      </x:c>
      <x:c r="L169" s="9" t="n">
        <x:f>DATE(2026,6,30)-H169</x:f>
        <x:v>563</x:v>
      </x:c>
      <x:c r="M169" s="9" t="n">
        <x:f>IF(L169&lt;=60,5,IF(L169&lt;=120,4,IF(L169&lt;=180,3,IF(L169&lt;=240,2,1))))</x:f>
        <x:v>1</x:v>
      </x:c>
      <x:c r="N169" s="9" t="n">
        <x:f>IF(I169&gt;=6,5,IF(I169&gt;=4,4,IF(I169=3,3,IF(I169=2,2,1))))</x:f>
        <x:v>1</x:v>
      </x:c>
      <x:c r="O169" s="9" t="n">
        <x:f>IF(J169&gt;=500000,5,IF(J169&gt;=300000,4,IF(J169&gt;=175000,3,IF(J169&gt;=75000,2,1))))</x:f>
        <x:v>2</x:v>
      </x:c>
      <x:c r="P169" s="7" t="str">
        <x:f>M169&amp;N169&amp;O169</x:f>
        <x:v>112</x:v>
      </x:c>
      <x:c r="Q169" s="7" t="str">
        <x:f>IF(AND(L169&lt;=60,I169&gt;=5,J169&gt;=300000),"Champions",IF(AND(L169&lt;=120,I169&gt;=3),"Loyal Growth",IF(AND(L169&gt;180,J169&gt;=300000),"High Value At Risk",IF(DATE(2026,6,30)-G169&lt;=90,"New Accounts",IF(AND(L169&lt;=120,I169=1),"Promising",IF(L169&lt;=240,"Needs Nurture","Dormant"))))))</x:f>
        <x:v>Dormant</x:v>
      </x:c>
      <x:c r="R169" s="7" t="str">
        <x:f>IF(DATE(2026,6,30)-G169&lt;=90,"New",IF(AND(L169&lt;=120,I169&gt;=2),"Active",IF(I169=1,"One-time",IF(L169&lt;=240,"At Risk","Lapsed"))))</x:f>
        <x:v>One-time</x:v>
      </x:c>
      <x:c r="S169" s="15" t="str">
        <x:f>IF(Q169="Champions","Invite to advisory program and cross-sell service plans",IF(Q169="Loyal Growth","Prioritize expansion offer and product education",IF(Q169="High Value At Risk","Assign sales recovery outreach within 14 days",IF(Q169="New Accounts","Launch 90-day onboarding and adoption sequence",IF(Q169="Promising","Nurture second purchase with use-case content",IF(Q169="Needs Nurture","Run product-fit review and re-engagement sequence","Move to low-frequency win-back program"))))))</x:f>
        <x:v>Move to low-frequency win-back program</x:v>
      </x:c>
      <x:c r="T169" s="1"/>
      <x:c r="U169" s="1"/>
      <x:c r="V169" s="1"/>
      <x:c r="W169" s="1"/>
      <x:c r="X169" s="1"/>
      <x:c r="Y169" s="1"/>
      <x:c r="Z169" s="1"/>
    </x:row>
    <x:row r="170">
      <x:c r="A170" s="7" t="str">
        <x:v>ACC-0169</x:v>
      </x:c>
      <x:c r="B170" s="7" t="str">
        <x:v>Beacon Labs 169</x:v>
      </x:c>
      <x:c r="C170" s="7" t="str">
        <x:v>West</x:v>
      </x:c>
      <x:c r="D170" s="7" t="str">
        <x:v>Pharmaceuticals</x:v>
      </x:c>
      <x:c r="E170" s="7" t="str">
        <x:v>Enterprise</x:v>
      </x:c>
      <x:c r="F170" s="7" t="str">
        <x:v>Trade Show</x:v>
      </x:c>
      <x:c r="G170" s="8" t="n">
        <x:v>46053</x:v>
      </x:c>
      <x:c r="H170" s="8" t="n">
        <x:v>46137</x:v>
      </x:c>
      <x:c r="I170" s="9" t="n">
        <x:v>3</x:v>
      </x:c>
      <x:c r="J170" s="10" t="n">
        <x:v>519300</x:v>
      </x:c>
      <x:c r="K170" s="10" t="n">
        <x:f>J170/I170</x:f>
        <x:v>173100</x:v>
      </x:c>
      <x:c r="L170" s="9" t="n">
        <x:f>DATE(2026,6,30)-H170</x:f>
        <x:v>66</x:v>
      </x:c>
      <x:c r="M170" s="9" t="n">
        <x:f>IF(L170&lt;=60,5,IF(L170&lt;=120,4,IF(L170&lt;=180,3,IF(L170&lt;=240,2,1))))</x:f>
        <x:v>4</x:v>
      </x:c>
      <x:c r="N170" s="9" t="n">
        <x:f>IF(I170&gt;=6,5,IF(I170&gt;=4,4,IF(I170=3,3,IF(I170=2,2,1))))</x:f>
        <x:v>3</x:v>
      </x:c>
      <x:c r="O170" s="9" t="n">
        <x:f>IF(J170&gt;=500000,5,IF(J170&gt;=300000,4,IF(J170&gt;=175000,3,IF(J170&gt;=75000,2,1))))</x:f>
        <x:v>5</x:v>
      </x:c>
      <x:c r="P170" s="7" t="str">
        <x:f>M170&amp;N170&amp;O170</x:f>
        <x:v>435</x:v>
      </x:c>
      <x:c r="Q170" s="7" t="str">
        <x:f>IF(AND(L170&lt;=60,I170&gt;=5,J170&gt;=300000),"Champions",IF(AND(L170&lt;=120,I170&gt;=3),"Loyal Growth",IF(AND(L170&gt;180,J170&gt;=300000),"High Value At Risk",IF(DATE(2026,6,30)-G170&lt;=90,"New Accounts",IF(AND(L170&lt;=120,I170=1),"Promising",IF(L170&lt;=240,"Needs Nurture","Dormant"))))))</x:f>
        <x:v>Loyal Growth</x:v>
      </x:c>
      <x:c r="R170" s="7" t="str">
        <x:f>IF(DATE(2026,6,30)-G170&lt;=90,"New",IF(AND(L170&lt;=120,I170&gt;=2),"Active",IF(I170=1,"One-time",IF(L170&lt;=240,"At Risk","Lapsed"))))</x:f>
        <x:v>Active</x:v>
      </x:c>
      <x:c r="S170" s="15" t="str">
        <x:f>IF(Q170="Champions","Invite to advisory program and cross-sell service plans",IF(Q170="Loyal Growth","Prioritize expansion offer and product education",IF(Q170="High Value At Risk","Assign sales recovery outreach within 14 days",IF(Q170="New Accounts","Launch 90-day onboarding and adoption sequence",IF(Q170="Promising","Nurture second purchase with use-case content",IF(Q170="Needs Nurture","Run product-fit review and re-engagement sequence","Move to low-frequency win-back program"))))))</x:f>
        <x:v>Prioritize expansion offer and product education</x:v>
      </x:c>
      <x:c r="T170" s="1"/>
      <x:c r="U170" s="1"/>
      <x:c r="V170" s="1"/>
      <x:c r="W170" s="1"/>
      <x:c r="X170" s="1"/>
      <x:c r="Y170" s="1"/>
      <x:c r="Z170" s="1"/>
    </x:row>
    <x:row r="171">
      <x:c r="A171" s="7" t="str">
        <x:v>ACC-0170</x:v>
      </x:c>
      <x:c r="B171" s="7" t="str">
        <x:v>Vertex Packaging 170</x:v>
      </x:c>
      <x:c r="C171" s="7" t="str">
        <x:v>Midwest</x:v>
      </x:c>
      <x:c r="D171" s="7" t="str">
        <x:v>Contract Packaging</x:v>
      </x:c>
      <x:c r="E171" s="7" t="str">
        <x:v>Small</x:v>
      </x:c>
      <x:c r="F171" s="7" t="str">
        <x:v>Email</x:v>
      </x:c>
      <x:c r="G171" s="8" t="n">
        <x:v>45450</x:v>
      </x:c>
      <x:c r="H171" s="8" t="n">
        <x:v>45450</x:v>
      </x:c>
      <x:c r="I171" s="9" t="n">
        <x:v>1</x:v>
      </x:c>
      <x:c r="J171" s="10" t="n">
        <x:v>10700</x:v>
      </x:c>
      <x:c r="K171" s="10" t="n">
        <x:f>J171/I171</x:f>
        <x:v>10700</x:v>
      </x:c>
      <x:c r="L171" s="9" t="n">
        <x:f>DATE(2026,6,30)-H171</x:f>
        <x:v>753</x:v>
      </x:c>
      <x:c r="M171" s="9" t="n">
        <x:f>IF(L171&lt;=60,5,IF(L171&lt;=120,4,IF(L171&lt;=180,3,IF(L171&lt;=240,2,1))))</x:f>
        <x:v>1</x:v>
      </x:c>
      <x:c r="N171" s="9" t="n">
        <x:f>IF(I171&gt;=6,5,IF(I171&gt;=4,4,IF(I171=3,3,IF(I171=2,2,1))))</x:f>
        <x:v>1</x:v>
      </x:c>
      <x:c r="O171" s="9" t="n">
        <x:f>IF(J171&gt;=500000,5,IF(J171&gt;=300000,4,IF(J171&gt;=175000,3,IF(J171&gt;=75000,2,1))))</x:f>
        <x:v>1</x:v>
      </x:c>
      <x:c r="P171" s="7" t="str">
        <x:f>M171&amp;N171&amp;O171</x:f>
        <x:v>111</x:v>
      </x:c>
      <x:c r="Q171" s="7" t="str">
        <x:f>IF(AND(L171&lt;=60,I171&gt;=5,J171&gt;=300000),"Champions",IF(AND(L171&lt;=120,I171&gt;=3),"Loyal Growth",IF(AND(L171&gt;180,J171&gt;=300000),"High Value At Risk",IF(DATE(2026,6,30)-G171&lt;=90,"New Accounts",IF(AND(L171&lt;=120,I171=1),"Promising",IF(L171&lt;=240,"Needs Nurture","Dormant"))))))</x:f>
        <x:v>Dormant</x:v>
      </x:c>
      <x:c r="R171" s="7" t="str">
        <x:f>IF(DATE(2026,6,30)-G171&lt;=90,"New",IF(AND(L171&lt;=120,I171&gt;=2),"Active",IF(I171=1,"One-time",IF(L171&lt;=240,"At Risk","Lapsed"))))</x:f>
        <x:v>One-time</x:v>
      </x:c>
      <x:c r="S171" s="15" t="str">
        <x:f>IF(Q171="Champions","Invite to advisory program and cross-sell service plans",IF(Q171="Loyal Growth","Prioritize expansion offer and product education",IF(Q171="High Value At Risk","Assign sales recovery outreach within 14 days",IF(Q171="New Accounts","Launch 90-day onboarding and adoption sequence",IF(Q171="Promising","Nurture second purchase with use-case content",IF(Q171="Needs Nurture","Run product-fit review and re-engagement sequence","Move to low-frequency win-back program"))))))</x:f>
        <x:v>Move to low-frequency win-back program</x:v>
      </x:c>
      <x:c r="T171" s="1"/>
      <x:c r="U171" s="1"/>
      <x:c r="V171" s="1"/>
      <x:c r="W171" s="1"/>
      <x:c r="X171" s="1"/>
      <x:c r="Y171" s="1"/>
      <x:c r="Z171" s="1"/>
    </x:row>
    <x:row r="172">
      <x:c r="A172" s="7" t="str">
        <x:v>ACC-0171</x:v>
      </x:c>
      <x:c r="B172" s="7" t="str">
        <x:v>Beacon Manufacturing 171</x:v>
      </x:c>
      <x:c r="C172" s="7" t="str">
        <x:v>Midwest</x:v>
      </x:c>
      <x:c r="D172" s="7" t="str">
        <x:v>Pharmaceuticals</x:v>
      </x:c>
      <x:c r="E172" s="7" t="str">
        <x:v>Small</x:v>
      </x:c>
      <x:c r="F172" s="7" t="str">
        <x:v>LinkedIn</x:v>
      </x:c>
      <x:c r="G172" s="8" t="n">
        <x:v>45524</x:v>
      </x:c>
      <x:c r="H172" s="8" t="n">
        <x:v>46089</x:v>
      </x:c>
      <x:c r="I172" s="9" t="n">
        <x:v>3</x:v>
      </x:c>
      <x:c r="J172" s="10" t="n">
        <x:v>234200</x:v>
      </x:c>
      <x:c r="K172" s="10" t="n">
        <x:f>J172/I172</x:f>
        <x:v>78066.66666666667</x:v>
      </x:c>
      <x:c r="L172" s="9" t="n">
        <x:f>DATE(2026,6,30)-H172</x:f>
        <x:v>114</x:v>
      </x:c>
      <x:c r="M172" s="9" t="n">
        <x:f>IF(L172&lt;=60,5,IF(L172&lt;=120,4,IF(L172&lt;=180,3,IF(L172&lt;=240,2,1))))</x:f>
        <x:v>4</x:v>
      </x:c>
      <x:c r="N172" s="9" t="n">
        <x:f>IF(I172&gt;=6,5,IF(I172&gt;=4,4,IF(I172=3,3,IF(I172=2,2,1))))</x:f>
        <x:v>3</x:v>
      </x:c>
      <x:c r="O172" s="9" t="n">
        <x:f>IF(J172&gt;=500000,5,IF(J172&gt;=300000,4,IF(J172&gt;=175000,3,IF(J172&gt;=75000,2,1))))</x:f>
        <x:v>3</x:v>
      </x:c>
      <x:c r="P172" s="7" t="str">
        <x:f>M172&amp;N172&amp;O172</x:f>
        <x:v>433</x:v>
      </x:c>
      <x:c r="Q172" s="7" t="str">
        <x:f>IF(AND(L172&lt;=60,I172&gt;=5,J172&gt;=300000),"Champions",IF(AND(L172&lt;=120,I172&gt;=3),"Loyal Growth",IF(AND(L172&gt;180,J172&gt;=300000),"High Value At Risk",IF(DATE(2026,6,30)-G172&lt;=90,"New Accounts",IF(AND(L172&lt;=120,I172=1),"Promising",IF(L172&lt;=240,"Needs Nurture","Dormant"))))))</x:f>
        <x:v>Loyal Growth</x:v>
      </x:c>
      <x:c r="R172" s="7" t="str">
        <x:f>IF(DATE(2026,6,30)-G172&lt;=90,"New",IF(AND(L172&lt;=120,I172&gt;=2),"Active",IF(I172=1,"One-time",IF(L172&lt;=240,"At Risk","Lapsed"))))</x:f>
        <x:v>Active</x:v>
      </x:c>
      <x:c r="S172" s="15" t="str">
        <x:f>IF(Q172="Champions","Invite to advisory program and cross-sell service plans",IF(Q172="Loyal Growth","Prioritize expansion offer and product education",IF(Q172="High Value At Risk","Assign sales recovery outreach within 14 days",IF(Q172="New Accounts","Launch 90-day onboarding and adoption sequence",IF(Q172="Promising","Nurture second purchase with use-case content",IF(Q172="Needs Nurture","Run product-fit review and re-engagement sequence","Move to low-frequency win-back program"))))))</x:f>
        <x:v>Prioritize expansion offer and product education</x:v>
      </x:c>
      <x:c r="T172" s="1"/>
      <x:c r="U172" s="1"/>
      <x:c r="V172" s="1"/>
      <x:c r="W172" s="1"/>
      <x:c r="X172" s="1"/>
      <x:c r="Y172" s="1"/>
      <x:c r="Z172" s="1"/>
    </x:row>
    <x:row r="173">
      <x:c r="A173" s="7" t="str">
        <x:v>ACC-0172</x:v>
      </x:c>
      <x:c r="B173" s="7" t="str">
        <x:v>Pioneer Manufacturing 172</x:v>
      </x:c>
      <x:c r="C173" s="7" t="str">
        <x:v>South</x:v>
      </x:c>
      <x:c r="D173" s="7" t="str">
        <x:v>Industrial Products</x:v>
      </x:c>
      <x:c r="E173" s="7" t="str">
        <x:v>Small</x:v>
      </x:c>
      <x:c r="F173" s="7" t="str">
        <x:v>LinkedIn</x:v>
      </x:c>
      <x:c r="G173" s="8" t="n">
        <x:v>45610</x:v>
      </x:c>
      <x:c r="H173" s="8" t="n">
        <x:v>46189</x:v>
      </x:c>
      <x:c r="I173" s="9" t="n">
        <x:v>3</x:v>
      </x:c>
      <x:c r="J173" s="10" t="n">
        <x:v>241500</x:v>
      </x:c>
      <x:c r="K173" s="10" t="n">
        <x:f>J173/I173</x:f>
        <x:v>80500</x:v>
      </x:c>
      <x:c r="L173" s="9" t="n">
        <x:f>DATE(2026,6,30)-H173</x:f>
        <x:v>14</x:v>
      </x:c>
      <x:c r="M173" s="9" t="n">
        <x:f>IF(L173&lt;=60,5,IF(L173&lt;=120,4,IF(L173&lt;=180,3,IF(L173&lt;=240,2,1))))</x:f>
        <x:v>5</x:v>
      </x:c>
      <x:c r="N173" s="9" t="n">
        <x:f>IF(I173&gt;=6,5,IF(I173&gt;=4,4,IF(I173=3,3,IF(I173=2,2,1))))</x:f>
        <x:v>3</x:v>
      </x:c>
      <x:c r="O173" s="9" t="n">
        <x:f>IF(J173&gt;=500000,5,IF(J173&gt;=300000,4,IF(J173&gt;=175000,3,IF(J173&gt;=75000,2,1))))</x:f>
        <x:v>3</x:v>
      </x:c>
      <x:c r="P173" s="7" t="str">
        <x:f>M173&amp;N173&amp;O173</x:f>
        <x:v>533</x:v>
      </x:c>
      <x:c r="Q173" s="7" t="str">
        <x:f>IF(AND(L173&lt;=60,I173&gt;=5,J173&gt;=300000),"Champions",IF(AND(L173&lt;=120,I173&gt;=3),"Loyal Growth",IF(AND(L173&gt;180,J173&gt;=300000),"High Value At Risk",IF(DATE(2026,6,30)-G173&lt;=90,"New Accounts",IF(AND(L173&lt;=120,I173=1),"Promising",IF(L173&lt;=240,"Needs Nurture","Dormant"))))))</x:f>
        <x:v>Loyal Growth</x:v>
      </x:c>
      <x:c r="R173" s="7" t="str">
        <x:f>IF(DATE(2026,6,30)-G173&lt;=90,"New",IF(AND(L173&lt;=120,I173&gt;=2),"Active",IF(I173=1,"One-time",IF(L173&lt;=240,"At Risk","Lapsed"))))</x:f>
        <x:v>Active</x:v>
      </x:c>
      <x:c r="S173" s="15" t="str">
        <x:f>IF(Q173="Champions","Invite to advisory program and cross-sell service plans",IF(Q173="Loyal Growth","Prioritize expansion offer and product education",IF(Q173="High Value At Risk","Assign sales recovery outreach within 14 days",IF(Q173="New Accounts","Launch 90-day onboarding and adoption sequence",IF(Q173="Promising","Nurture second purchase with use-case content",IF(Q173="Needs Nurture","Run product-fit review and re-engagement sequence","Move to low-frequency win-back program"))))))</x:f>
        <x:v>Prioritize expansion offer and product education</x:v>
      </x:c>
      <x:c r="T173" s="1"/>
      <x:c r="U173" s="1"/>
      <x:c r="V173" s="1"/>
      <x:c r="W173" s="1"/>
      <x:c r="X173" s="1"/>
      <x:c r="Y173" s="1"/>
      <x:c r="Z173" s="1"/>
    </x:row>
    <x:row r="174">
      <x:c r="A174" s="7" t="str">
        <x:v>ACC-0173</x:v>
      </x:c>
      <x:c r="B174" s="7" t="str">
        <x:v>Harbor Brands 173</x:v>
      </x:c>
      <x:c r="C174" s="7" t="str">
        <x:v>Northeast</x:v>
      </x:c>
      <x:c r="D174" s="7" t="str">
        <x:v>Industrial Products</x:v>
      </x:c>
      <x:c r="E174" s="7" t="str">
        <x:v>Enterprise</x:v>
      </x:c>
      <x:c r="F174" s="7" t="str">
        <x:v>Trade Show</x:v>
      </x:c>
      <x:c r="G174" s="8" t="n">
        <x:v>45723</x:v>
      </x:c>
      <x:c r="H174" s="8" t="n">
        <x:v>46124</x:v>
      </x:c>
      <x:c r="I174" s="9" t="n">
        <x:v>5</x:v>
      </x:c>
      <x:c r="J174" s="10" t="n">
        <x:v>1022700</x:v>
      </x:c>
      <x:c r="K174" s="10" t="n">
        <x:f>J174/I174</x:f>
        <x:v>204540</x:v>
      </x:c>
      <x:c r="L174" s="9" t="n">
        <x:f>DATE(2026,6,30)-H174</x:f>
        <x:v>79</x:v>
      </x:c>
      <x:c r="M174" s="9" t="n">
        <x:f>IF(L174&lt;=60,5,IF(L174&lt;=120,4,IF(L174&lt;=180,3,IF(L174&lt;=240,2,1))))</x:f>
        <x:v>4</x:v>
      </x:c>
      <x:c r="N174" s="9" t="n">
        <x:f>IF(I174&gt;=6,5,IF(I174&gt;=4,4,IF(I174=3,3,IF(I174=2,2,1))))</x:f>
        <x:v>4</x:v>
      </x:c>
      <x:c r="O174" s="9" t="n">
        <x:f>IF(J174&gt;=500000,5,IF(J174&gt;=300000,4,IF(J174&gt;=175000,3,IF(J174&gt;=75000,2,1))))</x:f>
        <x:v>5</x:v>
      </x:c>
      <x:c r="P174" s="7" t="str">
        <x:f>M174&amp;N174&amp;O174</x:f>
        <x:v>445</x:v>
      </x:c>
      <x:c r="Q174" s="7" t="str">
        <x:f>IF(AND(L174&lt;=60,I174&gt;=5,J174&gt;=300000),"Champions",IF(AND(L174&lt;=120,I174&gt;=3),"Loyal Growth",IF(AND(L174&gt;180,J174&gt;=300000),"High Value At Risk",IF(DATE(2026,6,30)-G174&lt;=90,"New Accounts",IF(AND(L174&lt;=120,I174=1),"Promising",IF(L174&lt;=240,"Needs Nurture","Dormant"))))))</x:f>
        <x:v>Loyal Growth</x:v>
      </x:c>
      <x:c r="R174" s="7" t="str">
        <x:f>IF(DATE(2026,6,30)-G174&lt;=90,"New",IF(AND(L174&lt;=120,I174&gt;=2),"Active",IF(I174=1,"One-time",IF(L174&lt;=240,"At Risk","Lapsed"))))</x:f>
        <x:v>Active</x:v>
      </x:c>
      <x:c r="S174" s="15" t="str">
        <x:f>IF(Q174="Champions","Invite to advisory program and cross-sell service plans",IF(Q174="Loyal Growth","Prioritize expansion offer and product education",IF(Q174="High Value At Risk","Assign sales recovery outreach within 14 days",IF(Q174="New Accounts","Launch 90-day onboarding and adoption sequence",IF(Q174="Promising","Nurture second purchase with use-case content",IF(Q174="Needs Nurture","Run product-fit review and re-engagement sequence","Move to low-frequency win-back program"))))))</x:f>
        <x:v>Prioritize expansion offer and product education</x:v>
      </x:c>
      <x:c r="T174" s="1"/>
      <x:c r="U174" s="1"/>
      <x:c r="V174" s="1"/>
      <x:c r="W174" s="1"/>
      <x:c r="X174" s="1"/>
      <x:c r="Y174" s="1"/>
      <x:c r="Z174" s="1"/>
    </x:row>
    <x:row r="175">
      <x:c r="A175" s="7" t="str">
        <x:v>ACC-0174</x:v>
      </x:c>
      <x:c r="B175" s="7" t="str">
        <x:v>Titan Labs 174</x:v>
      </x:c>
      <x:c r="C175" s="7" t="str">
        <x:v>West</x:v>
      </x:c>
      <x:c r="D175" s="7" t="str">
        <x:v>Pharmaceuticals</x:v>
      </x:c>
      <x:c r="E175" s="7" t="str">
        <x:v>Small</x:v>
      </x:c>
      <x:c r="F175" s="7" t="str">
        <x:v>Partner Referral</x:v>
      </x:c>
      <x:c r="G175" s="8" t="n">
        <x:v>45339</x:v>
      </x:c>
      <x:c r="H175" s="8" t="n">
        <x:v>45932</x:v>
      </x:c>
      <x:c r="I175" s="9" t="n">
        <x:v>4</x:v>
      </x:c>
      <x:c r="J175" s="10" t="n">
        <x:v>306800</x:v>
      </x:c>
      <x:c r="K175" s="10" t="n">
        <x:f>J175/I175</x:f>
        <x:v>76700</x:v>
      </x:c>
      <x:c r="L175" s="9" t="n">
        <x:f>DATE(2026,6,30)-H175</x:f>
        <x:v>271</x:v>
      </x:c>
      <x:c r="M175" s="9" t="n">
        <x:f>IF(L175&lt;=60,5,IF(L175&lt;=120,4,IF(L175&lt;=180,3,IF(L175&lt;=240,2,1))))</x:f>
        <x:v>1</x:v>
      </x:c>
      <x:c r="N175" s="9" t="n">
        <x:f>IF(I175&gt;=6,5,IF(I175&gt;=4,4,IF(I175=3,3,IF(I175=2,2,1))))</x:f>
        <x:v>4</x:v>
      </x:c>
      <x:c r="O175" s="9" t="n">
        <x:f>IF(J175&gt;=500000,5,IF(J175&gt;=300000,4,IF(J175&gt;=175000,3,IF(J175&gt;=75000,2,1))))</x:f>
        <x:v>4</x:v>
      </x:c>
      <x:c r="P175" s="7" t="str">
        <x:f>M175&amp;N175&amp;O175</x:f>
        <x:v>144</x:v>
      </x:c>
      <x:c r="Q175" s="7" t="str">
        <x:f>IF(AND(L175&lt;=60,I175&gt;=5,J175&gt;=300000),"Champions",IF(AND(L175&lt;=120,I175&gt;=3),"Loyal Growth",IF(AND(L175&gt;180,J175&gt;=300000),"High Value At Risk",IF(DATE(2026,6,30)-G175&lt;=90,"New Accounts",IF(AND(L175&lt;=120,I175=1),"Promising",IF(L175&lt;=240,"Needs Nurture","Dormant"))))))</x:f>
        <x:v>High Value At Risk</x:v>
      </x:c>
      <x:c r="R175" s="7" t="str">
        <x:f>IF(DATE(2026,6,30)-G175&lt;=90,"New",IF(AND(L175&lt;=120,I175&gt;=2),"Active",IF(I175=1,"One-time",IF(L175&lt;=240,"At Risk","Lapsed"))))</x:f>
        <x:v>Lapsed</x:v>
      </x:c>
      <x:c r="S175" s="15" t="str">
        <x:f>IF(Q175="Champions","Invite to advisory program and cross-sell service plans",IF(Q175="Loyal Growth","Prioritize expansion offer and product education",IF(Q175="High Value At Risk","Assign sales recovery outreach within 14 days",IF(Q175="New Accounts","Launch 90-day onboarding and adoption sequence",IF(Q175="Promising","Nurture second purchase with use-case content",IF(Q175="Needs Nurture","Run product-fit review and re-engagement sequence","Move to low-frequency win-back program"))))))</x:f>
        <x:v>Assign sales recovery outreach within 14 days</x:v>
      </x:c>
      <x:c r="T175" s="1"/>
      <x:c r="U175" s="1"/>
      <x:c r="V175" s="1"/>
      <x:c r="W175" s="1"/>
      <x:c r="X175" s="1"/>
      <x:c r="Y175" s="1"/>
      <x:c r="Z175" s="1"/>
    </x:row>
    <x:row r="176">
      <x:c r="A176" s="7" t="str">
        <x:v>ACC-0175</x:v>
      </x:c>
      <x:c r="B176" s="7" t="str">
        <x:v>Northstar Packaging 175</x:v>
      </x:c>
      <x:c r="C176" s="7" t="str">
        <x:v>Midwest</x:v>
      </x:c>
      <x:c r="D176" s="7" t="str">
        <x:v>Pharmaceuticals</x:v>
      </x:c>
      <x:c r="E176" s="7" t="str">
        <x:v>Mid-market</x:v>
      </x:c>
      <x:c r="F176" s="7" t="str">
        <x:v>LinkedIn</x:v>
      </x:c>
      <x:c r="G176" s="8" t="n">
        <x:v>45707</x:v>
      </x:c>
      <x:c r="H176" s="8" t="n">
        <x:v>46093</x:v>
      </x:c>
      <x:c r="I176" s="9" t="n">
        <x:v>4</x:v>
      </x:c>
      <x:c r="J176" s="10" t="n">
        <x:v>627000</x:v>
      </x:c>
      <x:c r="K176" s="10" t="n">
        <x:f>J176/I176</x:f>
        <x:v>156750</x:v>
      </x:c>
      <x:c r="L176" s="9" t="n">
        <x:f>DATE(2026,6,30)-H176</x:f>
        <x:v>110</x:v>
      </x:c>
      <x:c r="M176" s="9" t="n">
        <x:f>IF(L176&lt;=60,5,IF(L176&lt;=120,4,IF(L176&lt;=180,3,IF(L176&lt;=240,2,1))))</x:f>
        <x:v>4</x:v>
      </x:c>
      <x:c r="N176" s="9" t="n">
        <x:f>IF(I176&gt;=6,5,IF(I176&gt;=4,4,IF(I176=3,3,IF(I176=2,2,1))))</x:f>
        <x:v>4</x:v>
      </x:c>
      <x:c r="O176" s="9" t="n">
        <x:f>IF(J176&gt;=500000,5,IF(J176&gt;=300000,4,IF(J176&gt;=175000,3,IF(J176&gt;=75000,2,1))))</x:f>
        <x:v>5</x:v>
      </x:c>
      <x:c r="P176" s="7" t="str">
        <x:f>M176&amp;N176&amp;O176</x:f>
        <x:v>445</x:v>
      </x:c>
      <x:c r="Q176" s="7" t="str">
        <x:f>IF(AND(L176&lt;=60,I176&gt;=5,J176&gt;=300000),"Champions",IF(AND(L176&lt;=120,I176&gt;=3),"Loyal Growth",IF(AND(L176&gt;180,J176&gt;=300000),"High Value At Risk",IF(DATE(2026,6,30)-G176&lt;=90,"New Accounts",IF(AND(L176&lt;=120,I176=1),"Promising",IF(L176&lt;=240,"Needs Nurture","Dormant"))))))</x:f>
        <x:v>Loyal Growth</x:v>
      </x:c>
      <x:c r="R176" s="7" t="str">
        <x:f>IF(DATE(2026,6,30)-G176&lt;=90,"New",IF(AND(L176&lt;=120,I176&gt;=2),"Active",IF(I176=1,"One-time",IF(L176&lt;=240,"At Risk","Lapsed"))))</x:f>
        <x:v>Active</x:v>
      </x:c>
      <x:c r="S176" s="15" t="str">
        <x:f>IF(Q176="Champions","Invite to advisory program and cross-sell service plans",IF(Q176="Loyal Growth","Prioritize expansion offer and product education",IF(Q176="High Value At Risk","Assign sales recovery outreach within 14 days",IF(Q176="New Accounts","Launch 90-day onboarding and adoption sequence",IF(Q176="Promising","Nurture second purchase with use-case content",IF(Q176="Needs Nurture","Run product-fit review and re-engagement sequence","Move to low-frequency win-back program"))))))</x:f>
        <x:v>Prioritize expansion offer and product education</x:v>
      </x:c>
      <x:c r="T176" s="1"/>
      <x:c r="U176" s="1"/>
      <x:c r="V176" s="1"/>
      <x:c r="W176" s="1"/>
      <x:c r="X176" s="1"/>
      <x:c r="Y176" s="1"/>
      <x:c r="Z176" s="1"/>
    </x:row>
    <x:row r="177">
      <x:c r="A177" s="7" t="str">
        <x:v>ACC-0176</x:v>
      </x:c>
      <x:c r="B177" s="7" t="str">
        <x:v>Summit Industries 176</x:v>
      </x:c>
      <x:c r="C177" s="7" t="str">
        <x:v>Northeast</x:v>
      </x:c>
      <x:c r="D177" s="7" t="str">
        <x:v>Contract Packaging</x:v>
      </x:c>
      <x:c r="E177" s="7" t="str">
        <x:v>Enterprise</x:v>
      </x:c>
      <x:c r="F177" s="7" t="str">
        <x:v>Trade Show</x:v>
      </x:c>
      <x:c r="G177" s="8" t="n">
        <x:v>45310</x:v>
      </x:c>
      <x:c r="H177" s="8" t="n">
        <x:v>45674</x:v>
      </x:c>
      <x:c r="I177" s="9" t="n">
        <x:v>3</x:v>
      </x:c>
      <x:c r="J177" s="10" t="n">
        <x:v>411100</x:v>
      </x:c>
      <x:c r="K177" s="10" t="n">
        <x:f>J177/I177</x:f>
        <x:v>137033.33333333334</x:v>
      </x:c>
      <x:c r="L177" s="9" t="n">
        <x:f>DATE(2026,6,30)-H177</x:f>
        <x:v>529</x:v>
      </x:c>
      <x:c r="M177" s="9" t="n">
        <x:f>IF(L177&lt;=60,5,IF(L177&lt;=120,4,IF(L177&lt;=180,3,IF(L177&lt;=240,2,1))))</x:f>
        <x:v>1</x:v>
      </x:c>
      <x:c r="N177" s="9" t="n">
        <x:f>IF(I177&gt;=6,5,IF(I177&gt;=4,4,IF(I177=3,3,IF(I177=2,2,1))))</x:f>
        <x:v>3</x:v>
      </x:c>
      <x:c r="O177" s="9" t="n">
        <x:f>IF(J177&gt;=500000,5,IF(J177&gt;=300000,4,IF(J177&gt;=175000,3,IF(J177&gt;=75000,2,1))))</x:f>
        <x:v>4</x:v>
      </x:c>
      <x:c r="P177" s="7" t="str">
        <x:f>M177&amp;N177&amp;O177</x:f>
        <x:v>134</x:v>
      </x:c>
      <x:c r="Q177" s="7" t="str">
        <x:f>IF(AND(L177&lt;=60,I177&gt;=5,J177&gt;=300000),"Champions",IF(AND(L177&lt;=120,I177&gt;=3),"Loyal Growth",IF(AND(L177&gt;180,J177&gt;=300000),"High Value At Risk",IF(DATE(2026,6,30)-G177&lt;=90,"New Accounts",IF(AND(L177&lt;=120,I177=1),"Promising",IF(L177&lt;=240,"Needs Nurture","Dormant"))))))</x:f>
        <x:v>High Value At Risk</x:v>
      </x:c>
      <x:c r="R177" s="7" t="str">
        <x:f>IF(DATE(2026,6,30)-G177&lt;=90,"New",IF(AND(L177&lt;=120,I177&gt;=2),"Active",IF(I177=1,"One-time",IF(L177&lt;=240,"At Risk","Lapsed"))))</x:f>
        <x:v>Lapsed</x:v>
      </x:c>
      <x:c r="S177" s="15" t="str">
        <x:f>IF(Q177="Champions","Invite to advisory program and cross-sell service plans",IF(Q177="Loyal Growth","Prioritize expansion offer and product education",IF(Q177="High Value At Risk","Assign sales recovery outreach within 14 days",IF(Q177="New Accounts","Launch 90-day onboarding and adoption sequence",IF(Q177="Promising","Nurture second purchase with use-case content",IF(Q177="Needs Nurture","Run product-fit review and re-engagement sequence","Move to low-frequency win-back program"))))))</x:f>
        <x:v>Assign sales recovery outreach within 14 days</x:v>
      </x:c>
      <x:c r="T177" s="1"/>
      <x:c r="U177" s="1"/>
      <x:c r="V177" s="1"/>
      <x:c r="W177" s="1"/>
      <x:c r="X177" s="1"/>
      <x:c r="Y177" s="1"/>
      <x:c r="Z177" s="1"/>
    </x:row>
    <x:row r="178">
      <x:c r="A178" s="7" t="str">
        <x:v>ACC-0177</x:v>
      </x:c>
      <x:c r="B178" s="7" t="str">
        <x:v>Crest Labs 177</x:v>
      </x:c>
      <x:c r="C178" s="7" t="str">
        <x:v>West</x:v>
      </x:c>
      <x:c r="D178" s="7" t="str">
        <x:v>Consumer Goods</x:v>
      </x:c>
      <x:c r="E178" s="7" t="str">
        <x:v>Enterprise</x:v>
      </x:c>
      <x:c r="F178" s="7" t="str">
        <x:v>Trade Show</x:v>
      </x:c>
      <x:c r="G178" s="8" t="n">
        <x:v>46132</x:v>
      </x:c>
      <x:c r="H178" s="8" t="n">
        <x:v>46173</x:v>
      </x:c>
      <x:c r="I178" s="9" t="n">
        <x:v>2</x:v>
      </x:c>
      <x:c r="J178" s="10" t="n">
        <x:v>318400</x:v>
      </x:c>
      <x:c r="K178" s="10" t="n">
        <x:f>J178/I178</x:f>
        <x:v>159200</x:v>
      </x:c>
      <x:c r="L178" s="9" t="n">
        <x:f>DATE(2026,6,30)-H178</x:f>
        <x:v>30</x:v>
      </x:c>
      <x:c r="M178" s="9" t="n">
        <x:f>IF(L178&lt;=60,5,IF(L178&lt;=120,4,IF(L178&lt;=180,3,IF(L178&lt;=240,2,1))))</x:f>
        <x:v>5</x:v>
      </x:c>
      <x:c r="N178" s="9" t="n">
        <x:f>IF(I178&gt;=6,5,IF(I178&gt;=4,4,IF(I178=3,3,IF(I178=2,2,1))))</x:f>
        <x:v>2</x:v>
      </x:c>
      <x:c r="O178" s="9" t="n">
        <x:f>IF(J178&gt;=500000,5,IF(J178&gt;=300000,4,IF(J178&gt;=175000,3,IF(J178&gt;=75000,2,1))))</x:f>
        <x:v>4</x:v>
      </x:c>
      <x:c r="P178" s="7" t="str">
        <x:f>M178&amp;N178&amp;O178</x:f>
        <x:v>524</x:v>
      </x:c>
      <x:c r="Q178" s="7" t="str">
        <x:f>IF(AND(L178&lt;=60,I178&gt;=5,J178&gt;=300000),"Champions",IF(AND(L178&lt;=120,I178&gt;=3),"Loyal Growth",IF(AND(L178&gt;180,J178&gt;=300000),"High Value At Risk",IF(DATE(2026,6,30)-G178&lt;=90,"New Accounts",IF(AND(L178&lt;=120,I178=1),"Promising",IF(L178&lt;=240,"Needs Nurture","Dormant"))))))</x:f>
        <x:v>New Accounts</x:v>
      </x:c>
      <x:c r="R178" s="7" t="str">
        <x:f>IF(DATE(2026,6,30)-G178&lt;=90,"New",IF(AND(L178&lt;=120,I178&gt;=2),"Active",IF(I178=1,"One-time",IF(L178&lt;=240,"At Risk","Lapsed"))))</x:f>
        <x:v>New</x:v>
      </x:c>
      <x:c r="S178" s="15" t="str">
        <x:f>IF(Q178="Champions","Invite to advisory program and cross-sell service plans",IF(Q178="Loyal Growth","Prioritize expansion offer and product education",IF(Q178="High Value At Risk","Assign sales recovery outreach within 14 days",IF(Q178="New Accounts","Launch 90-day onboarding and adoption sequence",IF(Q178="Promising","Nurture second purchase with use-case content",IF(Q178="Needs Nurture","Run product-fit review and re-engagement sequence","Move to low-frequency win-back program"))))))</x:f>
        <x:v>Launch 90-day onboarding and adoption sequence</x:v>
      </x:c>
      <x:c r="T178" s="1"/>
      <x:c r="U178" s="1"/>
      <x:c r="V178" s="1"/>
      <x:c r="W178" s="1"/>
      <x:c r="X178" s="1"/>
      <x:c r="Y178" s="1"/>
      <x:c r="Z178" s="1"/>
    </x:row>
    <x:row r="179">
      <x:c r="A179" s="7" t="str">
        <x:v>ACC-0178</x:v>
      </x:c>
      <x:c r="B179" s="7" t="str">
        <x:v>Evergreen Foods 178</x:v>
      </x:c>
      <x:c r="C179" s="7" t="str">
        <x:v>South</x:v>
      </x:c>
      <x:c r="D179" s="7" t="str">
        <x:v>Industrial Products</x:v>
      </x:c>
      <x:c r="E179" s="7" t="str">
        <x:v>Enterprise</x:v>
      </x:c>
      <x:c r="F179" s="7" t="str">
        <x:v>Google Search</x:v>
      </x:c>
      <x:c r="G179" s="8" t="n">
        <x:v>46101</x:v>
      </x:c>
      <x:c r="H179" s="8" t="n">
        <x:v>46200</x:v>
      </x:c>
      <x:c r="I179" s="9" t="n">
        <x:v>2</x:v>
      </x:c>
      <x:c r="J179" s="10" t="n">
        <x:v>302800</x:v>
      </x:c>
      <x:c r="K179" s="10" t="n">
        <x:f>J179/I179</x:f>
        <x:v>151400</x:v>
      </x:c>
      <x:c r="L179" s="9" t="n">
        <x:f>DATE(2026,6,30)-H179</x:f>
        <x:v>3</x:v>
      </x:c>
      <x:c r="M179" s="9" t="n">
        <x:f>IF(L179&lt;=60,5,IF(L179&lt;=120,4,IF(L179&lt;=180,3,IF(L179&lt;=240,2,1))))</x:f>
        <x:v>5</x:v>
      </x:c>
      <x:c r="N179" s="9" t="n">
        <x:f>IF(I179&gt;=6,5,IF(I179&gt;=4,4,IF(I179=3,3,IF(I179=2,2,1))))</x:f>
        <x:v>2</x:v>
      </x:c>
      <x:c r="O179" s="9" t="n">
        <x:f>IF(J179&gt;=500000,5,IF(J179&gt;=300000,4,IF(J179&gt;=175000,3,IF(J179&gt;=75000,2,1))))</x:f>
        <x:v>4</x:v>
      </x:c>
      <x:c r="P179" s="7" t="str">
        <x:f>M179&amp;N179&amp;O179</x:f>
        <x:v>524</x:v>
      </x:c>
      <x:c r="Q179" s="7" t="str">
        <x:f>IF(AND(L179&lt;=60,I179&gt;=5,J179&gt;=300000),"Champions",IF(AND(L179&lt;=120,I179&gt;=3),"Loyal Growth",IF(AND(L179&gt;180,J179&gt;=300000),"High Value At Risk",IF(DATE(2026,6,30)-G179&lt;=90,"New Accounts",IF(AND(L179&lt;=120,I179=1),"Promising",IF(L179&lt;=240,"Needs Nurture","Dormant"))))))</x:f>
        <x:v>Needs Nurture</x:v>
      </x:c>
      <x:c r="R179" s="7" t="str">
        <x:f>IF(DATE(2026,6,30)-G179&lt;=90,"New",IF(AND(L179&lt;=120,I179&gt;=2),"Active",IF(I179=1,"One-time",IF(L179&lt;=240,"At Risk","Lapsed"))))</x:f>
        <x:v>Active</x:v>
      </x:c>
      <x:c r="S179" s="15" t="str">
        <x:f>IF(Q179="Champions","Invite to advisory program and cross-sell service plans",IF(Q179="Loyal Growth","Prioritize expansion offer and product education",IF(Q179="High Value At Risk","Assign sales recovery outreach within 14 days",IF(Q179="New Accounts","Launch 90-day onboarding and adoption sequence",IF(Q179="Promising","Nurture second purchase with use-case content",IF(Q179="Needs Nurture","Run product-fit review and re-engagement sequence","Move to low-frequency win-back program"))))))</x:f>
        <x:v>Run product-fit review and re-engagement sequence</x:v>
      </x:c>
      <x:c r="T179" s="1"/>
      <x:c r="U179" s="1"/>
      <x:c r="V179" s="1"/>
      <x:c r="W179" s="1"/>
      <x:c r="X179" s="1"/>
      <x:c r="Y179" s="1"/>
      <x:c r="Z179" s="1"/>
    </x:row>
    <x:row r="180">
      <x:c r="A180" s="7" t="str">
        <x:v>ACC-0179</x:v>
      </x:c>
      <x:c r="B180" s="7" t="str">
        <x:v>Harbor Labs 179</x:v>
      </x:c>
      <x:c r="C180" s="7" t="str">
        <x:v>Midwest</x:v>
      </x:c>
      <x:c r="D180" s="7" t="str">
        <x:v>Consumer Goods</x:v>
      </x:c>
      <x:c r="E180" s="7" t="str">
        <x:v>Enterprise</x:v>
      </x:c>
      <x:c r="F180" s="7" t="str">
        <x:v>Trade Show</x:v>
      </x:c>
      <x:c r="G180" s="8" t="n">
        <x:v>45775</x:v>
      </x:c>
      <x:c r="H180" s="8" t="n">
        <x:v>46162</x:v>
      </x:c>
      <x:c r="I180" s="9" t="n">
        <x:v>5</x:v>
      </x:c>
      <x:c r="J180" s="10" t="n">
        <x:v>606600</x:v>
      </x:c>
      <x:c r="K180" s="10" t="n">
        <x:f>J180/I180</x:f>
        <x:v>121320</x:v>
      </x:c>
      <x:c r="L180" s="9" t="n">
        <x:f>DATE(2026,6,30)-H180</x:f>
        <x:v>41</x:v>
      </x:c>
      <x:c r="M180" s="9" t="n">
        <x:f>IF(L180&lt;=60,5,IF(L180&lt;=120,4,IF(L180&lt;=180,3,IF(L180&lt;=240,2,1))))</x:f>
        <x:v>5</x:v>
      </x:c>
      <x:c r="N180" s="9" t="n">
        <x:f>IF(I180&gt;=6,5,IF(I180&gt;=4,4,IF(I180=3,3,IF(I180=2,2,1))))</x:f>
        <x:v>4</x:v>
      </x:c>
      <x:c r="O180" s="9" t="n">
        <x:f>IF(J180&gt;=500000,5,IF(J180&gt;=300000,4,IF(J180&gt;=175000,3,IF(J180&gt;=75000,2,1))))</x:f>
        <x:v>5</x:v>
      </x:c>
      <x:c r="P180" s="7" t="str">
        <x:f>M180&amp;N180&amp;O180</x:f>
        <x:v>545</x:v>
      </x:c>
      <x:c r="Q180" s="7" t="str">
        <x:f>IF(AND(L180&lt;=60,I180&gt;=5,J180&gt;=300000),"Champions",IF(AND(L180&lt;=120,I180&gt;=3),"Loyal Growth",IF(AND(L180&gt;180,J180&gt;=300000),"High Value At Risk",IF(DATE(2026,6,30)-G180&lt;=90,"New Accounts",IF(AND(L180&lt;=120,I180=1),"Promising",IF(L180&lt;=240,"Needs Nurture","Dormant"))))))</x:f>
        <x:v>Champions</x:v>
      </x:c>
      <x:c r="R180" s="7" t="str">
        <x:f>IF(DATE(2026,6,30)-G180&lt;=90,"New",IF(AND(L180&lt;=120,I180&gt;=2),"Active",IF(I180=1,"One-time",IF(L180&lt;=240,"At Risk","Lapsed"))))</x:f>
        <x:v>Active</x:v>
      </x:c>
      <x:c r="S180" s="15" t="str">
        <x:f>IF(Q180="Champions","Invite to advisory program and cross-sell service plans",IF(Q180="Loyal Growth","Prioritize expansion offer and product education",IF(Q180="High Value At Risk","Assign sales recovery outreach within 14 days",IF(Q180="New Accounts","Launch 90-day onboarding and adoption sequence",IF(Q180="Promising","Nurture second purchase with use-case content",IF(Q180="Needs Nurture","Run product-fit review and re-engagement sequence","Move to low-frequency win-back program"))))))</x:f>
        <x:v>Invite to advisory program and cross-sell service plans</x:v>
      </x:c>
      <x:c r="T180" s="1"/>
      <x:c r="U180" s="1"/>
      <x:c r="V180" s="1"/>
      <x:c r="W180" s="1"/>
      <x:c r="X180" s="1"/>
      <x:c r="Y180" s="1"/>
      <x:c r="Z180" s="1"/>
    </x:row>
    <x:row r="181">
      <x:c r="A181" s="7" t="str">
        <x:v>ACC-0180</x:v>
      </x:c>
      <x:c r="B181" s="7" t="str">
        <x:v>Granite Foods 180</x:v>
      </x:c>
      <x:c r="C181" s="7" t="str">
        <x:v>South</x:v>
      </x:c>
      <x:c r="D181" s="7" t="str">
        <x:v>Contract Packaging</x:v>
      </x:c>
      <x:c r="E181" s="7" t="str">
        <x:v>Enterprise</x:v>
      </x:c>
      <x:c r="F181" s="7" t="str">
        <x:v>Trade Show</x:v>
      </x:c>
      <x:c r="G181" s="8" t="n">
        <x:v>45296</x:v>
      </x:c>
      <x:c r="H181" s="8" t="n">
        <x:v>46200</x:v>
      </x:c>
      <x:c r="I181" s="9" t="n">
        <x:v>4</x:v>
      </x:c>
      <x:c r="J181" s="10" t="n">
        <x:v>427200</x:v>
      </x:c>
      <x:c r="K181" s="10" t="n">
        <x:f>J181/I181</x:f>
        <x:v>106800</x:v>
      </x:c>
      <x:c r="L181" s="9" t="n">
        <x:f>DATE(2026,6,30)-H181</x:f>
        <x:v>3</x:v>
      </x:c>
      <x:c r="M181" s="9" t="n">
        <x:f>IF(L181&lt;=60,5,IF(L181&lt;=120,4,IF(L181&lt;=180,3,IF(L181&lt;=240,2,1))))</x:f>
        <x:v>5</x:v>
      </x:c>
      <x:c r="N181" s="9" t="n">
        <x:f>IF(I181&gt;=6,5,IF(I181&gt;=4,4,IF(I181=3,3,IF(I181=2,2,1))))</x:f>
        <x:v>4</x:v>
      </x:c>
      <x:c r="O181" s="9" t="n">
        <x:f>IF(J181&gt;=500000,5,IF(J181&gt;=300000,4,IF(J181&gt;=175000,3,IF(J181&gt;=75000,2,1))))</x:f>
        <x:v>4</x:v>
      </x:c>
      <x:c r="P181" s="7" t="str">
        <x:f>M181&amp;N181&amp;O181</x:f>
        <x:v>544</x:v>
      </x:c>
      <x:c r="Q181" s="7" t="str">
        <x:f>IF(AND(L181&lt;=60,I181&gt;=5,J181&gt;=300000),"Champions",IF(AND(L181&lt;=120,I181&gt;=3),"Loyal Growth",IF(AND(L181&gt;180,J181&gt;=300000),"High Value At Risk",IF(DATE(2026,6,30)-G181&lt;=90,"New Accounts",IF(AND(L181&lt;=120,I181=1),"Promising",IF(L181&lt;=240,"Needs Nurture","Dormant"))))))</x:f>
        <x:v>Loyal Growth</x:v>
      </x:c>
      <x:c r="R181" s="7" t="str">
        <x:f>IF(DATE(2026,6,30)-G181&lt;=90,"New",IF(AND(L181&lt;=120,I181&gt;=2),"Active",IF(I181=1,"One-time",IF(L181&lt;=240,"At Risk","Lapsed"))))</x:f>
        <x:v>Active</x:v>
      </x:c>
      <x:c r="S181" s="15" t="str">
        <x:f>IF(Q181="Champions","Invite to advisory program and cross-sell service plans",IF(Q181="Loyal Growth","Prioritize expansion offer and product education",IF(Q181="High Value At Risk","Assign sales recovery outreach within 14 days",IF(Q181="New Accounts","Launch 90-day onboarding and adoption sequence",IF(Q181="Promising","Nurture second purchase with use-case content",IF(Q181="Needs Nurture","Run product-fit review and re-engagement sequence","Move to low-frequency win-back program"))))))</x:f>
        <x:v>Prioritize expansion offer and product education</x:v>
      </x:c>
      <x:c r="T181" s="1"/>
      <x:c r="U181" s="1"/>
      <x:c r="V181" s="1"/>
      <x:c r="W181" s="1"/>
      <x:c r="X181" s="1"/>
      <x:c r="Y181" s="1"/>
      <x:c r="Z181" s="1"/>
    </x:row>
    <x:row r="182">
      <x:c r="A182" s="7" t="str">
        <x:v>ACC-0181</x:v>
      </x:c>
      <x:c r="B182" s="7" t="str">
        <x:v>Meridian Brands 181</x:v>
      </x:c>
      <x:c r="C182" s="7" t="str">
        <x:v>Northeast</x:v>
      </x:c>
      <x:c r="D182" s="7" t="str">
        <x:v>Consumer Goods</x:v>
      </x:c>
      <x:c r="E182" s="7" t="str">
        <x:v>Small</x:v>
      </x:c>
      <x:c r="F182" s="7" t="str">
        <x:v>Trade Show</x:v>
      </x:c>
      <x:c r="G182" s="8" t="n">
        <x:v>45505</x:v>
      </x:c>
      <x:c r="H182" s="8" t="n">
        <x:v>45769</x:v>
      </x:c>
      <x:c r="I182" s="9" t="n">
        <x:v>3</x:v>
      </x:c>
      <x:c r="J182" s="10" t="n">
        <x:v>282000</x:v>
      </x:c>
      <x:c r="K182" s="10" t="n">
        <x:f>J182/I182</x:f>
        <x:v>94000</x:v>
      </x:c>
      <x:c r="L182" s="9" t="n">
        <x:f>DATE(2026,6,30)-H182</x:f>
        <x:v>434</x:v>
      </x:c>
      <x:c r="M182" s="9" t="n">
        <x:f>IF(L182&lt;=60,5,IF(L182&lt;=120,4,IF(L182&lt;=180,3,IF(L182&lt;=240,2,1))))</x:f>
        <x:v>1</x:v>
      </x:c>
      <x:c r="N182" s="9" t="n">
        <x:f>IF(I182&gt;=6,5,IF(I182&gt;=4,4,IF(I182=3,3,IF(I182=2,2,1))))</x:f>
        <x:v>3</x:v>
      </x:c>
      <x:c r="O182" s="9" t="n">
        <x:f>IF(J182&gt;=500000,5,IF(J182&gt;=300000,4,IF(J182&gt;=175000,3,IF(J182&gt;=75000,2,1))))</x:f>
        <x:v>3</x:v>
      </x:c>
      <x:c r="P182" s="7" t="str">
        <x:f>M182&amp;N182&amp;O182</x:f>
        <x:v>133</x:v>
      </x:c>
      <x:c r="Q182" s="7" t="str">
        <x:f>IF(AND(L182&lt;=60,I182&gt;=5,J182&gt;=300000),"Champions",IF(AND(L182&lt;=120,I182&gt;=3),"Loyal Growth",IF(AND(L182&gt;180,J182&gt;=300000),"High Value At Risk",IF(DATE(2026,6,30)-G182&lt;=90,"New Accounts",IF(AND(L182&lt;=120,I182=1),"Promising",IF(L182&lt;=240,"Needs Nurture","Dormant"))))))</x:f>
        <x:v>Dormant</x:v>
      </x:c>
      <x:c r="R182" s="7" t="str">
        <x:f>IF(DATE(2026,6,30)-G182&lt;=90,"New",IF(AND(L182&lt;=120,I182&gt;=2),"Active",IF(I182=1,"One-time",IF(L182&lt;=240,"At Risk","Lapsed"))))</x:f>
        <x:v>Lapsed</x:v>
      </x:c>
      <x:c r="S182" s="15" t="str">
        <x:f>IF(Q182="Champions","Invite to advisory program and cross-sell service plans",IF(Q182="Loyal Growth","Prioritize expansion offer and product education",IF(Q182="High Value At Risk","Assign sales recovery outreach within 14 days",IF(Q182="New Accounts","Launch 90-day onboarding and adoption sequence",IF(Q182="Promising","Nurture second purchase with use-case content",IF(Q182="Needs Nurture","Run product-fit review and re-engagement sequence","Move to low-frequency win-back program"))))))</x:f>
        <x:v>Move to low-frequency win-back program</x:v>
      </x:c>
      <x:c r="T182" s="1"/>
      <x:c r="U182" s="1"/>
      <x:c r="V182" s="1"/>
      <x:c r="W182" s="1"/>
      <x:c r="X182" s="1"/>
      <x:c r="Y182" s="1"/>
      <x:c r="Z182" s="1"/>
    </x:row>
    <x:row r="183">
      <x:c r="A183" s="7" t="str">
        <x:v>ACC-0182</x:v>
      </x:c>
      <x:c r="B183" s="7" t="str">
        <x:v>Northstar Industries 182</x:v>
      </x:c>
      <x:c r="C183" s="7" t="str">
        <x:v>Northeast</x:v>
      </x:c>
      <x:c r="D183" s="7" t="str">
        <x:v>Food &amp; Beverage</x:v>
      </x:c>
      <x:c r="E183" s="7" t="str">
        <x:v>Enterprise</x:v>
      </x:c>
      <x:c r="F183" s="7" t="str">
        <x:v>Trade Show</x:v>
      </x:c>
      <x:c r="G183" s="8" t="n">
        <x:v>45718</x:v>
      </x:c>
      <x:c r="H183" s="8" t="n">
        <x:v>46198</x:v>
      </x:c>
      <x:c r="I183" s="9" t="n">
        <x:v>6</x:v>
      </x:c>
      <x:c r="J183" s="10" t="n">
        <x:v>1121500</x:v>
      </x:c>
      <x:c r="K183" s="10" t="n">
        <x:f>J183/I183</x:f>
        <x:v>186916.66666666666</x:v>
      </x:c>
      <x:c r="L183" s="9" t="n">
        <x:f>DATE(2026,6,30)-H183</x:f>
        <x:v>5</x:v>
      </x:c>
      <x:c r="M183" s="9" t="n">
        <x:f>IF(L183&lt;=60,5,IF(L183&lt;=120,4,IF(L183&lt;=180,3,IF(L183&lt;=240,2,1))))</x:f>
        <x:v>5</x:v>
      </x:c>
      <x:c r="N183" s="9" t="n">
        <x:f>IF(I183&gt;=6,5,IF(I183&gt;=4,4,IF(I183=3,3,IF(I183=2,2,1))))</x:f>
        <x:v>5</x:v>
      </x:c>
      <x:c r="O183" s="9" t="n">
        <x:f>IF(J183&gt;=500000,5,IF(J183&gt;=300000,4,IF(J183&gt;=175000,3,IF(J183&gt;=75000,2,1))))</x:f>
        <x:v>5</x:v>
      </x:c>
      <x:c r="P183" s="7" t="str">
        <x:f>M183&amp;N183&amp;O183</x:f>
        <x:v>555</x:v>
      </x:c>
      <x:c r="Q183" s="7" t="str">
        <x:f>IF(AND(L183&lt;=60,I183&gt;=5,J183&gt;=300000),"Champions",IF(AND(L183&lt;=120,I183&gt;=3),"Loyal Growth",IF(AND(L183&gt;180,J183&gt;=300000),"High Value At Risk",IF(DATE(2026,6,30)-G183&lt;=90,"New Accounts",IF(AND(L183&lt;=120,I183=1),"Promising",IF(L183&lt;=240,"Needs Nurture","Dormant"))))))</x:f>
        <x:v>Champions</x:v>
      </x:c>
      <x:c r="R183" s="7" t="str">
        <x:f>IF(DATE(2026,6,30)-G183&lt;=90,"New",IF(AND(L183&lt;=120,I183&gt;=2),"Active",IF(I183=1,"One-time",IF(L183&lt;=240,"At Risk","Lapsed"))))</x:f>
        <x:v>Active</x:v>
      </x:c>
      <x:c r="S183" s="15" t="str">
        <x:f>IF(Q183="Champions","Invite to advisory program and cross-sell service plans",IF(Q183="Loyal Growth","Prioritize expansion offer and product education",IF(Q183="High Value At Risk","Assign sales recovery outreach within 14 days",IF(Q183="New Accounts","Launch 90-day onboarding and adoption sequence",IF(Q183="Promising","Nurture second purchase with use-case content",IF(Q183="Needs Nurture","Run product-fit review and re-engagement sequence","Move to low-frequency win-back program"))))))</x:f>
        <x:v>Invite to advisory program and cross-sell service plans</x:v>
      </x:c>
      <x:c r="T183" s="1"/>
      <x:c r="U183" s="1"/>
      <x:c r="V183" s="1"/>
      <x:c r="W183" s="1"/>
      <x:c r="X183" s="1"/>
      <x:c r="Y183" s="1"/>
      <x:c r="Z183" s="1"/>
    </x:row>
    <x:row r="184">
      <x:c r="A184" s="7" t="str">
        <x:v>ACC-0183</x:v>
      </x:c>
      <x:c r="B184" s="7" t="str">
        <x:v>Pioneer Manufacturing 183</x:v>
      </x:c>
      <x:c r="C184" s="7" t="str">
        <x:v>Northeast</x:v>
      </x:c>
      <x:c r="D184" s="7" t="str">
        <x:v>Food &amp; Beverage</x:v>
      </x:c>
      <x:c r="E184" s="7" t="str">
        <x:v>Enterprise</x:v>
      </x:c>
      <x:c r="F184" s="7" t="str">
        <x:v>Email</x:v>
      </x:c>
      <x:c r="G184" s="8" t="n">
        <x:v>45489</x:v>
      </x:c>
      <x:c r="H184" s="8" t="n">
        <x:v>46177</x:v>
      </x:c>
      <x:c r="I184" s="9" t="n">
        <x:v>8</x:v>
      </x:c>
      <x:c r="J184" s="10" t="n">
        <x:v>966500</x:v>
      </x:c>
      <x:c r="K184" s="10" t="n">
        <x:f>J184/I184</x:f>
        <x:v>120812.5</x:v>
      </x:c>
      <x:c r="L184" s="9" t="n">
        <x:f>DATE(2026,6,30)-H184</x:f>
        <x:v>26</x:v>
      </x:c>
      <x:c r="M184" s="9" t="n">
        <x:f>IF(L184&lt;=60,5,IF(L184&lt;=120,4,IF(L184&lt;=180,3,IF(L184&lt;=240,2,1))))</x:f>
        <x:v>5</x:v>
      </x:c>
      <x:c r="N184" s="9" t="n">
        <x:f>IF(I184&gt;=6,5,IF(I184&gt;=4,4,IF(I184=3,3,IF(I184=2,2,1))))</x:f>
        <x:v>5</x:v>
      </x:c>
      <x:c r="O184" s="9" t="n">
        <x:f>IF(J184&gt;=500000,5,IF(J184&gt;=300000,4,IF(J184&gt;=175000,3,IF(J184&gt;=75000,2,1))))</x:f>
        <x:v>5</x:v>
      </x:c>
      <x:c r="P184" s="7" t="str">
        <x:f>M184&amp;N184&amp;O184</x:f>
        <x:v>555</x:v>
      </x:c>
      <x:c r="Q184" s="7" t="str">
        <x:f>IF(AND(L184&lt;=60,I184&gt;=5,J184&gt;=300000),"Champions",IF(AND(L184&lt;=120,I184&gt;=3),"Loyal Growth",IF(AND(L184&gt;180,J184&gt;=300000),"High Value At Risk",IF(DATE(2026,6,30)-G184&lt;=90,"New Accounts",IF(AND(L184&lt;=120,I184=1),"Promising",IF(L184&lt;=240,"Needs Nurture","Dormant"))))))</x:f>
        <x:v>Champions</x:v>
      </x:c>
      <x:c r="R184" s="7" t="str">
        <x:f>IF(DATE(2026,6,30)-G184&lt;=90,"New",IF(AND(L184&lt;=120,I184&gt;=2),"Active",IF(I184=1,"One-time",IF(L184&lt;=240,"At Risk","Lapsed"))))</x:f>
        <x:v>Active</x:v>
      </x:c>
      <x:c r="S184" s="15" t="str">
        <x:f>IF(Q184="Champions","Invite to advisory program and cross-sell service plans",IF(Q184="Loyal Growth","Prioritize expansion offer and product education",IF(Q184="High Value At Risk","Assign sales recovery outreach within 14 days",IF(Q184="New Accounts","Launch 90-day onboarding and adoption sequence",IF(Q184="Promising","Nurture second purchase with use-case content",IF(Q184="Needs Nurture","Run product-fit review and re-engagement sequence","Move to low-frequency win-back program"))))))</x:f>
        <x:v>Invite to advisory program and cross-sell service plans</x:v>
      </x:c>
      <x:c r="T184" s="1"/>
      <x:c r="U184" s="1"/>
      <x:c r="V184" s="1"/>
      <x:c r="W184" s="1"/>
      <x:c r="X184" s="1"/>
      <x:c r="Y184" s="1"/>
      <x:c r="Z184" s="1"/>
    </x:row>
    <x:row r="185">
      <x:c r="A185" s="7" t="str">
        <x:v>ACC-0184</x:v>
      </x:c>
      <x:c r="B185" s="7" t="str">
        <x:v>Titan Products 184</x:v>
      </x:c>
      <x:c r="C185" s="7" t="str">
        <x:v>Northeast</x:v>
      </x:c>
      <x:c r="D185" s="7" t="str">
        <x:v>Food &amp; Beverage</x:v>
      </x:c>
      <x:c r="E185" s="7" t="str">
        <x:v>Small</x:v>
      </x:c>
      <x:c r="F185" s="7" t="str">
        <x:v>Trade Show</x:v>
      </x:c>
      <x:c r="G185" s="8" t="n">
        <x:v>45452</x:v>
      </x:c>
      <x:c r="H185" s="8" t="n">
        <x:v>45452</x:v>
      </x:c>
      <x:c r="I185" s="9" t="n">
        <x:v>1</x:v>
      </x:c>
      <x:c r="J185" s="10" t="n">
        <x:v>17400</x:v>
      </x:c>
      <x:c r="K185" s="10" t="n">
        <x:f>J185/I185</x:f>
        <x:v>17400</x:v>
      </x:c>
      <x:c r="L185" s="9" t="n">
        <x:f>DATE(2026,6,30)-H185</x:f>
        <x:v>751</x:v>
      </x:c>
      <x:c r="M185" s="9" t="n">
        <x:f>IF(L185&lt;=60,5,IF(L185&lt;=120,4,IF(L185&lt;=180,3,IF(L185&lt;=240,2,1))))</x:f>
        <x:v>1</x:v>
      </x:c>
      <x:c r="N185" s="9" t="n">
        <x:f>IF(I185&gt;=6,5,IF(I185&gt;=4,4,IF(I185=3,3,IF(I185=2,2,1))))</x:f>
        <x:v>1</x:v>
      </x:c>
      <x:c r="O185" s="9" t="n">
        <x:f>IF(J185&gt;=500000,5,IF(J185&gt;=300000,4,IF(J185&gt;=175000,3,IF(J185&gt;=75000,2,1))))</x:f>
        <x:v>1</x:v>
      </x:c>
      <x:c r="P185" s="7" t="str">
        <x:f>M185&amp;N185&amp;O185</x:f>
        <x:v>111</x:v>
      </x:c>
      <x:c r="Q185" s="7" t="str">
        <x:f>IF(AND(L185&lt;=60,I185&gt;=5,J185&gt;=300000),"Champions",IF(AND(L185&lt;=120,I185&gt;=3),"Loyal Growth",IF(AND(L185&gt;180,J185&gt;=300000),"High Value At Risk",IF(DATE(2026,6,30)-G185&lt;=90,"New Accounts",IF(AND(L185&lt;=120,I185=1),"Promising",IF(L185&lt;=240,"Needs Nurture","Dormant"))))))</x:f>
        <x:v>Dormant</x:v>
      </x:c>
      <x:c r="R185" s="7" t="str">
        <x:f>IF(DATE(2026,6,30)-G185&lt;=90,"New",IF(AND(L185&lt;=120,I185&gt;=2),"Active",IF(I185=1,"One-time",IF(L185&lt;=240,"At Risk","Lapsed"))))</x:f>
        <x:v>One-time</x:v>
      </x:c>
      <x:c r="S185" s="15" t="str">
        <x:f>IF(Q185="Champions","Invite to advisory program and cross-sell service plans",IF(Q185="Loyal Growth","Prioritize expansion offer and product education",IF(Q185="High Value At Risk","Assign sales recovery outreach within 14 days",IF(Q185="New Accounts","Launch 90-day onboarding and adoption sequence",IF(Q185="Promising","Nurture second purchase with use-case content",IF(Q185="Needs Nurture","Run product-fit review and re-engagement sequence","Move to low-frequency win-back program"))))))</x:f>
        <x:v>Move to low-frequency win-back program</x:v>
      </x:c>
      <x:c r="T185" s="1"/>
      <x:c r="U185" s="1"/>
      <x:c r="V185" s="1"/>
      <x:c r="W185" s="1"/>
      <x:c r="X185" s="1"/>
      <x:c r="Y185" s="1"/>
      <x:c r="Z185" s="1"/>
    </x:row>
    <x:row r="186">
      <x:c r="A186" s="7" t="str">
        <x:v>ACC-0185</x:v>
      </x:c>
      <x:c r="B186" s="7" t="str">
        <x:v>Beacon Labs 185</x:v>
      </x:c>
      <x:c r="C186" s="7" t="str">
        <x:v>South</x:v>
      </x:c>
      <x:c r="D186" s="7" t="str">
        <x:v>Industrial Products</x:v>
      </x:c>
      <x:c r="E186" s="7" t="str">
        <x:v>Small</x:v>
      </x:c>
      <x:c r="F186" s="7" t="str">
        <x:v>Email</x:v>
      </x:c>
      <x:c r="G186" s="8" t="n">
        <x:v>45845</x:v>
      </x:c>
      <x:c r="H186" s="8" t="n">
        <x:v>46078</x:v>
      </x:c>
      <x:c r="I186" s="9" t="n">
        <x:v>4</x:v>
      </x:c>
      <x:c r="J186" s="10" t="n">
        <x:v>414500</x:v>
      </x:c>
      <x:c r="K186" s="10" t="n">
        <x:f>J186/I186</x:f>
        <x:v>103625</x:v>
      </x:c>
      <x:c r="L186" s="9" t="n">
        <x:f>DATE(2026,6,30)-H186</x:f>
        <x:v>125</x:v>
      </x:c>
      <x:c r="M186" s="9" t="n">
        <x:f>IF(L186&lt;=60,5,IF(L186&lt;=120,4,IF(L186&lt;=180,3,IF(L186&lt;=240,2,1))))</x:f>
        <x:v>3</x:v>
      </x:c>
      <x:c r="N186" s="9" t="n">
        <x:f>IF(I186&gt;=6,5,IF(I186&gt;=4,4,IF(I186=3,3,IF(I186=2,2,1))))</x:f>
        <x:v>4</x:v>
      </x:c>
      <x:c r="O186" s="9" t="n">
        <x:f>IF(J186&gt;=500000,5,IF(J186&gt;=300000,4,IF(J186&gt;=175000,3,IF(J186&gt;=75000,2,1))))</x:f>
        <x:v>4</x:v>
      </x:c>
      <x:c r="P186" s="7" t="str">
        <x:f>M186&amp;N186&amp;O186</x:f>
        <x:v>344</x:v>
      </x:c>
      <x:c r="Q186" s="7" t="str">
        <x:f>IF(AND(L186&lt;=60,I186&gt;=5,J186&gt;=300000),"Champions",IF(AND(L186&lt;=120,I186&gt;=3),"Loyal Growth",IF(AND(L186&gt;180,J186&gt;=300000),"High Value At Risk",IF(DATE(2026,6,30)-G186&lt;=90,"New Accounts",IF(AND(L186&lt;=120,I186=1),"Promising",IF(L186&lt;=240,"Needs Nurture","Dormant"))))))</x:f>
        <x:v>Needs Nurture</x:v>
      </x:c>
      <x:c r="R186" s="7" t="str">
        <x:f>IF(DATE(2026,6,30)-G186&lt;=90,"New",IF(AND(L186&lt;=120,I186&gt;=2),"Active",IF(I186=1,"One-time",IF(L186&lt;=240,"At Risk","Lapsed"))))</x:f>
        <x:v>At Risk</x:v>
      </x:c>
      <x:c r="S186" s="15" t="str">
        <x:f>IF(Q186="Champions","Invite to advisory program and cross-sell service plans",IF(Q186="Loyal Growth","Prioritize expansion offer and product education",IF(Q186="High Value At Risk","Assign sales recovery outreach within 14 days",IF(Q186="New Accounts","Launch 90-day onboarding and adoption sequence",IF(Q186="Promising","Nurture second purchase with use-case content",IF(Q186="Needs Nurture","Run product-fit review and re-engagement sequence","Move to low-frequency win-back program"))))))</x:f>
        <x:v>Run product-fit review and re-engagement sequence</x:v>
      </x:c>
      <x:c r="T186" s="1"/>
      <x:c r="U186" s="1"/>
      <x:c r="V186" s="1"/>
      <x:c r="W186" s="1"/>
      <x:c r="X186" s="1"/>
      <x:c r="Y186" s="1"/>
      <x:c r="Z186" s="1"/>
    </x:row>
    <x:row r="187">
      <x:c r="A187" s="7" t="str">
        <x:v>ACC-0186</x:v>
      </x:c>
      <x:c r="B187" s="7" t="str">
        <x:v>Northstar Brands 186</x:v>
      </x:c>
      <x:c r="C187" s="7" t="str">
        <x:v>West</x:v>
      </x:c>
      <x:c r="D187" s="7" t="str">
        <x:v>Contract Packaging</x:v>
      </x:c>
      <x:c r="E187" s="7" t="str">
        <x:v>Enterprise</x:v>
      </x:c>
      <x:c r="F187" s="7" t="str">
        <x:v>Google Search</x:v>
      </x:c>
      <x:c r="G187" s="8" t="n">
        <x:v>45458</x:v>
      </x:c>
      <x:c r="H187" s="8" t="n">
        <x:v>45947</x:v>
      </x:c>
      <x:c r="I187" s="9" t="n">
        <x:v>3</x:v>
      </x:c>
      <x:c r="J187" s="10" t="n">
        <x:v>331600</x:v>
      </x:c>
      <x:c r="K187" s="10" t="n">
        <x:f>J187/I187</x:f>
        <x:v>110533.33333333333</x:v>
      </x:c>
      <x:c r="L187" s="9" t="n">
        <x:f>DATE(2026,6,30)-H187</x:f>
        <x:v>256</x:v>
      </x:c>
      <x:c r="M187" s="9" t="n">
        <x:f>IF(L187&lt;=60,5,IF(L187&lt;=120,4,IF(L187&lt;=180,3,IF(L187&lt;=240,2,1))))</x:f>
        <x:v>1</x:v>
      </x:c>
      <x:c r="N187" s="9" t="n">
        <x:f>IF(I187&gt;=6,5,IF(I187&gt;=4,4,IF(I187=3,3,IF(I187=2,2,1))))</x:f>
        <x:v>3</x:v>
      </x:c>
      <x:c r="O187" s="9" t="n">
        <x:f>IF(J187&gt;=500000,5,IF(J187&gt;=300000,4,IF(J187&gt;=175000,3,IF(J187&gt;=75000,2,1))))</x:f>
        <x:v>4</x:v>
      </x:c>
      <x:c r="P187" s="7" t="str">
        <x:f>M187&amp;N187&amp;O187</x:f>
        <x:v>134</x:v>
      </x:c>
      <x:c r="Q187" s="7" t="str">
        <x:f>IF(AND(L187&lt;=60,I187&gt;=5,J187&gt;=300000),"Champions",IF(AND(L187&lt;=120,I187&gt;=3),"Loyal Growth",IF(AND(L187&gt;180,J187&gt;=300000),"High Value At Risk",IF(DATE(2026,6,30)-G187&lt;=90,"New Accounts",IF(AND(L187&lt;=120,I187=1),"Promising",IF(L187&lt;=240,"Needs Nurture","Dormant"))))))</x:f>
        <x:v>High Value At Risk</x:v>
      </x:c>
      <x:c r="R187" s="7" t="str">
        <x:f>IF(DATE(2026,6,30)-G187&lt;=90,"New",IF(AND(L187&lt;=120,I187&gt;=2),"Active",IF(I187=1,"One-time",IF(L187&lt;=240,"At Risk","Lapsed"))))</x:f>
        <x:v>Lapsed</x:v>
      </x:c>
      <x:c r="S187" s="15" t="str">
        <x:f>IF(Q187="Champions","Invite to advisory program and cross-sell service plans",IF(Q187="Loyal Growth","Prioritize expansion offer and product education",IF(Q187="High Value At Risk","Assign sales recovery outreach within 14 days",IF(Q187="New Accounts","Launch 90-day onboarding and adoption sequence",IF(Q187="Promising","Nurture second purchase with use-case content",IF(Q187="Needs Nurture","Run product-fit review and re-engagement sequence","Move to low-frequency win-back program"))))))</x:f>
        <x:v>Assign sales recovery outreach within 14 days</x:v>
      </x:c>
      <x:c r="T187" s="1"/>
      <x:c r="U187" s="1"/>
      <x:c r="V187" s="1"/>
      <x:c r="W187" s="1"/>
      <x:c r="X187" s="1"/>
      <x:c r="Y187" s="1"/>
      <x:c r="Z187" s="1"/>
    </x:row>
    <x:row r="188">
      <x:c r="A188" s="7" t="str">
        <x:v>ACC-0187</x:v>
      </x:c>
      <x:c r="B188" s="7" t="str">
        <x:v>Crest Manufacturing 187</x:v>
      </x:c>
      <x:c r="C188" s="7" t="str">
        <x:v>Northeast</x:v>
      </x:c>
      <x:c r="D188" s="7" t="str">
        <x:v>Contract Packaging</x:v>
      </x:c>
      <x:c r="E188" s="7" t="str">
        <x:v>Enterprise</x:v>
      </x:c>
      <x:c r="F188" s="7" t="str">
        <x:v>Partner Referral</x:v>
      </x:c>
      <x:c r="G188" s="8" t="n">
        <x:v>45483</x:v>
      </x:c>
      <x:c r="H188" s="8" t="n">
        <x:v>46192</x:v>
      </x:c>
      <x:c r="I188" s="9" t="n">
        <x:v>6</x:v>
      </x:c>
      <x:c r="J188" s="10" t="n">
        <x:v>654500</x:v>
      </x:c>
      <x:c r="K188" s="10" t="n">
        <x:f>J188/I188</x:f>
        <x:v>109083.33333333333</x:v>
      </x:c>
      <x:c r="L188" s="9" t="n">
        <x:f>DATE(2026,6,30)-H188</x:f>
        <x:v>11</x:v>
      </x:c>
      <x:c r="M188" s="9" t="n">
        <x:f>IF(L188&lt;=60,5,IF(L188&lt;=120,4,IF(L188&lt;=180,3,IF(L188&lt;=240,2,1))))</x:f>
        <x:v>5</x:v>
      </x:c>
      <x:c r="N188" s="9" t="n">
        <x:f>IF(I188&gt;=6,5,IF(I188&gt;=4,4,IF(I188=3,3,IF(I188=2,2,1))))</x:f>
        <x:v>5</x:v>
      </x:c>
      <x:c r="O188" s="9" t="n">
        <x:f>IF(J188&gt;=500000,5,IF(J188&gt;=300000,4,IF(J188&gt;=175000,3,IF(J188&gt;=75000,2,1))))</x:f>
        <x:v>5</x:v>
      </x:c>
      <x:c r="P188" s="7" t="str">
        <x:f>M188&amp;N188&amp;O188</x:f>
        <x:v>555</x:v>
      </x:c>
      <x:c r="Q188" s="7" t="str">
        <x:f>IF(AND(L188&lt;=60,I188&gt;=5,J188&gt;=300000),"Champions",IF(AND(L188&lt;=120,I188&gt;=3),"Loyal Growth",IF(AND(L188&gt;180,J188&gt;=300000),"High Value At Risk",IF(DATE(2026,6,30)-G188&lt;=90,"New Accounts",IF(AND(L188&lt;=120,I188=1),"Promising",IF(L188&lt;=240,"Needs Nurture","Dormant"))))))</x:f>
        <x:v>Champions</x:v>
      </x:c>
      <x:c r="R188" s="7" t="str">
        <x:f>IF(DATE(2026,6,30)-G188&lt;=90,"New",IF(AND(L188&lt;=120,I188&gt;=2),"Active",IF(I188=1,"One-time",IF(L188&lt;=240,"At Risk","Lapsed"))))</x:f>
        <x:v>Active</x:v>
      </x:c>
      <x:c r="S188" s="15" t="str">
        <x:f>IF(Q188="Champions","Invite to advisory program and cross-sell service plans",IF(Q188="Loyal Growth","Prioritize expansion offer and product education",IF(Q188="High Value At Risk","Assign sales recovery outreach within 14 days",IF(Q188="New Accounts","Launch 90-day onboarding and adoption sequence",IF(Q188="Promising","Nurture second purchase with use-case content",IF(Q188="Needs Nurture","Run product-fit review and re-engagement sequence","Move to low-frequency win-back program"))))))</x:f>
        <x:v>Invite to advisory program and cross-sell service plans</x:v>
      </x:c>
      <x:c r="T188" s="1"/>
      <x:c r="U188" s="1"/>
      <x:c r="V188" s="1"/>
      <x:c r="W188" s="1"/>
      <x:c r="X188" s="1"/>
      <x:c r="Y188" s="1"/>
      <x:c r="Z188" s="1"/>
    </x:row>
    <x:row r="189">
      <x:c r="A189" s="7" t="str">
        <x:v>ACC-0188</x:v>
      </x:c>
      <x:c r="B189" s="7" t="str">
        <x:v>Crest Foods 188</x:v>
      </x:c>
      <x:c r="C189" s="7" t="str">
        <x:v>Midwest</x:v>
      </x:c>
      <x:c r="D189" s="7" t="str">
        <x:v>Pharmaceuticals</x:v>
      </x:c>
      <x:c r="E189" s="7" t="str">
        <x:v>Mid-market</x:v>
      </x:c>
      <x:c r="F189" s="7" t="str">
        <x:v>Trade Show</x:v>
      </x:c>
      <x:c r="G189" s="8" t="n">
        <x:v>45853</x:v>
      </x:c>
      <x:c r="H189" s="8" t="n">
        <x:v>46114</x:v>
      </x:c>
      <x:c r="I189" s="9" t="n">
        <x:v>4</x:v>
      </x:c>
      <x:c r="J189" s="10" t="n">
        <x:v>347000</x:v>
      </x:c>
      <x:c r="K189" s="10" t="n">
        <x:f>J189/I189</x:f>
        <x:v>86750</x:v>
      </x:c>
      <x:c r="L189" s="9" t="n">
        <x:f>DATE(2026,6,30)-H189</x:f>
        <x:v>89</x:v>
      </x:c>
      <x:c r="M189" s="9" t="n">
        <x:f>IF(L189&lt;=60,5,IF(L189&lt;=120,4,IF(L189&lt;=180,3,IF(L189&lt;=240,2,1))))</x:f>
        <x:v>4</x:v>
      </x:c>
      <x:c r="N189" s="9" t="n">
        <x:f>IF(I189&gt;=6,5,IF(I189&gt;=4,4,IF(I189=3,3,IF(I189=2,2,1))))</x:f>
        <x:v>4</x:v>
      </x:c>
      <x:c r="O189" s="9" t="n">
        <x:f>IF(J189&gt;=500000,5,IF(J189&gt;=300000,4,IF(J189&gt;=175000,3,IF(J189&gt;=75000,2,1))))</x:f>
        <x:v>4</x:v>
      </x:c>
      <x:c r="P189" s="7" t="str">
        <x:f>M189&amp;N189&amp;O189</x:f>
        <x:v>444</x:v>
      </x:c>
      <x:c r="Q189" s="7" t="str">
        <x:f>IF(AND(L189&lt;=60,I189&gt;=5,J189&gt;=300000),"Champions",IF(AND(L189&lt;=120,I189&gt;=3),"Loyal Growth",IF(AND(L189&gt;180,J189&gt;=300000),"High Value At Risk",IF(DATE(2026,6,30)-G189&lt;=90,"New Accounts",IF(AND(L189&lt;=120,I189=1),"Promising",IF(L189&lt;=240,"Needs Nurture","Dormant"))))))</x:f>
        <x:v>Loyal Growth</x:v>
      </x:c>
      <x:c r="R189" s="7" t="str">
        <x:f>IF(DATE(2026,6,30)-G189&lt;=90,"New",IF(AND(L189&lt;=120,I189&gt;=2),"Active",IF(I189=1,"One-time",IF(L189&lt;=240,"At Risk","Lapsed"))))</x:f>
        <x:v>Active</x:v>
      </x:c>
      <x:c r="S189" s="15" t="str">
        <x:f>IF(Q189="Champions","Invite to advisory program and cross-sell service plans",IF(Q189="Loyal Growth","Prioritize expansion offer and product education",IF(Q189="High Value At Risk","Assign sales recovery outreach within 14 days",IF(Q189="New Accounts","Launch 90-day onboarding and adoption sequence",IF(Q189="Promising","Nurture second purchase with use-case content",IF(Q189="Needs Nurture","Run product-fit review and re-engagement sequence","Move to low-frequency win-back program"))))))</x:f>
        <x:v>Prioritize expansion offer and product education</x:v>
      </x:c>
      <x:c r="T189" s="1"/>
      <x:c r="U189" s="1"/>
      <x:c r="V189" s="1"/>
      <x:c r="W189" s="1"/>
      <x:c r="X189" s="1"/>
      <x:c r="Y189" s="1"/>
      <x:c r="Z189" s="1"/>
    </x:row>
    <x:row r="190">
      <x:c r="A190" s="7" t="str">
        <x:v>ACC-0189</x:v>
      </x:c>
      <x:c r="B190" s="7" t="str">
        <x:v>Summit Manufacturing 189</x:v>
      </x:c>
      <x:c r="C190" s="7" t="str">
        <x:v>West</x:v>
      </x:c>
      <x:c r="D190" s="7" t="str">
        <x:v>Food &amp; Beverage</x:v>
      </x:c>
      <x:c r="E190" s="7" t="str">
        <x:v>Enterprise</x:v>
      </x:c>
      <x:c r="F190" s="7" t="str">
        <x:v>Trade Show</x:v>
      </x:c>
      <x:c r="G190" s="8" t="n">
        <x:v>46113</x:v>
      </x:c>
      <x:c r="H190" s="8" t="n">
        <x:v>46137</x:v>
      </x:c>
      <x:c r="I190" s="9" t="n">
        <x:v>2</x:v>
      </x:c>
      <x:c r="J190" s="10" t="n">
        <x:v>90600</x:v>
      </x:c>
      <x:c r="K190" s="10" t="n">
        <x:f>J190/I190</x:f>
        <x:v>45300</x:v>
      </x:c>
      <x:c r="L190" s="9" t="n">
        <x:f>DATE(2026,6,30)-H190</x:f>
        <x:v>66</x:v>
      </x:c>
      <x:c r="M190" s="9" t="n">
        <x:f>IF(L190&lt;=60,5,IF(L190&lt;=120,4,IF(L190&lt;=180,3,IF(L190&lt;=240,2,1))))</x:f>
        <x:v>4</x:v>
      </x:c>
      <x:c r="N190" s="9" t="n">
        <x:f>IF(I190&gt;=6,5,IF(I190&gt;=4,4,IF(I190=3,3,IF(I190=2,2,1))))</x:f>
        <x:v>2</x:v>
      </x:c>
      <x:c r="O190" s="9" t="n">
        <x:f>IF(J190&gt;=500000,5,IF(J190&gt;=300000,4,IF(J190&gt;=175000,3,IF(J190&gt;=75000,2,1))))</x:f>
        <x:v>2</x:v>
      </x:c>
      <x:c r="P190" s="7" t="str">
        <x:f>M190&amp;N190&amp;O190</x:f>
        <x:v>422</x:v>
      </x:c>
      <x:c r="Q190" s="7" t="str">
        <x:f>IF(AND(L190&lt;=60,I190&gt;=5,J190&gt;=300000),"Champions",IF(AND(L190&lt;=120,I190&gt;=3),"Loyal Growth",IF(AND(L190&gt;180,J190&gt;=300000),"High Value At Risk",IF(DATE(2026,6,30)-G190&lt;=90,"New Accounts",IF(AND(L190&lt;=120,I190=1),"Promising",IF(L190&lt;=240,"Needs Nurture","Dormant"))))))</x:f>
        <x:v>New Accounts</x:v>
      </x:c>
      <x:c r="R190" s="7" t="str">
        <x:f>IF(DATE(2026,6,30)-G190&lt;=90,"New",IF(AND(L190&lt;=120,I190&gt;=2),"Active",IF(I190=1,"One-time",IF(L190&lt;=240,"At Risk","Lapsed"))))</x:f>
        <x:v>New</x:v>
      </x:c>
      <x:c r="S190" s="15" t="str">
        <x:f>IF(Q190="Champions","Invite to advisory program and cross-sell service plans",IF(Q190="Loyal Growth","Prioritize expansion offer and product education",IF(Q190="High Value At Risk","Assign sales recovery outreach within 14 days",IF(Q190="New Accounts","Launch 90-day onboarding and adoption sequence",IF(Q190="Promising","Nurture second purchase with use-case content",IF(Q190="Needs Nurture","Run product-fit review and re-engagement sequence","Move to low-frequency win-back program"))))))</x:f>
        <x:v>Launch 90-day onboarding and adoption sequence</x:v>
      </x:c>
      <x:c r="T190" s="1"/>
      <x:c r="U190" s="1"/>
      <x:c r="V190" s="1"/>
      <x:c r="W190" s="1"/>
      <x:c r="X190" s="1"/>
      <x:c r="Y190" s="1"/>
      <x:c r="Z190" s="1"/>
    </x:row>
    <x:row r="191">
      <x:c r="A191" s="7" t="str">
        <x:v>ACC-0190</x:v>
      </x:c>
      <x:c r="B191" s="7" t="str">
        <x:v>Beacon Packaging 190</x:v>
      </x:c>
      <x:c r="C191" s="7" t="str">
        <x:v>Midwest</x:v>
      </x:c>
      <x:c r="D191" s="7" t="str">
        <x:v>Industrial Products</x:v>
      </x:c>
      <x:c r="E191" s="7" t="str">
        <x:v>Small</x:v>
      </x:c>
      <x:c r="F191" s="7" t="str">
        <x:v>Google Search</x:v>
      </x:c>
      <x:c r="G191" s="8" t="n">
        <x:v>46075</x:v>
      </x:c>
      <x:c r="H191" s="8" t="n">
        <x:v>46136</x:v>
      </x:c>
      <x:c r="I191" s="9" t="n">
        <x:v>2</x:v>
      </x:c>
      <x:c r="J191" s="10" t="n">
        <x:v>147700</x:v>
      </x:c>
      <x:c r="K191" s="10" t="n">
        <x:f>J191/I191</x:f>
        <x:v>73850</x:v>
      </x:c>
      <x:c r="L191" s="9" t="n">
        <x:f>DATE(2026,6,30)-H191</x:f>
        <x:v>67</x:v>
      </x:c>
      <x:c r="M191" s="9" t="n">
        <x:f>IF(L191&lt;=60,5,IF(L191&lt;=120,4,IF(L191&lt;=180,3,IF(L191&lt;=240,2,1))))</x:f>
        <x:v>4</x:v>
      </x:c>
      <x:c r="N191" s="9" t="n">
        <x:f>IF(I191&gt;=6,5,IF(I191&gt;=4,4,IF(I191=3,3,IF(I191=2,2,1))))</x:f>
        <x:v>2</x:v>
      </x:c>
      <x:c r="O191" s="9" t="n">
        <x:f>IF(J191&gt;=500000,5,IF(J191&gt;=300000,4,IF(J191&gt;=175000,3,IF(J191&gt;=75000,2,1))))</x:f>
        <x:v>2</x:v>
      </x:c>
      <x:c r="P191" s="7" t="str">
        <x:f>M191&amp;N191&amp;O191</x:f>
        <x:v>422</x:v>
      </x:c>
      <x:c r="Q191" s="7" t="str">
        <x:f>IF(AND(L191&lt;=60,I191&gt;=5,J191&gt;=300000),"Champions",IF(AND(L191&lt;=120,I191&gt;=3),"Loyal Growth",IF(AND(L191&gt;180,J191&gt;=300000),"High Value At Risk",IF(DATE(2026,6,30)-G191&lt;=90,"New Accounts",IF(AND(L191&lt;=120,I191=1),"Promising",IF(L191&lt;=240,"Needs Nurture","Dormant"))))))</x:f>
        <x:v>Needs Nurture</x:v>
      </x:c>
      <x:c r="R191" s="7" t="str">
        <x:f>IF(DATE(2026,6,30)-G191&lt;=90,"New",IF(AND(L191&lt;=120,I191&gt;=2),"Active",IF(I191=1,"One-time",IF(L191&lt;=240,"At Risk","Lapsed"))))</x:f>
        <x:v>Active</x:v>
      </x:c>
      <x:c r="S191" s="15" t="str">
        <x:f>IF(Q191="Champions","Invite to advisory program and cross-sell service plans",IF(Q191="Loyal Growth","Prioritize expansion offer and product education",IF(Q191="High Value At Risk","Assign sales recovery outreach within 14 days",IF(Q191="New Accounts","Launch 90-day onboarding and adoption sequence",IF(Q191="Promising","Nurture second purchase with use-case content",IF(Q191="Needs Nurture","Run product-fit review and re-engagement sequence","Move to low-frequency win-back program"))))))</x:f>
        <x:v>Run product-fit review and re-engagement sequence</x:v>
      </x:c>
      <x:c r="T191" s="1"/>
      <x:c r="U191" s="1"/>
      <x:c r="V191" s="1"/>
      <x:c r="W191" s="1"/>
      <x:c r="X191" s="1"/>
      <x:c r="Y191" s="1"/>
      <x:c r="Z191" s="1"/>
    </x:row>
    <x:row r="192">
      <x:c r="A192" s="7" t="str">
        <x:v>ACC-0191</x:v>
      </x:c>
      <x:c r="B192" s="7" t="str">
        <x:v>BlueRiver Labs 191</x:v>
      </x:c>
      <x:c r="C192" s="7" t="str">
        <x:v>Northeast</x:v>
      </x:c>
      <x:c r="D192" s="7" t="str">
        <x:v>Contract Packaging</x:v>
      </x:c>
      <x:c r="E192" s="7" t="str">
        <x:v>Enterprise</x:v>
      </x:c>
      <x:c r="F192" s="7" t="str">
        <x:v>Google Search</x:v>
      </x:c>
      <x:c r="G192" s="8" t="n">
        <x:v>45639</x:v>
      </x:c>
      <x:c r="H192" s="8" t="n">
        <x:v>46055</x:v>
      </x:c>
      <x:c r="I192" s="9" t="n">
        <x:v>7</x:v>
      </x:c>
      <x:c r="J192" s="10" t="n">
        <x:v>700300</x:v>
      </x:c>
      <x:c r="K192" s="10" t="n">
        <x:f>J192/I192</x:f>
        <x:v>100042.85714285714</x:v>
      </x:c>
      <x:c r="L192" s="9" t="n">
        <x:f>DATE(2026,6,30)-H192</x:f>
        <x:v>148</x:v>
      </x:c>
      <x:c r="M192" s="9" t="n">
        <x:f>IF(L192&lt;=60,5,IF(L192&lt;=120,4,IF(L192&lt;=180,3,IF(L192&lt;=240,2,1))))</x:f>
        <x:v>3</x:v>
      </x:c>
      <x:c r="N192" s="9" t="n">
        <x:f>IF(I192&gt;=6,5,IF(I192&gt;=4,4,IF(I192=3,3,IF(I192=2,2,1))))</x:f>
        <x:v>5</x:v>
      </x:c>
      <x:c r="O192" s="9" t="n">
        <x:f>IF(J192&gt;=500000,5,IF(J192&gt;=300000,4,IF(J192&gt;=175000,3,IF(J192&gt;=75000,2,1))))</x:f>
        <x:v>5</x:v>
      </x:c>
      <x:c r="P192" s="7" t="str">
        <x:f>M192&amp;N192&amp;O192</x:f>
        <x:v>355</x:v>
      </x:c>
      <x:c r="Q192" s="7" t="str">
        <x:f>IF(AND(L192&lt;=60,I192&gt;=5,J192&gt;=300000),"Champions",IF(AND(L192&lt;=120,I192&gt;=3),"Loyal Growth",IF(AND(L192&gt;180,J192&gt;=300000),"High Value At Risk",IF(DATE(2026,6,30)-G192&lt;=90,"New Accounts",IF(AND(L192&lt;=120,I192=1),"Promising",IF(L192&lt;=240,"Needs Nurture","Dormant"))))))</x:f>
        <x:v>Needs Nurture</x:v>
      </x:c>
      <x:c r="R192" s="7" t="str">
        <x:f>IF(DATE(2026,6,30)-G192&lt;=90,"New",IF(AND(L192&lt;=120,I192&gt;=2),"Active",IF(I192=1,"One-time",IF(L192&lt;=240,"At Risk","Lapsed"))))</x:f>
        <x:v>At Risk</x:v>
      </x:c>
      <x:c r="S192" s="15" t="str">
        <x:f>IF(Q192="Champions","Invite to advisory program and cross-sell service plans",IF(Q192="Loyal Growth","Prioritize expansion offer and product education",IF(Q192="High Value At Risk","Assign sales recovery outreach within 14 days",IF(Q192="New Accounts","Launch 90-day onboarding and adoption sequence",IF(Q192="Promising","Nurture second purchase with use-case content",IF(Q192="Needs Nurture","Run product-fit review and re-engagement sequence","Move to low-frequency win-back program"))))))</x:f>
        <x:v>Run product-fit review and re-engagement sequence</x:v>
      </x:c>
      <x:c r="T192" s="1"/>
      <x:c r="U192" s="1"/>
      <x:c r="V192" s="1"/>
      <x:c r="W192" s="1"/>
      <x:c r="X192" s="1"/>
      <x:c r="Y192" s="1"/>
      <x:c r="Z192" s="1"/>
    </x:row>
    <x:row r="193">
      <x:c r="A193" s="7" t="str">
        <x:v>ACC-0192</x:v>
      </x:c>
      <x:c r="B193" s="7" t="str">
        <x:v>Crest Labs 192</x:v>
      </x:c>
      <x:c r="C193" s="7" t="str">
        <x:v>Northeast</x:v>
      </x:c>
      <x:c r="D193" s="7" t="str">
        <x:v>Consumer Goods</x:v>
      </x:c>
      <x:c r="E193" s="7" t="str">
        <x:v>Mid-market</x:v>
      </x:c>
      <x:c r="F193" s="7" t="str">
        <x:v>LinkedIn</x:v>
      </x:c>
      <x:c r="G193" s="8" t="n">
        <x:v>45376</x:v>
      </x:c>
      <x:c r="H193" s="8" t="n">
        <x:v>46050</x:v>
      </x:c>
      <x:c r="I193" s="9" t="n">
        <x:v>3</x:v>
      </x:c>
      <x:c r="J193" s="10" t="n">
        <x:v>503700</x:v>
      </x:c>
      <x:c r="K193" s="10" t="n">
        <x:f>J193/I193</x:f>
        <x:v>167900</x:v>
      </x:c>
      <x:c r="L193" s="9" t="n">
        <x:f>DATE(2026,6,30)-H193</x:f>
        <x:v>153</x:v>
      </x:c>
      <x:c r="M193" s="9" t="n">
        <x:f>IF(L193&lt;=60,5,IF(L193&lt;=120,4,IF(L193&lt;=180,3,IF(L193&lt;=240,2,1))))</x:f>
        <x:v>3</x:v>
      </x:c>
      <x:c r="N193" s="9" t="n">
        <x:f>IF(I193&gt;=6,5,IF(I193&gt;=4,4,IF(I193=3,3,IF(I193=2,2,1))))</x:f>
        <x:v>3</x:v>
      </x:c>
      <x:c r="O193" s="9" t="n">
        <x:f>IF(J193&gt;=500000,5,IF(J193&gt;=300000,4,IF(J193&gt;=175000,3,IF(J193&gt;=75000,2,1))))</x:f>
        <x:v>5</x:v>
      </x:c>
      <x:c r="P193" s="7" t="str">
        <x:f>M193&amp;N193&amp;O193</x:f>
        <x:v>335</x:v>
      </x:c>
      <x:c r="Q193" s="7" t="str">
        <x:f>IF(AND(L193&lt;=60,I193&gt;=5,J193&gt;=300000),"Champions",IF(AND(L193&lt;=120,I193&gt;=3),"Loyal Growth",IF(AND(L193&gt;180,J193&gt;=300000),"High Value At Risk",IF(DATE(2026,6,30)-G193&lt;=90,"New Accounts",IF(AND(L193&lt;=120,I193=1),"Promising",IF(L193&lt;=240,"Needs Nurture","Dormant"))))))</x:f>
        <x:v>Needs Nurture</x:v>
      </x:c>
      <x:c r="R193" s="7" t="str">
        <x:f>IF(DATE(2026,6,30)-G193&lt;=90,"New",IF(AND(L193&lt;=120,I193&gt;=2),"Active",IF(I193=1,"One-time",IF(L193&lt;=240,"At Risk","Lapsed"))))</x:f>
        <x:v>At Risk</x:v>
      </x:c>
      <x:c r="S193" s="15" t="str">
        <x:f>IF(Q193="Champions","Invite to advisory program and cross-sell service plans",IF(Q193="Loyal Growth","Prioritize expansion offer and product education",IF(Q193="High Value At Risk","Assign sales recovery outreach within 14 days",IF(Q193="New Accounts","Launch 90-day onboarding and adoption sequence",IF(Q193="Promising","Nurture second purchase with use-case content",IF(Q193="Needs Nurture","Run product-fit review and re-engagement sequence","Move to low-frequency win-back program"))))))</x:f>
        <x:v>Run product-fit review and re-engagement sequence</x:v>
      </x:c>
      <x:c r="T193" s="1"/>
      <x:c r="U193" s="1"/>
      <x:c r="V193" s="1"/>
      <x:c r="W193" s="1"/>
      <x:c r="X193" s="1"/>
      <x:c r="Y193" s="1"/>
      <x:c r="Z193" s="1"/>
    </x:row>
    <x:row r="194">
      <x:c r="A194" s="7" t="str">
        <x:v>ACC-0193</x:v>
      </x:c>
      <x:c r="B194" s="7" t="str">
        <x:v>Northstar Foods 193</x:v>
      </x:c>
      <x:c r="C194" s="7" t="str">
        <x:v>South</x:v>
      </x:c>
      <x:c r="D194" s="7" t="str">
        <x:v>Industrial Products</x:v>
      </x:c>
      <x:c r="E194" s="7" t="str">
        <x:v>Mid-market</x:v>
      </x:c>
      <x:c r="F194" s="7" t="str">
        <x:v>Google Search</x:v>
      </x:c>
      <x:c r="G194" s="8" t="n">
        <x:v>46033</x:v>
      </x:c>
      <x:c r="H194" s="8" t="n">
        <x:v>46201</x:v>
      </x:c>
      <x:c r="I194" s="9" t="n">
        <x:v>3</x:v>
      </x:c>
      <x:c r="J194" s="10" t="n">
        <x:v>292100</x:v>
      </x:c>
      <x:c r="K194" s="10" t="n">
        <x:f>J194/I194</x:f>
        <x:v>97366.66666666667</x:v>
      </x:c>
      <x:c r="L194" s="9" t="n">
        <x:f>DATE(2026,6,30)-H194</x:f>
        <x:v>2</x:v>
      </x:c>
      <x:c r="M194" s="9" t="n">
        <x:f>IF(L194&lt;=60,5,IF(L194&lt;=120,4,IF(L194&lt;=180,3,IF(L194&lt;=240,2,1))))</x:f>
        <x:v>5</x:v>
      </x:c>
      <x:c r="N194" s="9" t="n">
        <x:f>IF(I194&gt;=6,5,IF(I194&gt;=4,4,IF(I194=3,3,IF(I194=2,2,1))))</x:f>
        <x:v>3</x:v>
      </x:c>
      <x:c r="O194" s="9" t="n">
        <x:f>IF(J194&gt;=500000,5,IF(J194&gt;=300000,4,IF(J194&gt;=175000,3,IF(J194&gt;=75000,2,1))))</x:f>
        <x:v>3</x:v>
      </x:c>
      <x:c r="P194" s="7" t="str">
        <x:f>M194&amp;N194&amp;O194</x:f>
        <x:v>533</x:v>
      </x:c>
      <x:c r="Q194" s="7" t="str">
        <x:f>IF(AND(L194&lt;=60,I194&gt;=5,J194&gt;=300000),"Champions",IF(AND(L194&lt;=120,I194&gt;=3),"Loyal Growth",IF(AND(L194&gt;180,J194&gt;=300000),"High Value At Risk",IF(DATE(2026,6,30)-G194&lt;=90,"New Accounts",IF(AND(L194&lt;=120,I194=1),"Promising",IF(L194&lt;=240,"Needs Nurture","Dormant"))))))</x:f>
        <x:v>Loyal Growth</x:v>
      </x:c>
      <x:c r="R194" s="7" t="str">
        <x:f>IF(DATE(2026,6,30)-G194&lt;=90,"New",IF(AND(L194&lt;=120,I194&gt;=2),"Active",IF(I194=1,"One-time",IF(L194&lt;=240,"At Risk","Lapsed"))))</x:f>
        <x:v>Active</x:v>
      </x:c>
      <x:c r="S194" s="15" t="str">
        <x:f>IF(Q194="Champions","Invite to advisory program and cross-sell service plans",IF(Q194="Loyal Growth","Prioritize expansion offer and product education",IF(Q194="High Value At Risk","Assign sales recovery outreach within 14 days",IF(Q194="New Accounts","Launch 90-day onboarding and adoption sequence",IF(Q194="Promising","Nurture second purchase with use-case content",IF(Q194="Needs Nurture","Run product-fit review and re-engagement sequence","Move to low-frequency win-back program"))))))</x:f>
        <x:v>Prioritize expansion offer and product education</x:v>
      </x:c>
      <x:c r="T194" s="1"/>
      <x:c r="U194" s="1"/>
      <x:c r="V194" s="1"/>
      <x:c r="W194" s="1"/>
      <x:c r="X194" s="1"/>
      <x:c r="Y194" s="1"/>
      <x:c r="Z194" s="1"/>
    </x:row>
    <x:row r="195">
      <x:c r="A195" s="7" t="str">
        <x:v>ACC-0194</x:v>
      </x:c>
      <x:c r="B195" s="7" t="str">
        <x:v>Northstar Brands 194</x:v>
      </x:c>
      <x:c r="C195" s="7" t="str">
        <x:v>Midwest</x:v>
      </x:c>
      <x:c r="D195" s="7" t="str">
        <x:v>Food &amp; Beverage</x:v>
      </x:c>
      <x:c r="E195" s="7" t="str">
        <x:v>Mid-market</x:v>
      </x:c>
      <x:c r="F195" s="7" t="str">
        <x:v>Email</x:v>
      </x:c>
      <x:c r="G195" s="8" t="n">
        <x:v>45967</x:v>
      </x:c>
      <x:c r="H195" s="8" t="n">
        <x:v>46085</x:v>
      </x:c>
      <x:c r="I195" s="9" t="n">
        <x:v>2</x:v>
      </x:c>
      <x:c r="J195" s="10" t="n">
        <x:v>237500</x:v>
      </x:c>
      <x:c r="K195" s="10" t="n">
        <x:f>J195/I195</x:f>
        <x:v>118750</x:v>
      </x:c>
      <x:c r="L195" s="9" t="n">
        <x:f>DATE(2026,6,30)-H195</x:f>
        <x:v>118</x:v>
      </x:c>
      <x:c r="M195" s="9" t="n">
        <x:f>IF(L195&lt;=60,5,IF(L195&lt;=120,4,IF(L195&lt;=180,3,IF(L195&lt;=240,2,1))))</x:f>
        <x:v>4</x:v>
      </x:c>
      <x:c r="N195" s="9" t="n">
        <x:f>IF(I195&gt;=6,5,IF(I195&gt;=4,4,IF(I195=3,3,IF(I195=2,2,1))))</x:f>
        <x:v>2</x:v>
      </x:c>
      <x:c r="O195" s="9" t="n">
        <x:f>IF(J195&gt;=500000,5,IF(J195&gt;=300000,4,IF(J195&gt;=175000,3,IF(J195&gt;=75000,2,1))))</x:f>
        <x:v>3</x:v>
      </x:c>
      <x:c r="P195" s="7" t="str">
        <x:f>M195&amp;N195&amp;O195</x:f>
        <x:v>423</x:v>
      </x:c>
      <x:c r="Q195" s="7" t="str">
        <x:f>IF(AND(L195&lt;=60,I195&gt;=5,J195&gt;=300000),"Champions",IF(AND(L195&lt;=120,I195&gt;=3),"Loyal Growth",IF(AND(L195&gt;180,J195&gt;=300000),"High Value At Risk",IF(DATE(2026,6,30)-G195&lt;=90,"New Accounts",IF(AND(L195&lt;=120,I195=1),"Promising",IF(L195&lt;=240,"Needs Nurture","Dormant"))))))</x:f>
        <x:v>Needs Nurture</x:v>
      </x:c>
      <x:c r="R195" s="7" t="str">
        <x:f>IF(DATE(2026,6,30)-G195&lt;=90,"New",IF(AND(L195&lt;=120,I195&gt;=2),"Active",IF(I195=1,"One-time",IF(L195&lt;=240,"At Risk","Lapsed"))))</x:f>
        <x:v>Active</x:v>
      </x:c>
      <x:c r="S195" s="15" t="str">
        <x:f>IF(Q195="Champions","Invite to advisory program and cross-sell service plans",IF(Q195="Loyal Growth","Prioritize expansion offer and product education",IF(Q195="High Value At Risk","Assign sales recovery outreach within 14 days",IF(Q195="New Accounts","Launch 90-day onboarding and adoption sequence",IF(Q195="Promising","Nurture second purchase with use-case content",IF(Q195="Needs Nurture","Run product-fit review and re-engagement sequence","Move to low-frequency win-back program"))))))</x:f>
        <x:v>Run product-fit review and re-engagement sequence</x:v>
      </x:c>
      <x:c r="T195" s="1"/>
      <x:c r="U195" s="1"/>
      <x:c r="V195" s="1"/>
      <x:c r="W195" s="1"/>
      <x:c r="X195" s="1"/>
      <x:c r="Y195" s="1"/>
      <x:c r="Z195" s="1"/>
    </x:row>
    <x:row r="196">
      <x:c r="A196" s="7" t="str">
        <x:v>ACC-0195</x:v>
      </x:c>
      <x:c r="B196" s="7" t="str">
        <x:v>BlueRiver Labs 195</x:v>
      </x:c>
      <x:c r="C196" s="7" t="str">
        <x:v>West</x:v>
      </x:c>
      <x:c r="D196" s="7" t="str">
        <x:v>Pharmaceuticals</x:v>
      </x:c>
      <x:c r="E196" s="7" t="str">
        <x:v>Small</x:v>
      </x:c>
      <x:c r="F196" s="7" t="str">
        <x:v>Google Search</x:v>
      </x:c>
      <x:c r="G196" s="8" t="n">
        <x:v>45474</x:v>
      </x:c>
      <x:c r="H196" s="8" t="n">
        <x:v>46177</x:v>
      </x:c>
      <x:c r="I196" s="9" t="n">
        <x:v>4</x:v>
      </x:c>
      <x:c r="J196" s="10" t="n">
        <x:v>358800</x:v>
      </x:c>
      <x:c r="K196" s="10" t="n">
        <x:f>J196/I196</x:f>
        <x:v>89700</x:v>
      </x:c>
      <x:c r="L196" s="9" t="n">
        <x:f>DATE(2026,6,30)-H196</x:f>
        <x:v>26</x:v>
      </x:c>
      <x:c r="M196" s="9" t="n">
        <x:f>IF(L196&lt;=60,5,IF(L196&lt;=120,4,IF(L196&lt;=180,3,IF(L196&lt;=240,2,1))))</x:f>
        <x:v>5</x:v>
      </x:c>
      <x:c r="N196" s="9" t="n">
        <x:f>IF(I196&gt;=6,5,IF(I196&gt;=4,4,IF(I196=3,3,IF(I196=2,2,1))))</x:f>
        <x:v>4</x:v>
      </x:c>
      <x:c r="O196" s="9" t="n">
        <x:f>IF(J196&gt;=500000,5,IF(J196&gt;=300000,4,IF(J196&gt;=175000,3,IF(J196&gt;=75000,2,1))))</x:f>
        <x:v>4</x:v>
      </x:c>
      <x:c r="P196" s="7" t="str">
        <x:f>M196&amp;N196&amp;O196</x:f>
        <x:v>544</x:v>
      </x:c>
      <x:c r="Q196" s="7" t="str">
        <x:f>IF(AND(L196&lt;=60,I196&gt;=5,J196&gt;=300000),"Champions",IF(AND(L196&lt;=120,I196&gt;=3),"Loyal Growth",IF(AND(L196&gt;180,J196&gt;=300000),"High Value At Risk",IF(DATE(2026,6,30)-G196&lt;=90,"New Accounts",IF(AND(L196&lt;=120,I196=1),"Promising",IF(L196&lt;=240,"Needs Nurture","Dormant"))))))</x:f>
        <x:v>Loyal Growth</x:v>
      </x:c>
      <x:c r="R196" s="7" t="str">
        <x:f>IF(DATE(2026,6,30)-G196&lt;=90,"New",IF(AND(L196&lt;=120,I196&gt;=2),"Active",IF(I196=1,"One-time",IF(L196&lt;=240,"At Risk","Lapsed"))))</x:f>
        <x:v>Active</x:v>
      </x:c>
      <x:c r="S196" s="15" t="str">
        <x:f>IF(Q196="Champions","Invite to advisory program and cross-sell service plans",IF(Q196="Loyal Growth","Prioritize expansion offer and product education",IF(Q196="High Value At Risk","Assign sales recovery outreach within 14 days",IF(Q196="New Accounts","Launch 90-day onboarding and adoption sequence",IF(Q196="Promising","Nurture second purchase with use-case content",IF(Q196="Needs Nurture","Run product-fit review and re-engagement sequence","Move to low-frequency win-back program"))))))</x:f>
        <x:v>Prioritize expansion offer and product education</x:v>
      </x:c>
      <x:c r="T196" s="1"/>
      <x:c r="U196" s="1"/>
      <x:c r="V196" s="1"/>
      <x:c r="W196" s="1"/>
      <x:c r="X196" s="1"/>
      <x:c r="Y196" s="1"/>
      <x:c r="Z196" s="1"/>
    </x:row>
    <x:row r="197">
      <x:c r="A197" s="7" t="str">
        <x:v>ACC-0196</x:v>
      </x:c>
      <x:c r="B197" s="7" t="str">
        <x:v>Northstar Products 196</x:v>
      </x:c>
      <x:c r="C197" s="7" t="str">
        <x:v>West</x:v>
      </x:c>
      <x:c r="D197" s="7" t="str">
        <x:v>Pharmaceuticals</x:v>
      </x:c>
      <x:c r="E197" s="7" t="str">
        <x:v>Enterprise</x:v>
      </x:c>
      <x:c r="F197" s="7" t="str">
        <x:v>LinkedIn</x:v>
      </x:c>
      <x:c r="G197" s="8" t="n">
        <x:v>45824</x:v>
      </x:c>
      <x:c r="H197" s="8" t="n">
        <x:v>45989</x:v>
      </x:c>
      <x:c r="I197" s="9" t="n">
        <x:v>5</x:v>
      </x:c>
      <x:c r="J197" s="10" t="n">
        <x:v>228900</x:v>
      </x:c>
      <x:c r="K197" s="10" t="n">
        <x:f>J197/I197</x:f>
        <x:v>45780</x:v>
      </x:c>
      <x:c r="L197" s="9" t="n">
        <x:f>DATE(2026,6,30)-H197</x:f>
        <x:v>214</x:v>
      </x:c>
      <x:c r="M197" s="9" t="n">
        <x:f>IF(L197&lt;=60,5,IF(L197&lt;=120,4,IF(L197&lt;=180,3,IF(L197&lt;=240,2,1))))</x:f>
        <x:v>2</x:v>
      </x:c>
      <x:c r="N197" s="9" t="n">
        <x:f>IF(I197&gt;=6,5,IF(I197&gt;=4,4,IF(I197=3,3,IF(I197=2,2,1))))</x:f>
        <x:v>4</x:v>
      </x:c>
      <x:c r="O197" s="9" t="n">
        <x:f>IF(J197&gt;=500000,5,IF(J197&gt;=300000,4,IF(J197&gt;=175000,3,IF(J197&gt;=75000,2,1))))</x:f>
        <x:v>3</x:v>
      </x:c>
      <x:c r="P197" s="7" t="str">
        <x:f>M197&amp;N197&amp;O197</x:f>
        <x:v>243</x:v>
      </x:c>
      <x:c r="Q197" s="7" t="str">
        <x:f>IF(AND(L197&lt;=60,I197&gt;=5,J197&gt;=300000),"Champions",IF(AND(L197&lt;=120,I197&gt;=3),"Loyal Growth",IF(AND(L197&gt;180,J197&gt;=300000),"High Value At Risk",IF(DATE(2026,6,30)-G197&lt;=90,"New Accounts",IF(AND(L197&lt;=120,I197=1),"Promising",IF(L197&lt;=240,"Needs Nurture","Dormant"))))))</x:f>
        <x:v>Needs Nurture</x:v>
      </x:c>
      <x:c r="R197" s="7" t="str">
        <x:f>IF(DATE(2026,6,30)-G197&lt;=90,"New",IF(AND(L197&lt;=120,I197&gt;=2),"Active",IF(I197=1,"One-time",IF(L197&lt;=240,"At Risk","Lapsed"))))</x:f>
        <x:v>At Risk</x:v>
      </x:c>
      <x:c r="S197" s="15" t="str">
        <x:f>IF(Q197="Champions","Invite to advisory program and cross-sell service plans",IF(Q197="Loyal Growth","Prioritize expansion offer and product education",IF(Q197="High Value At Risk","Assign sales recovery outreach within 14 days",IF(Q197="New Accounts","Launch 90-day onboarding and adoption sequence",IF(Q197="Promising","Nurture second purchase with use-case content",IF(Q197="Needs Nurture","Run product-fit review and re-engagement sequence","Move to low-frequency win-back program"))))))</x:f>
        <x:v>Run product-fit review and re-engagement sequence</x:v>
      </x:c>
      <x:c r="T197" s="1"/>
      <x:c r="U197" s="1"/>
      <x:c r="V197" s="1"/>
      <x:c r="W197" s="1"/>
      <x:c r="X197" s="1"/>
      <x:c r="Y197" s="1"/>
      <x:c r="Z197" s="1"/>
    </x:row>
    <x:row r="198">
      <x:c r="A198" s="7" t="str">
        <x:v>ACC-0197</x:v>
      </x:c>
      <x:c r="B198" s="7" t="str">
        <x:v>Summit Products 197</x:v>
      </x:c>
      <x:c r="C198" s="7" t="str">
        <x:v>Midwest</x:v>
      </x:c>
      <x:c r="D198" s="7" t="str">
        <x:v>Contract Packaging</x:v>
      </x:c>
      <x:c r="E198" s="7" t="str">
        <x:v>Mid-market</x:v>
      </x:c>
      <x:c r="F198" s="7" t="str">
        <x:v>Email</x:v>
      </x:c>
      <x:c r="G198" s="8" t="n">
        <x:v>45758</x:v>
      </x:c>
      <x:c r="H198" s="8" t="n">
        <x:v>46099</x:v>
      </x:c>
      <x:c r="I198" s="9" t="n">
        <x:v>6</x:v>
      </x:c>
      <x:c r="J198" s="10" t="n">
        <x:v>426200</x:v>
      </x:c>
      <x:c r="K198" s="10" t="n">
        <x:f>J198/I198</x:f>
        <x:v>71033.33333333333</x:v>
      </x:c>
      <x:c r="L198" s="9" t="n">
        <x:f>DATE(2026,6,30)-H198</x:f>
        <x:v>104</x:v>
      </x:c>
      <x:c r="M198" s="9" t="n">
        <x:f>IF(L198&lt;=60,5,IF(L198&lt;=120,4,IF(L198&lt;=180,3,IF(L198&lt;=240,2,1))))</x:f>
        <x:v>4</x:v>
      </x:c>
      <x:c r="N198" s="9" t="n">
        <x:f>IF(I198&gt;=6,5,IF(I198&gt;=4,4,IF(I198=3,3,IF(I198=2,2,1))))</x:f>
        <x:v>5</x:v>
      </x:c>
      <x:c r="O198" s="9" t="n">
        <x:f>IF(J198&gt;=500000,5,IF(J198&gt;=300000,4,IF(J198&gt;=175000,3,IF(J198&gt;=75000,2,1))))</x:f>
        <x:v>4</x:v>
      </x:c>
      <x:c r="P198" s="7" t="str">
        <x:f>M198&amp;N198&amp;O198</x:f>
        <x:v>454</x:v>
      </x:c>
      <x:c r="Q198" s="7" t="str">
        <x:f>IF(AND(L198&lt;=60,I198&gt;=5,J198&gt;=300000),"Champions",IF(AND(L198&lt;=120,I198&gt;=3),"Loyal Growth",IF(AND(L198&gt;180,J198&gt;=300000),"High Value At Risk",IF(DATE(2026,6,30)-G198&lt;=90,"New Accounts",IF(AND(L198&lt;=120,I198=1),"Promising",IF(L198&lt;=240,"Needs Nurture","Dormant"))))))</x:f>
        <x:v>Loyal Growth</x:v>
      </x:c>
      <x:c r="R198" s="7" t="str">
        <x:f>IF(DATE(2026,6,30)-G198&lt;=90,"New",IF(AND(L198&lt;=120,I198&gt;=2),"Active",IF(I198=1,"One-time",IF(L198&lt;=240,"At Risk","Lapsed"))))</x:f>
        <x:v>Active</x:v>
      </x:c>
      <x:c r="S198" s="15" t="str">
        <x:f>IF(Q198="Champions","Invite to advisory program and cross-sell service plans",IF(Q198="Loyal Growth","Prioritize expansion offer and product education",IF(Q198="High Value At Risk","Assign sales recovery outreach within 14 days",IF(Q198="New Accounts","Launch 90-day onboarding and adoption sequence",IF(Q198="Promising","Nurture second purchase with use-case content",IF(Q198="Needs Nurture","Run product-fit review and re-engagement sequence","Move to low-frequency win-back program"))))))</x:f>
        <x:v>Prioritize expansion offer and product education</x:v>
      </x:c>
      <x:c r="T198" s="1"/>
      <x:c r="U198" s="1"/>
      <x:c r="V198" s="1"/>
      <x:c r="W198" s="1"/>
      <x:c r="X198" s="1"/>
      <x:c r="Y198" s="1"/>
      <x:c r="Z198" s="1"/>
    </x:row>
    <x:row r="199">
      <x:c r="A199" s="7" t="str">
        <x:v>ACC-0198</x:v>
      </x:c>
      <x:c r="B199" s="7" t="str">
        <x:v>Keystone Industries 198</x:v>
      </x:c>
      <x:c r="C199" s="7" t="str">
        <x:v>Northeast</x:v>
      </x:c>
      <x:c r="D199" s="7" t="str">
        <x:v>Pharmaceuticals</x:v>
      </x:c>
      <x:c r="E199" s="7" t="str">
        <x:v>Small</x:v>
      </x:c>
      <x:c r="F199" s="7" t="str">
        <x:v>Google Search</x:v>
      </x:c>
      <x:c r="G199" s="8" t="n">
        <x:v>45349</x:v>
      </x:c>
      <x:c r="H199" s="8" t="n">
        <x:v>46156</x:v>
      </x:c>
      <x:c r="I199" s="9" t="n">
        <x:v>3</x:v>
      </x:c>
      <x:c r="J199" s="10" t="n">
        <x:v>345000</x:v>
      </x:c>
      <x:c r="K199" s="10" t="n">
        <x:f>J199/I199</x:f>
        <x:v>115000</x:v>
      </x:c>
      <x:c r="L199" s="9" t="n">
        <x:f>DATE(2026,6,30)-H199</x:f>
        <x:v>47</x:v>
      </x:c>
      <x:c r="M199" s="9" t="n">
        <x:f>IF(L199&lt;=60,5,IF(L199&lt;=120,4,IF(L199&lt;=180,3,IF(L199&lt;=240,2,1))))</x:f>
        <x:v>5</x:v>
      </x:c>
      <x:c r="N199" s="9" t="n">
        <x:f>IF(I199&gt;=6,5,IF(I199&gt;=4,4,IF(I199=3,3,IF(I199=2,2,1))))</x:f>
        <x:v>3</x:v>
      </x:c>
      <x:c r="O199" s="9" t="n">
        <x:f>IF(J199&gt;=500000,5,IF(J199&gt;=300000,4,IF(J199&gt;=175000,3,IF(J199&gt;=75000,2,1))))</x:f>
        <x:v>4</x:v>
      </x:c>
      <x:c r="P199" s="7" t="str">
        <x:f>M199&amp;N199&amp;O199</x:f>
        <x:v>534</x:v>
      </x:c>
      <x:c r="Q199" s="7" t="str">
        <x:f>IF(AND(L199&lt;=60,I199&gt;=5,J199&gt;=300000),"Champions",IF(AND(L199&lt;=120,I199&gt;=3),"Loyal Growth",IF(AND(L199&gt;180,J199&gt;=300000),"High Value At Risk",IF(DATE(2026,6,30)-G199&lt;=90,"New Accounts",IF(AND(L199&lt;=120,I199=1),"Promising",IF(L199&lt;=240,"Needs Nurture","Dormant"))))))</x:f>
        <x:v>Loyal Growth</x:v>
      </x:c>
      <x:c r="R199" s="7" t="str">
        <x:f>IF(DATE(2026,6,30)-G199&lt;=90,"New",IF(AND(L199&lt;=120,I199&gt;=2),"Active",IF(I199=1,"One-time",IF(L199&lt;=240,"At Risk","Lapsed"))))</x:f>
        <x:v>Active</x:v>
      </x:c>
      <x:c r="S199" s="15" t="str">
        <x:f>IF(Q199="Champions","Invite to advisory program and cross-sell service plans",IF(Q199="Loyal Growth","Prioritize expansion offer and product education",IF(Q199="High Value At Risk","Assign sales recovery outreach within 14 days",IF(Q199="New Accounts","Launch 90-day onboarding and adoption sequence",IF(Q199="Promising","Nurture second purchase with use-case content",IF(Q199="Needs Nurture","Run product-fit review and re-engagement sequence","Move to low-frequency win-back program"))))))</x:f>
        <x:v>Prioritize expansion offer and product education</x:v>
      </x:c>
      <x:c r="T199" s="1"/>
      <x:c r="U199" s="1"/>
      <x:c r="V199" s="1"/>
      <x:c r="W199" s="1"/>
      <x:c r="X199" s="1"/>
      <x:c r="Y199" s="1"/>
      <x:c r="Z199" s="1"/>
    </x:row>
    <x:row r="200">
      <x:c r="A200" s="7" t="str">
        <x:v>ACC-0199</x:v>
      </x:c>
      <x:c r="B200" s="7" t="str">
        <x:v>Meridian Products 199</x:v>
      </x:c>
      <x:c r="C200" s="7" t="str">
        <x:v>South</x:v>
      </x:c>
      <x:c r="D200" s="7" t="str">
        <x:v>Industrial Products</x:v>
      </x:c>
      <x:c r="E200" s="7" t="str">
        <x:v>Small</x:v>
      </x:c>
      <x:c r="F200" s="7" t="str">
        <x:v>Partner Referral</x:v>
      </x:c>
      <x:c r="G200" s="8" t="n">
        <x:v>45927</x:v>
      </x:c>
      <x:c r="H200" s="8" t="n">
        <x:v>46160</x:v>
      </x:c>
      <x:c r="I200" s="9" t="n">
        <x:v>3</x:v>
      </x:c>
      <x:c r="J200" s="10" t="n">
        <x:v>110100</x:v>
      </x:c>
      <x:c r="K200" s="10" t="n">
        <x:f>J200/I200</x:f>
        <x:v>36700</x:v>
      </x:c>
      <x:c r="L200" s="9" t="n">
        <x:f>DATE(2026,6,30)-H200</x:f>
        <x:v>43</x:v>
      </x:c>
      <x:c r="M200" s="9" t="n">
        <x:f>IF(L200&lt;=60,5,IF(L200&lt;=120,4,IF(L200&lt;=180,3,IF(L200&lt;=240,2,1))))</x:f>
        <x:v>5</x:v>
      </x:c>
      <x:c r="N200" s="9" t="n">
        <x:f>IF(I200&gt;=6,5,IF(I200&gt;=4,4,IF(I200=3,3,IF(I200=2,2,1))))</x:f>
        <x:v>3</x:v>
      </x:c>
      <x:c r="O200" s="9" t="n">
        <x:f>IF(J200&gt;=500000,5,IF(J200&gt;=300000,4,IF(J200&gt;=175000,3,IF(J200&gt;=75000,2,1))))</x:f>
        <x:v>2</x:v>
      </x:c>
      <x:c r="P200" s="7" t="str">
        <x:f>M200&amp;N200&amp;O200</x:f>
        <x:v>532</x:v>
      </x:c>
      <x:c r="Q200" s="7" t="str">
        <x:f>IF(AND(L200&lt;=60,I200&gt;=5,J200&gt;=300000),"Champions",IF(AND(L200&lt;=120,I200&gt;=3),"Loyal Growth",IF(AND(L200&gt;180,J200&gt;=300000),"High Value At Risk",IF(DATE(2026,6,30)-G200&lt;=90,"New Accounts",IF(AND(L200&lt;=120,I200=1),"Promising",IF(L200&lt;=240,"Needs Nurture","Dormant"))))))</x:f>
        <x:v>Loyal Growth</x:v>
      </x:c>
      <x:c r="R200" s="7" t="str">
        <x:f>IF(DATE(2026,6,30)-G200&lt;=90,"New",IF(AND(L200&lt;=120,I200&gt;=2),"Active",IF(I200=1,"One-time",IF(L200&lt;=240,"At Risk","Lapsed"))))</x:f>
        <x:v>Active</x:v>
      </x:c>
      <x:c r="S200" s="15" t="str">
        <x:f>IF(Q200="Champions","Invite to advisory program and cross-sell service plans",IF(Q200="Loyal Growth","Prioritize expansion offer and product education",IF(Q200="High Value At Risk","Assign sales recovery outreach within 14 days",IF(Q200="New Accounts","Launch 90-day onboarding and adoption sequence",IF(Q200="Promising","Nurture second purchase with use-case content",IF(Q200="Needs Nurture","Run product-fit review and re-engagement sequence","Move to low-frequency win-back program"))))))</x:f>
        <x:v>Prioritize expansion offer and product education</x:v>
      </x:c>
      <x:c r="T200" s="1"/>
      <x:c r="U200" s="1"/>
      <x:c r="V200" s="1"/>
      <x:c r="W200" s="1"/>
      <x:c r="X200" s="1"/>
      <x:c r="Y200" s="1"/>
      <x:c r="Z200" s="1"/>
    </x:row>
    <x:row r="201">
      <x:c r="A201" s="7" t="str">
        <x:v>ACC-0200</x:v>
      </x:c>
      <x:c r="B201" s="7" t="str">
        <x:v>Pioneer Products 200</x:v>
      </x:c>
      <x:c r="C201" s="7" t="str">
        <x:v>West</x:v>
      </x:c>
      <x:c r="D201" s="7" t="str">
        <x:v>Industrial Products</x:v>
      </x:c>
      <x:c r="E201" s="7" t="str">
        <x:v>Mid-market</x:v>
      </x:c>
      <x:c r="F201" s="7" t="str">
        <x:v>Partner Referral</x:v>
      </x:c>
      <x:c r="G201" s="8" t="n">
        <x:v>45416</x:v>
      </x:c>
      <x:c r="H201" s="8" t="n">
        <x:v>46037</x:v>
      </x:c>
      <x:c r="I201" s="9" t="n">
        <x:v>2</x:v>
      </x:c>
      <x:c r="J201" s="10" t="n">
        <x:v>145500</x:v>
      </x:c>
      <x:c r="K201" s="10" t="n">
        <x:f>J201/I201</x:f>
        <x:v>72750</x:v>
      </x:c>
      <x:c r="L201" s="9" t="n">
        <x:f>DATE(2026,6,30)-H201</x:f>
        <x:v>166</x:v>
      </x:c>
      <x:c r="M201" s="9" t="n">
        <x:f>IF(L201&lt;=60,5,IF(L201&lt;=120,4,IF(L201&lt;=180,3,IF(L201&lt;=240,2,1))))</x:f>
        <x:v>3</x:v>
      </x:c>
      <x:c r="N201" s="9" t="n">
        <x:f>IF(I201&gt;=6,5,IF(I201&gt;=4,4,IF(I201=3,3,IF(I201=2,2,1))))</x:f>
        <x:v>2</x:v>
      </x:c>
      <x:c r="O201" s="9" t="n">
        <x:f>IF(J201&gt;=500000,5,IF(J201&gt;=300000,4,IF(J201&gt;=175000,3,IF(J201&gt;=75000,2,1))))</x:f>
        <x:v>2</x:v>
      </x:c>
      <x:c r="P201" s="7" t="str">
        <x:f>M201&amp;N201&amp;O201</x:f>
        <x:v>322</x:v>
      </x:c>
      <x:c r="Q201" s="7" t="str">
        <x:f>IF(AND(L201&lt;=60,I201&gt;=5,J201&gt;=300000),"Champions",IF(AND(L201&lt;=120,I201&gt;=3),"Loyal Growth",IF(AND(L201&gt;180,J201&gt;=300000),"High Value At Risk",IF(DATE(2026,6,30)-G201&lt;=90,"New Accounts",IF(AND(L201&lt;=120,I201=1),"Promising",IF(L201&lt;=240,"Needs Nurture","Dormant"))))))</x:f>
        <x:v>Needs Nurture</x:v>
      </x:c>
      <x:c r="R201" s="7" t="str">
        <x:f>IF(DATE(2026,6,30)-G201&lt;=90,"New",IF(AND(L201&lt;=120,I201&gt;=2),"Active",IF(I201=1,"One-time",IF(L201&lt;=240,"At Risk","Lapsed"))))</x:f>
        <x:v>At Risk</x:v>
      </x:c>
      <x:c r="S201" s="15" t="str">
        <x:f>IF(Q201="Champions","Invite to advisory program and cross-sell service plans",IF(Q201="Loyal Growth","Prioritize expansion offer and product education",IF(Q201="High Value At Risk","Assign sales recovery outreach within 14 days",IF(Q201="New Accounts","Launch 90-day onboarding and adoption sequence",IF(Q201="Promising","Nurture second purchase with use-case content",IF(Q201="Needs Nurture","Run product-fit review and re-engagement sequence","Move to low-frequency win-back program"))))))</x:f>
        <x:v>Run product-fit review and re-engagement sequence</x:v>
      </x:c>
      <x:c r="T201" s="1"/>
      <x:c r="U201" s="1"/>
      <x:c r="V201" s="1"/>
      <x:c r="W201" s="1"/>
      <x:c r="X201" s="1"/>
      <x:c r="Y201" s="1"/>
      <x:c r="Z201" s="1"/>
    </x:row>
    <x:row r="202">
      <x:c r="A202" s="7" t="str">
        <x:v>ACC-0201</x:v>
      </x:c>
      <x:c r="B202" s="7" t="str">
        <x:v>Meridian Industries 201</x:v>
      </x:c>
      <x:c r="C202" s="7" t="str">
        <x:v>Midwest</x:v>
      </x:c>
      <x:c r="D202" s="7" t="str">
        <x:v>Food &amp; Beverage</x:v>
      </x:c>
      <x:c r="E202" s="7" t="str">
        <x:v>Mid-market</x:v>
      </x:c>
      <x:c r="F202" s="7" t="str">
        <x:v>Email</x:v>
      </x:c>
      <x:c r="G202" s="8" t="n">
        <x:v>46152</x:v>
      </x:c>
      <x:c r="H202" s="8" t="n">
        <x:v>46197</x:v>
      </x:c>
      <x:c r="I202" s="9" t="n">
        <x:v>2</x:v>
      </x:c>
      <x:c r="J202" s="10" t="n">
        <x:v>175400</x:v>
      </x:c>
      <x:c r="K202" s="10" t="n">
        <x:f>J202/I202</x:f>
        <x:v>87700</x:v>
      </x:c>
      <x:c r="L202" s="9" t="n">
        <x:f>DATE(2026,6,30)-H202</x:f>
        <x:v>6</x:v>
      </x:c>
      <x:c r="M202" s="9" t="n">
        <x:f>IF(L202&lt;=60,5,IF(L202&lt;=120,4,IF(L202&lt;=180,3,IF(L202&lt;=240,2,1))))</x:f>
        <x:v>5</x:v>
      </x:c>
      <x:c r="N202" s="9" t="n">
        <x:f>IF(I202&gt;=6,5,IF(I202&gt;=4,4,IF(I202=3,3,IF(I202=2,2,1))))</x:f>
        <x:v>2</x:v>
      </x:c>
      <x:c r="O202" s="9" t="n">
        <x:f>IF(J202&gt;=500000,5,IF(J202&gt;=300000,4,IF(J202&gt;=175000,3,IF(J202&gt;=75000,2,1))))</x:f>
        <x:v>3</x:v>
      </x:c>
      <x:c r="P202" s="7" t="str">
        <x:f>M202&amp;N202&amp;O202</x:f>
        <x:v>523</x:v>
      </x:c>
      <x:c r="Q202" s="7" t="str">
        <x:f>IF(AND(L202&lt;=60,I202&gt;=5,J202&gt;=300000),"Champions",IF(AND(L202&lt;=120,I202&gt;=3),"Loyal Growth",IF(AND(L202&gt;180,J202&gt;=300000),"High Value At Risk",IF(DATE(2026,6,30)-G202&lt;=90,"New Accounts",IF(AND(L202&lt;=120,I202=1),"Promising",IF(L202&lt;=240,"Needs Nurture","Dormant"))))))</x:f>
        <x:v>New Accounts</x:v>
      </x:c>
      <x:c r="R202" s="7" t="str">
        <x:f>IF(DATE(2026,6,30)-G202&lt;=90,"New",IF(AND(L202&lt;=120,I202&gt;=2),"Active",IF(I202=1,"One-time",IF(L202&lt;=240,"At Risk","Lapsed"))))</x:f>
        <x:v>New</x:v>
      </x:c>
      <x:c r="S202" s="15" t="str">
        <x:f>IF(Q202="Champions","Invite to advisory program and cross-sell service plans",IF(Q202="Loyal Growth","Prioritize expansion offer and product education",IF(Q202="High Value At Risk","Assign sales recovery outreach within 14 days",IF(Q202="New Accounts","Launch 90-day onboarding and adoption sequence",IF(Q202="Promising","Nurture second purchase with use-case content",IF(Q202="Needs Nurture","Run product-fit review and re-engagement sequence","Move to low-frequency win-back program"))))))</x:f>
        <x:v>Launch 90-day onboarding and adoption sequence</x:v>
      </x:c>
      <x:c r="T202" s="1"/>
      <x:c r="U202" s="1"/>
      <x:c r="V202" s="1"/>
      <x:c r="W202" s="1"/>
      <x:c r="X202" s="1"/>
      <x:c r="Y202" s="1"/>
      <x:c r="Z202" s="1"/>
    </x:row>
    <x:row r="203">
      <x:c r="A203" s="7" t="str">
        <x:v>ACC-0202</x:v>
      </x:c>
      <x:c r="B203" s="7" t="str">
        <x:v>Granite Industries 202</x:v>
      </x:c>
      <x:c r="C203" s="7" t="str">
        <x:v>Midwest</x:v>
      </x:c>
      <x:c r="D203" s="7" t="str">
        <x:v>Pharmaceuticals</x:v>
      </x:c>
      <x:c r="E203" s="7" t="str">
        <x:v>Mid-market</x:v>
      </x:c>
      <x:c r="F203" s="7" t="str">
        <x:v>Google Search</x:v>
      </x:c>
      <x:c r="G203" s="8" t="n">
        <x:v>45323</x:v>
      </x:c>
      <x:c r="H203" s="8" t="n">
        <x:v>46196</x:v>
      </x:c>
      <x:c r="I203" s="9" t="n">
        <x:v>6</x:v>
      </x:c>
      <x:c r="J203" s="10" t="n">
        <x:v>935800</x:v>
      </x:c>
      <x:c r="K203" s="10" t="n">
        <x:f>J203/I203</x:f>
        <x:v>155966.66666666666</x:v>
      </x:c>
      <x:c r="L203" s="9" t="n">
        <x:f>DATE(2026,6,30)-H203</x:f>
        <x:v>7</x:v>
      </x:c>
      <x:c r="M203" s="9" t="n">
        <x:f>IF(L203&lt;=60,5,IF(L203&lt;=120,4,IF(L203&lt;=180,3,IF(L203&lt;=240,2,1))))</x:f>
        <x:v>5</x:v>
      </x:c>
      <x:c r="N203" s="9" t="n">
        <x:f>IF(I203&gt;=6,5,IF(I203&gt;=4,4,IF(I203=3,3,IF(I203=2,2,1))))</x:f>
        <x:v>5</x:v>
      </x:c>
      <x:c r="O203" s="9" t="n">
        <x:f>IF(J203&gt;=500000,5,IF(J203&gt;=300000,4,IF(J203&gt;=175000,3,IF(J203&gt;=75000,2,1))))</x:f>
        <x:v>5</x:v>
      </x:c>
      <x:c r="P203" s="7" t="str">
        <x:f>M203&amp;N203&amp;O203</x:f>
        <x:v>555</x:v>
      </x:c>
      <x:c r="Q203" s="7" t="str">
        <x:f>IF(AND(L203&lt;=60,I203&gt;=5,J203&gt;=300000),"Champions",IF(AND(L203&lt;=120,I203&gt;=3),"Loyal Growth",IF(AND(L203&gt;180,J203&gt;=300000),"High Value At Risk",IF(DATE(2026,6,30)-G203&lt;=90,"New Accounts",IF(AND(L203&lt;=120,I203=1),"Promising",IF(L203&lt;=240,"Needs Nurture","Dormant"))))))</x:f>
        <x:v>Champions</x:v>
      </x:c>
      <x:c r="R203" s="7" t="str">
        <x:f>IF(DATE(2026,6,30)-G203&lt;=90,"New",IF(AND(L203&lt;=120,I203&gt;=2),"Active",IF(I203=1,"One-time",IF(L203&lt;=240,"At Risk","Lapsed"))))</x:f>
        <x:v>Active</x:v>
      </x:c>
      <x:c r="S203" s="15" t="str">
        <x:f>IF(Q203="Champions","Invite to advisory program and cross-sell service plans",IF(Q203="Loyal Growth","Prioritize expansion offer and product education",IF(Q203="High Value At Risk","Assign sales recovery outreach within 14 days",IF(Q203="New Accounts","Launch 90-day onboarding and adoption sequence",IF(Q203="Promising","Nurture second purchase with use-case content",IF(Q203="Needs Nurture","Run product-fit review and re-engagement sequence","Move to low-frequency win-back program"))))))</x:f>
        <x:v>Invite to advisory program and cross-sell service plans</x:v>
      </x:c>
      <x:c r="T203" s="1"/>
      <x:c r="U203" s="1"/>
      <x:c r="V203" s="1"/>
      <x:c r="W203" s="1"/>
      <x:c r="X203" s="1"/>
      <x:c r="Y203" s="1"/>
      <x:c r="Z203" s="1"/>
    </x:row>
    <x:row r="204">
      <x:c r="A204" s="7" t="str">
        <x:v>ACC-0203</x:v>
      </x:c>
      <x:c r="B204" s="7" t="str">
        <x:v>Meridian Industries 203</x:v>
      </x:c>
      <x:c r="C204" s="7" t="str">
        <x:v>South</x:v>
      </x:c>
      <x:c r="D204" s="7" t="str">
        <x:v>Food &amp; Beverage</x:v>
      </x:c>
      <x:c r="E204" s="7" t="str">
        <x:v>Mid-market</x:v>
      </x:c>
      <x:c r="F204" s="7" t="str">
        <x:v>Trade Show</x:v>
      </x:c>
      <x:c r="G204" s="8" t="n">
        <x:v>45972</x:v>
      </x:c>
      <x:c r="H204" s="8" t="n">
        <x:v>46195</x:v>
      </x:c>
      <x:c r="I204" s="9" t="n">
        <x:v>4</x:v>
      </x:c>
      <x:c r="J204" s="10" t="n">
        <x:v>373900</x:v>
      </x:c>
      <x:c r="K204" s="10" t="n">
        <x:f>J204/I204</x:f>
        <x:v>93475</x:v>
      </x:c>
      <x:c r="L204" s="9" t="n">
        <x:f>DATE(2026,6,30)-H204</x:f>
        <x:v>8</x:v>
      </x:c>
      <x:c r="M204" s="9" t="n">
        <x:f>IF(L204&lt;=60,5,IF(L204&lt;=120,4,IF(L204&lt;=180,3,IF(L204&lt;=240,2,1))))</x:f>
        <x:v>5</x:v>
      </x:c>
      <x:c r="N204" s="9" t="n">
        <x:f>IF(I204&gt;=6,5,IF(I204&gt;=4,4,IF(I204=3,3,IF(I204=2,2,1))))</x:f>
        <x:v>4</x:v>
      </x:c>
      <x:c r="O204" s="9" t="n">
        <x:f>IF(J204&gt;=500000,5,IF(J204&gt;=300000,4,IF(J204&gt;=175000,3,IF(J204&gt;=75000,2,1))))</x:f>
        <x:v>4</x:v>
      </x:c>
      <x:c r="P204" s="7" t="str">
        <x:f>M204&amp;N204&amp;O204</x:f>
        <x:v>544</x:v>
      </x:c>
      <x:c r="Q204" s="7" t="str">
        <x:f>IF(AND(L204&lt;=60,I204&gt;=5,J204&gt;=300000),"Champions",IF(AND(L204&lt;=120,I204&gt;=3),"Loyal Growth",IF(AND(L204&gt;180,J204&gt;=300000),"High Value At Risk",IF(DATE(2026,6,30)-G204&lt;=90,"New Accounts",IF(AND(L204&lt;=120,I204=1),"Promising",IF(L204&lt;=240,"Needs Nurture","Dormant"))))))</x:f>
        <x:v>Loyal Growth</x:v>
      </x:c>
      <x:c r="R204" s="7" t="str">
        <x:f>IF(DATE(2026,6,30)-G204&lt;=90,"New",IF(AND(L204&lt;=120,I204&gt;=2),"Active",IF(I204=1,"One-time",IF(L204&lt;=240,"At Risk","Lapsed"))))</x:f>
        <x:v>Active</x:v>
      </x:c>
      <x:c r="S204" s="15" t="str">
        <x:f>IF(Q204="Champions","Invite to advisory program and cross-sell service plans",IF(Q204="Loyal Growth","Prioritize expansion offer and product education",IF(Q204="High Value At Risk","Assign sales recovery outreach within 14 days",IF(Q204="New Accounts","Launch 90-day onboarding and adoption sequence",IF(Q204="Promising","Nurture second purchase with use-case content",IF(Q204="Needs Nurture","Run product-fit review and re-engagement sequence","Move to low-frequency win-back program"))))))</x:f>
        <x:v>Prioritize expansion offer and product education</x:v>
      </x:c>
      <x:c r="T204" s="1"/>
      <x:c r="U204" s="1"/>
      <x:c r="V204" s="1"/>
      <x:c r="W204" s="1"/>
      <x:c r="X204" s="1"/>
      <x:c r="Y204" s="1"/>
      <x:c r="Z204" s="1"/>
    </x:row>
    <x:row r="205">
      <x:c r="A205" s="7" t="str">
        <x:v>ACC-0204</x:v>
      </x:c>
      <x:c r="B205" s="7" t="str">
        <x:v>Apex Solutions 204</x:v>
      </x:c>
      <x:c r="C205" s="7" t="str">
        <x:v>West</x:v>
      </x:c>
      <x:c r="D205" s="7" t="str">
        <x:v>Contract Packaging</x:v>
      </x:c>
      <x:c r="E205" s="7" t="str">
        <x:v>Mid-market</x:v>
      </x:c>
      <x:c r="F205" s="7" t="str">
        <x:v>Google Search</x:v>
      </x:c>
      <x:c r="G205" s="8" t="n">
        <x:v>45522</x:v>
      </x:c>
      <x:c r="H205" s="8" t="n">
        <x:v>45776</x:v>
      </x:c>
      <x:c r="I205" s="9" t="n">
        <x:v>2</x:v>
      </x:c>
      <x:c r="J205" s="10" t="n">
        <x:v>259300</x:v>
      </x:c>
      <x:c r="K205" s="10" t="n">
        <x:f>J205/I205</x:f>
        <x:v>129650</x:v>
      </x:c>
      <x:c r="L205" s="9" t="n">
        <x:f>DATE(2026,6,30)-H205</x:f>
        <x:v>427</x:v>
      </x:c>
      <x:c r="M205" s="9" t="n">
        <x:f>IF(L205&lt;=60,5,IF(L205&lt;=120,4,IF(L205&lt;=180,3,IF(L205&lt;=240,2,1))))</x:f>
        <x:v>1</x:v>
      </x:c>
      <x:c r="N205" s="9" t="n">
        <x:f>IF(I205&gt;=6,5,IF(I205&gt;=4,4,IF(I205=3,3,IF(I205=2,2,1))))</x:f>
        <x:v>2</x:v>
      </x:c>
      <x:c r="O205" s="9" t="n">
        <x:f>IF(J205&gt;=500000,5,IF(J205&gt;=300000,4,IF(J205&gt;=175000,3,IF(J205&gt;=75000,2,1))))</x:f>
        <x:v>3</x:v>
      </x:c>
      <x:c r="P205" s="7" t="str">
        <x:f>M205&amp;N205&amp;O205</x:f>
        <x:v>123</x:v>
      </x:c>
      <x:c r="Q205" s="7" t="str">
        <x:f>IF(AND(L205&lt;=60,I205&gt;=5,J205&gt;=300000),"Champions",IF(AND(L205&lt;=120,I205&gt;=3),"Loyal Growth",IF(AND(L205&gt;180,J205&gt;=300000),"High Value At Risk",IF(DATE(2026,6,30)-G205&lt;=90,"New Accounts",IF(AND(L205&lt;=120,I205=1),"Promising",IF(L205&lt;=240,"Needs Nurture","Dormant"))))))</x:f>
        <x:v>Dormant</x:v>
      </x:c>
      <x:c r="R205" s="7" t="str">
        <x:f>IF(DATE(2026,6,30)-G205&lt;=90,"New",IF(AND(L205&lt;=120,I205&gt;=2),"Active",IF(I205=1,"One-time",IF(L205&lt;=240,"At Risk","Lapsed"))))</x:f>
        <x:v>Lapsed</x:v>
      </x:c>
      <x:c r="S205" s="15" t="str">
        <x:f>IF(Q205="Champions","Invite to advisory program and cross-sell service plans",IF(Q205="Loyal Growth","Prioritize expansion offer and product education",IF(Q205="High Value At Risk","Assign sales recovery outreach within 14 days",IF(Q205="New Accounts","Launch 90-day onboarding and adoption sequence",IF(Q205="Promising","Nurture second purchase with use-case content",IF(Q205="Needs Nurture","Run product-fit review and re-engagement sequence","Move to low-frequency win-back program"))))))</x:f>
        <x:v>Move to low-frequency win-back program</x:v>
      </x:c>
      <x:c r="T205" s="1"/>
      <x:c r="U205" s="1"/>
      <x:c r="V205" s="1"/>
      <x:c r="W205" s="1"/>
      <x:c r="X205" s="1"/>
      <x:c r="Y205" s="1"/>
      <x:c r="Z205" s="1"/>
    </x:row>
    <x:row r="206">
      <x:c r="A206" s="7" t="str">
        <x:v>ACC-0205</x:v>
      </x:c>
      <x:c r="B206" s="7" t="str">
        <x:v>Meridian Industries 205</x:v>
      </x:c>
      <x:c r="C206" s="7" t="str">
        <x:v>West</x:v>
      </x:c>
      <x:c r="D206" s="7" t="str">
        <x:v>Food &amp; Beverage</x:v>
      </x:c>
      <x:c r="E206" s="7" t="str">
        <x:v>Mid-market</x:v>
      </x:c>
      <x:c r="F206" s="7" t="str">
        <x:v>Trade Show</x:v>
      </x:c>
      <x:c r="G206" s="8" t="n">
        <x:v>45447</x:v>
      </x:c>
      <x:c r="H206" s="8" t="n">
        <x:v>45922</x:v>
      </x:c>
      <x:c r="I206" s="9" t="n">
        <x:v>2</x:v>
      </x:c>
      <x:c r="J206" s="10" t="n">
        <x:v>160700</x:v>
      </x:c>
      <x:c r="K206" s="10" t="n">
        <x:f>J206/I206</x:f>
        <x:v>80350</x:v>
      </x:c>
      <x:c r="L206" s="9" t="n">
        <x:f>DATE(2026,6,30)-H206</x:f>
        <x:v>281</x:v>
      </x:c>
      <x:c r="M206" s="9" t="n">
        <x:f>IF(L206&lt;=60,5,IF(L206&lt;=120,4,IF(L206&lt;=180,3,IF(L206&lt;=240,2,1))))</x:f>
        <x:v>1</x:v>
      </x:c>
      <x:c r="N206" s="9" t="n">
        <x:f>IF(I206&gt;=6,5,IF(I206&gt;=4,4,IF(I206=3,3,IF(I206=2,2,1))))</x:f>
        <x:v>2</x:v>
      </x:c>
      <x:c r="O206" s="9" t="n">
        <x:f>IF(J206&gt;=500000,5,IF(J206&gt;=300000,4,IF(J206&gt;=175000,3,IF(J206&gt;=75000,2,1))))</x:f>
        <x:v>2</x:v>
      </x:c>
      <x:c r="P206" s="7" t="str">
        <x:f>M206&amp;N206&amp;O206</x:f>
        <x:v>122</x:v>
      </x:c>
      <x:c r="Q206" s="7" t="str">
        <x:f>IF(AND(L206&lt;=60,I206&gt;=5,J206&gt;=300000),"Champions",IF(AND(L206&lt;=120,I206&gt;=3),"Loyal Growth",IF(AND(L206&gt;180,J206&gt;=300000),"High Value At Risk",IF(DATE(2026,6,30)-G206&lt;=90,"New Accounts",IF(AND(L206&lt;=120,I206=1),"Promising",IF(L206&lt;=240,"Needs Nurture","Dormant"))))))</x:f>
        <x:v>Dormant</x:v>
      </x:c>
      <x:c r="R206" s="7" t="str">
        <x:f>IF(DATE(2026,6,30)-G206&lt;=90,"New",IF(AND(L206&lt;=120,I206&gt;=2),"Active",IF(I206=1,"One-time",IF(L206&lt;=240,"At Risk","Lapsed"))))</x:f>
        <x:v>Lapsed</x:v>
      </x:c>
      <x:c r="S206" s="15" t="str">
        <x:f>IF(Q206="Champions","Invite to advisory program and cross-sell service plans",IF(Q206="Loyal Growth","Prioritize expansion offer and product education",IF(Q206="High Value At Risk","Assign sales recovery outreach within 14 days",IF(Q206="New Accounts","Launch 90-day onboarding and adoption sequence",IF(Q206="Promising","Nurture second purchase with use-case content",IF(Q206="Needs Nurture","Run product-fit review and re-engagement sequence","Move to low-frequency win-back program"))))))</x:f>
        <x:v>Move to low-frequency win-back program</x:v>
      </x:c>
      <x:c r="T206" s="1"/>
      <x:c r="U206" s="1"/>
      <x:c r="V206" s="1"/>
      <x:c r="W206" s="1"/>
      <x:c r="X206" s="1"/>
      <x:c r="Y206" s="1"/>
      <x:c r="Z206" s="1"/>
    </x:row>
    <x:row r="207">
      <x:c r="A207" s="7" t="str">
        <x:v>ACC-0206</x:v>
      </x:c>
      <x:c r="B207" s="7" t="str">
        <x:v>Crest Labs 206</x:v>
      </x:c>
      <x:c r="C207" s="7" t="str">
        <x:v>West</x:v>
      </x:c>
      <x:c r="D207" s="7" t="str">
        <x:v>Contract Packaging</x:v>
      </x:c>
      <x:c r="E207" s="7" t="str">
        <x:v>Enterprise</x:v>
      </x:c>
      <x:c r="F207" s="7" t="str">
        <x:v>LinkedIn</x:v>
      </x:c>
      <x:c r="G207" s="8" t="n">
        <x:v>45882</x:v>
      </x:c>
      <x:c r="H207" s="8" t="n">
        <x:v>46102</x:v>
      </x:c>
      <x:c r="I207" s="9" t="n">
        <x:v>5</x:v>
      </x:c>
      <x:c r="J207" s="10" t="n">
        <x:v>601500</x:v>
      </x:c>
      <x:c r="K207" s="10" t="n">
        <x:f>J207/I207</x:f>
        <x:v>120300</x:v>
      </x:c>
      <x:c r="L207" s="9" t="n">
        <x:f>DATE(2026,6,30)-H207</x:f>
        <x:v>101</x:v>
      </x:c>
      <x:c r="M207" s="9" t="n">
        <x:f>IF(L207&lt;=60,5,IF(L207&lt;=120,4,IF(L207&lt;=180,3,IF(L207&lt;=240,2,1))))</x:f>
        <x:v>4</x:v>
      </x:c>
      <x:c r="N207" s="9" t="n">
        <x:f>IF(I207&gt;=6,5,IF(I207&gt;=4,4,IF(I207=3,3,IF(I207=2,2,1))))</x:f>
        <x:v>4</x:v>
      </x:c>
      <x:c r="O207" s="9" t="n">
        <x:f>IF(J207&gt;=500000,5,IF(J207&gt;=300000,4,IF(J207&gt;=175000,3,IF(J207&gt;=75000,2,1))))</x:f>
        <x:v>5</x:v>
      </x:c>
      <x:c r="P207" s="7" t="str">
        <x:f>M207&amp;N207&amp;O207</x:f>
        <x:v>445</x:v>
      </x:c>
      <x:c r="Q207" s="7" t="str">
        <x:f>IF(AND(L207&lt;=60,I207&gt;=5,J207&gt;=300000),"Champions",IF(AND(L207&lt;=120,I207&gt;=3),"Loyal Growth",IF(AND(L207&gt;180,J207&gt;=300000),"High Value At Risk",IF(DATE(2026,6,30)-G207&lt;=90,"New Accounts",IF(AND(L207&lt;=120,I207=1),"Promising",IF(L207&lt;=240,"Needs Nurture","Dormant"))))))</x:f>
        <x:v>Loyal Growth</x:v>
      </x:c>
      <x:c r="R207" s="7" t="str">
        <x:f>IF(DATE(2026,6,30)-G207&lt;=90,"New",IF(AND(L207&lt;=120,I207&gt;=2),"Active",IF(I207=1,"One-time",IF(L207&lt;=240,"At Risk","Lapsed"))))</x:f>
        <x:v>Active</x:v>
      </x:c>
      <x:c r="S207" s="15" t="str">
        <x:f>IF(Q207="Champions","Invite to advisory program and cross-sell service plans",IF(Q207="Loyal Growth","Prioritize expansion offer and product education",IF(Q207="High Value At Risk","Assign sales recovery outreach within 14 days",IF(Q207="New Accounts","Launch 90-day onboarding and adoption sequence",IF(Q207="Promising","Nurture second purchase with use-case content",IF(Q207="Needs Nurture","Run product-fit review and re-engagement sequence","Move to low-frequency win-back program"))))))</x:f>
        <x:v>Prioritize expansion offer and product education</x:v>
      </x:c>
      <x:c r="T207" s="1"/>
      <x:c r="U207" s="1"/>
      <x:c r="V207" s="1"/>
      <x:c r="W207" s="1"/>
      <x:c r="X207" s="1"/>
      <x:c r="Y207" s="1"/>
      <x:c r="Z207" s="1"/>
    </x:row>
    <x:row r="208">
      <x:c r="A208" s="7" t="str">
        <x:v>ACC-0207</x:v>
      </x:c>
      <x:c r="B208" s="7" t="str">
        <x:v>Beacon Industries 207</x:v>
      </x:c>
      <x:c r="C208" s="7" t="str">
        <x:v>West</x:v>
      </x:c>
      <x:c r="D208" s="7" t="str">
        <x:v>Industrial Products</x:v>
      </x:c>
      <x:c r="E208" s="7" t="str">
        <x:v>Enterprise</x:v>
      </x:c>
      <x:c r="F208" s="7" t="str">
        <x:v>Email</x:v>
      </x:c>
      <x:c r="G208" s="8" t="n">
        <x:v>45868</x:v>
      </x:c>
      <x:c r="H208" s="8" t="n">
        <x:v>46162</x:v>
      </x:c>
      <x:c r="I208" s="9" t="n">
        <x:v>5</x:v>
      </x:c>
      <x:c r="J208" s="10" t="n">
        <x:v>949800</x:v>
      </x:c>
      <x:c r="K208" s="10" t="n">
        <x:f>J208/I208</x:f>
        <x:v>189960</x:v>
      </x:c>
      <x:c r="L208" s="9" t="n">
        <x:f>DATE(2026,6,30)-H208</x:f>
        <x:v>41</x:v>
      </x:c>
      <x:c r="M208" s="9" t="n">
        <x:f>IF(L208&lt;=60,5,IF(L208&lt;=120,4,IF(L208&lt;=180,3,IF(L208&lt;=240,2,1))))</x:f>
        <x:v>5</x:v>
      </x:c>
      <x:c r="N208" s="9" t="n">
        <x:f>IF(I208&gt;=6,5,IF(I208&gt;=4,4,IF(I208=3,3,IF(I208=2,2,1))))</x:f>
        <x:v>4</x:v>
      </x:c>
      <x:c r="O208" s="9" t="n">
        <x:f>IF(J208&gt;=500000,5,IF(J208&gt;=300000,4,IF(J208&gt;=175000,3,IF(J208&gt;=75000,2,1))))</x:f>
        <x:v>5</x:v>
      </x:c>
      <x:c r="P208" s="7" t="str">
        <x:f>M208&amp;N208&amp;O208</x:f>
        <x:v>545</x:v>
      </x:c>
      <x:c r="Q208" s="7" t="str">
        <x:f>IF(AND(L208&lt;=60,I208&gt;=5,J208&gt;=300000),"Champions",IF(AND(L208&lt;=120,I208&gt;=3),"Loyal Growth",IF(AND(L208&gt;180,J208&gt;=300000),"High Value At Risk",IF(DATE(2026,6,30)-G208&lt;=90,"New Accounts",IF(AND(L208&lt;=120,I208=1),"Promising",IF(L208&lt;=240,"Needs Nurture","Dormant"))))))</x:f>
        <x:v>Champions</x:v>
      </x:c>
      <x:c r="R208" s="7" t="str">
        <x:f>IF(DATE(2026,6,30)-G208&lt;=90,"New",IF(AND(L208&lt;=120,I208&gt;=2),"Active",IF(I208=1,"One-time",IF(L208&lt;=240,"At Risk","Lapsed"))))</x:f>
        <x:v>Active</x:v>
      </x:c>
      <x:c r="S208" s="15" t="str">
        <x:f>IF(Q208="Champions","Invite to advisory program and cross-sell service plans",IF(Q208="Loyal Growth","Prioritize expansion offer and product education",IF(Q208="High Value At Risk","Assign sales recovery outreach within 14 days",IF(Q208="New Accounts","Launch 90-day onboarding and adoption sequence",IF(Q208="Promising","Nurture second purchase with use-case content",IF(Q208="Needs Nurture","Run product-fit review and re-engagement sequence","Move to low-frequency win-back program"))))))</x:f>
        <x:v>Invite to advisory program and cross-sell service plans</x:v>
      </x:c>
      <x:c r="T208" s="1"/>
      <x:c r="U208" s="1"/>
      <x:c r="V208" s="1"/>
      <x:c r="W208" s="1"/>
      <x:c r="X208" s="1"/>
      <x:c r="Y208" s="1"/>
      <x:c r="Z208" s="1"/>
    </x:row>
    <x:row r="209">
      <x:c r="A209" s="7" t="str">
        <x:v>ACC-0208</x:v>
      </x:c>
      <x:c r="B209" s="7" t="str">
        <x:v>Harbor Solutions 208</x:v>
      </x:c>
      <x:c r="C209" s="7" t="str">
        <x:v>Midwest</x:v>
      </x:c>
      <x:c r="D209" s="7" t="str">
        <x:v>Contract Packaging</x:v>
      </x:c>
      <x:c r="E209" s="7" t="str">
        <x:v>Enterprise</x:v>
      </x:c>
      <x:c r="F209" s="7" t="str">
        <x:v>Trade Show</x:v>
      </x:c>
      <x:c r="G209" s="8" t="n">
        <x:v>45554</x:v>
      </x:c>
      <x:c r="H209" s="8" t="n">
        <x:v>46138</x:v>
      </x:c>
      <x:c r="I209" s="9" t="n">
        <x:v>5</x:v>
      </x:c>
      <x:c r="J209" s="10" t="n">
        <x:v>322000</x:v>
      </x:c>
      <x:c r="K209" s="10" t="n">
        <x:f>J209/I209</x:f>
        <x:v>64400</x:v>
      </x:c>
      <x:c r="L209" s="9" t="n">
        <x:f>DATE(2026,6,30)-H209</x:f>
        <x:v>65</x:v>
      </x:c>
      <x:c r="M209" s="9" t="n">
        <x:f>IF(L209&lt;=60,5,IF(L209&lt;=120,4,IF(L209&lt;=180,3,IF(L209&lt;=240,2,1))))</x:f>
        <x:v>4</x:v>
      </x:c>
      <x:c r="N209" s="9" t="n">
        <x:f>IF(I209&gt;=6,5,IF(I209&gt;=4,4,IF(I209=3,3,IF(I209=2,2,1))))</x:f>
        <x:v>4</x:v>
      </x:c>
      <x:c r="O209" s="9" t="n">
        <x:f>IF(J209&gt;=500000,5,IF(J209&gt;=300000,4,IF(J209&gt;=175000,3,IF(J209&gt;=75000,2,1))))</x:f>
        <x:v>4</x:v>
      </x:c>
      <x:c r="P209" s="7" t="str">
        <x:f>M209&amp;N209&amp;O209</x:f>
        <x:v>444</x:v>
      </x:c>
      <x:c r="Q209" s="7" t="str">
        <x:f>IF(AND(L209&lt;=60,I209&gt;=5,J209&gt;=300000),"Champions",IF(AND(L209&lt;=120,I209&gt;=3),"Loyal Growth",IF(AND(L209&gt;180,J209&gt;=300000),"High Value At Risk",IF(DATE(2026,6,30)-G209&lt;=90,"New Accounts",IF(AND(L209&lt;=120,I209=1),"Promising",IF(L209&lt;=240,"Needs Nurture","Dormant"))))))</x:f>
        <x:v>Loyal Growth</x:v>
      </x:c>
      <x:c r="R209" s="7" t="str">
        <x:f>IF(DATE(2026,6,30)-G209&lt;=90,"New",IF(AND(L209&lt;=120,I209&gt;=2),"Active",IF(I209=1,"One-time",IF(L209&lt;=240,"At Risk","Lapsed"))))</x:f>
        <x:v>Active</x:v>
      </x:c>
      <x:c r="S209" s="15" t="str">
        <x:f>IF(Q209="Champions","Invite to advisory program and cross-sell service plans",IF(Q209="Loyal Growth","Prioritize expansion offer and product education",IF(Q209="High Value At Risk","Assign sales recovery outreach within 14 days",IF(Q209="New Accounts","Launch 90-day onboarding and adoption sequence",IF(Q209="Promising","Nurture second purchase with use-case content",IF(Q209="Needs Nurture","Run product-fit review and re-engagement sequence","Move to low-frequency win-back program"))))))</x:f>
        <x:v>Prioritize expansion offer and product education</x:v>
      </x:c>
      <x:c r="T209" s="1"/>
      <x:c r="U209" s="1"/>
      <x:c r="V209" s="1"/>
      <x:c r="W209" s="1"/>
      <x:c r="X209" s="1"/>
      <x:c r="Y209" s="1"/>
      <x:c r="Z209" s="1"/>
    </x:row>
    <x:row r="210">
      <x:c r="A210" s="7" t="str">
        <x:v>ACC-0209</x:v>
      </x:c>
      <x:c r="B210" s="7" t="str">
        <x:v>Frontier Labs 209</x:v>
      </x:c>
      <x:c r="C210" s="7" t="str">
        <x:v>South</x:v>
      </x:c>
      <x:c r="D210" s="7" t="str">
        <x:v>Food &amp; Beverage</x:v>
      </x:c>
      <x:c r="E210" s="7" t="str">
        <x:v>Small</x:v>
      </x:c>
      <x:c r="F210" s="7" t="str">
        <x:v>Trade Show</x:v>
      </x:c>
      <x:c r="G210" s="8" t="n">
        <x:v>45484</x:v>
      </x:c>
      <x:c r="H210" s="8" t="n">
        <x:v>46075</x:v>
      </x:c>
      <x:c r="I210" s="9" t="n">
        <x:v>2</x:v>
      </x:c>
      <x:c r="J210" s="10" t="n">
        <x:v>200400</x:v>
      </x:c>
      <x:c r="K210" s="10" t="n">
        <x:f>J210/I210</x:f>
        <x:v>100200</x:v>
      </x:c>
      <x:c r="L210" s="9" t="n">
        <x:f>DATE(2026,6,30)-H210</x:f>
        <x:v>128</x:v>
      </x:c>
      <x:c r="M210" s="9" t="n">
        <x:f>IF(L210&lt;=60,5,IF(L210&lt;=120,4,IF(L210&lt;=180,3,IF(L210&lt;=240,2,1))))</x:f>
        <x:v>3</x:v>
      </x:c>
      <x:c r="N210" s="9" t="n">
        <x:f>IF(I210&gt;=6,5,IF(I210&gt;=4,4,IF(I210=3,3,IF(I210=2,2,1))))</x:f>
        <x:v>2</x:v>
      </x:c>
      <x:c r="O210" s="9" t="n">
        <x:f>IF(J210&gt;=500000,5,IF(J210&gt;=300000,4,IF(J210&gt;=175000,3,IF(J210&gt;=75000,2,1))))</x:f>
        <x:v>3</x:v>
      </x:c>
      <x:c r="P210" s="7" t="str">
        <x:f>M210&amp;N210&amp;O210</x:f>
        <x:v>323</x:v>
      </x:c>
      <x:c r="Q210" s="7" t="str">
        <x:f>IF(AND(L210&lt;=60,I210&gt;=5,J210&gt;=300000),"Champions",IF(AND(L210&lt;=120,I210&gt;=3),"Loyal Growth",IF(AND(L210&gt;180,J210&gt;=300000),"High Value At Risk",IF(DATE(2026,6,30)-G210&lt;=90,"New Accounts",IF(AND(L210&lt;=120,I210=1),"Promising",IF(L210&lt;=240,"Needs Nurture","Dormant"))))))</x:f>
        <x:v>Needs Nurture</x:v>
      </x:c>
      <x:c r="R210" s="7" t="str">
        <x:f>IF(DATE(2026,6,30)-G210&lt;=90,"New",IF(AND(L210&lt;=120,I210&gt;=2),"Active",IF(I210=1,"One-time",IF(L210&lt;=240,"At Risk","Lapsed"))))</x:f>
        <x:v>At Risk</x:v>
      </x:c>
      <x:c r="S210" s="15" t="str">
        <x:f>IF(Q210="Champions","Invite to advisory program and cross-sell service plans",IF(Q210="Loyal Growth","Prioritize expansion offer and product education",IF(Q210="High Value At Risk","Assign sales recovery outreach within 14 days",IF(Q210="New Accounts","Launch 90-day onboarding and adoption sequence",IF(Q210="Promising","Nurture second purchase with use-case content",IF(Q210="Needs Nurture","Run product-fit review and re-engagement sequence","Move to low-frequency win-back program"))))))</x:f>
        <x:v>Run product-fit review and re-engagement sequence</x:v>
      </x:c>
      <x:c r="T210" s="1"/>
      <x:c r="U210" s="1"/>
      <x:c r="V210" s="1"/>
      <x:c r="W210" s="1"/>
      <x:c r="X210" s="1"/>
      <x:c r="Y210" s="1"/>
      <x:c r="Z210" s="1"/>
    </x:row>
    <x:row r="211">
      <x:c r="A211" s="7" t="str">
        <x:v>ACC-0210</x:v>
      </x:c>
      <x:c r="B211" s="7" t="str">
        <x:v>Apex Manufacturing 210</x:v>
      </x:c>
      <x:c r="C211" s="7" t="str">
        <x:v>Northeast</x:v>
      </x:c>
      <x:c r="D211" s="7" t="str">
        <x:v>Pharmaceuticals</x:v>
      </x:c>
      <x:c r="E211" s="7" t="str">
        <x:v>Mid-market</x:v>
      </x:c>
      <x:c r="F211" s="7" t="str">
        <x:v>Trade Show</x:v>
      </x:c>
      <x:c r="G211" s="8" t="n">
        <x:v>46022</x:v>
      </x:c>
      <x:c r="H211" s="8" t="n">
        <x:v>46192</x:v>
      </x:c>
      <x:c r="I211" s="9" t="n">
        <x:v>3</x:v>
      </x:c>
      <x:c r="J211" s="10" t="n">
        <x:v>239900</x:v>
      </x:c>
      <x:c r="K211" s="10" t="n">
        <x:f>J211/I211</x:f>
        <x:v>79966.66666666667</x:v>
      </x:c>
      <x:c r="L211" s="9" t="n">
        <x:f>DATE(2026,6,30)-H211</x:f>
        <x:v>11</x:v>
      </x:c>
      <x:c r="M211" s="9" t="n">
        <x:f>IF(L211&lt;=60,5,IF(L211&lt;=120,4,IF(L211&lt;=180,3,IF(L211&lt;=240,2,1))))</x:f>
        <x:v>5</x:v>
      </x:c>
      <x:c r="N211" s="9" t="n">
        <x:f>IF(I211&gt;=6,5,IF(I211&gt;=4,4,IF(I211=3,3,IF(I211=2,2,1))))</x:f>
        <x:v>3</x:v>
      </x:c>
      <x:c r="O211" s="9" t="n">
        <x:f>IF(J211&gt;=500000,5,IF(J211&gt;=300000,4,IF(J211&gt;=175000,3,IF(J211&gt;=75000,2,1))))</x:f>
        <x:v>3</x:v>
      </x:c>
      <x:c r="P211" s="7" t="str">
        <x:f>M211&amp;N211&amp;O211</x:f>
        <x:v>533</x:v>
      </x:c>
      <x:c r="Q211" s="7" t="str">
        <x:f>IF(AND(L211&lt;=60,I211&gt;=5,J211&gt;=300000),"Champions",IF(AND(L211&lt;=120,I211&gt;=3),"Loyal Growth",IF(AND(L211&gt;180,J211&gt;=300000),"High Value At Risk",IF(DATE(2026,6,30)-G211&lt;=90,"New Accounts",IF(AND(L211&lt;=120,I211=1),"Promising",IF(L211&lt;=240,"Needs Nurture","Dormant"))))))</x:f>
        <x:v>Loyal Growth</x:v>
      </x:c>
      <x:c r="R211" s="7" t="str">
        <x:f>IF(DATE(2026,6,30)-G211&lt;=90,"New",IF(AND(L211&lt;=120,I211&gt;=2),"Active",IF(I211=1,"One-time",IF(L211&lt;=240,"At Risk","Lapsed"))))</x:f>
        <x:v>Active</x:v>
      </x:c>
      <x:c r="S211" s="15" t="str">
        <x:f>IF(Q211="Champions","Invite to advisory program and cross-sell service plans",IF(Q211="Loyal Growth","Prioritize expansion offer and product education",IF(Q211="High Value At Risk","Assign sales recovery outreach within 14 days",IF(Q211="New Accounts","Launch 90-day onboarding and adoption sequence",IF(Q211="Promising","Nurture second purchase with use-case content",IF(Q211="Needs Nurture","Run product-fit review and re-engagement sequence","Move to low-frequency win-back program"))))))</x:f>
        <x:v>Prioritize expansion offer and product education</x:v>
      </x:c>
      <x:c r="T211" s="1"/>
      <x:c r="U211" s="1"/>
      <x:c r="V211" s="1"/>
      <x:c r="W211" s="1"/>
      <x:c r="X211" s="1"/>
      <x:c r="Y211" s="1"/>
      <x:c r="Z211" s="1"/>
    </x:row>
    <x:row r="212">
      <x:c r="A212" s="7" t="str">
        <x:v>ACC-0211</x:v>
      </x:c>
      <x:c r="B212" s="7" t="str">
        <x:v>Summit Manufacturing 211</x:v>
      </x:c>
      <x:c r="C212" s="7" t="str">
        <x:v>Midwest</x:v>
      </x:c>
      <x:c r="D212" s="7" t="str">
        <x:v>Pharmaceuticals</x:v>
      </x:c>
      <x:c r="E212" s="7" t="str">
        <x:v>Enterprise</x:v>
      </x:c>
      <x:c r="F212" s="7" t="str">
        <x:v>Trade Show</x:v>
      </x:c>
      <x:c r="G212" s="8" t="n">
        <x:v>45419</x:v>
      </x:c>
      <x:c r="H212" s="8" t="n">
        <x:v>45899</x:v>
      </x:c>
      <x:c r="I212" s="9" t="n">
        <x:v>8</x:v>
      </x:c>
      <x:c r="J212" s="10" t="n">
        <x:v>1249200</x:v>
      </x:c>
      <x:c r="K212" s="10" t="n">
        <x:f>J212/I212</x:f>
        <x:v>156150</x:v>
      </x:c>
      <x:c r="L212" s="9" t="n">
        <x:f>DATE(2026,6,30)-H212</x:f>
        <x:v>304</x:v>
      </x:c>
      <x:c r="M212" s="9" t="n">
        <x:f>IF(L212&lt;=60,5,IF(L212&lt;=120,4,IF(L212&lt;=180,3,IF(L212&lt;=240,2,1))))</x:f>
        <x:v>1</x:v>
      </x:c>
      <x:c r="N212" s="9" t="n">
        <x:f>IF(I212&gt;=6,5,IF(I212&gt;=4,4,IF(I212=3,3,IF(I212=2,2,1))))</x:f>
        <x:v>5</x:v>
      </x:c>
      <x:c r="O212" s="9" t="n">
        <x:f>IF(J212&gt;=500000,5,IF(J212&gt;=300000,4,IF(J212&gt;=175000,3,IF(J212&gt;=75000,2,1))))</x:f>
        <x:v>5</x:v>
      </x:c>
      <x:c r="P212" s="7" t="str">
        <x:f>M212&amp;N212&amp;O212</x:f>
        <x:v>155</x:v>
      </x:c>
      <x:c r="Q212" s="7" t="str">
        <x:f>IF(AND(L212&lt;=60,I212&gt;=5,J212&gt;=300000),"Champions",IF(AND(L212&lt;=120,I212&gt;=3),"Loyal Growth",IF(AND(L212&gt;180,J212&gt;=300000),"High Value At Risk",IF(DATE(2026,6,30)-G212&lt;=90,"New Accounts",IF(AND(L212&lt;=120,I212=1),"Promising",IF(L212&lt;=240,"Needs Nurture","Dormant"))))))</x:f>
        <x:v>High Value At Risk</x:v>
      </x:c>
      <x:c r="R212" s="7" t="str">
        <x:f>IF(DATE(2026,6,30)-G212&lt;=90,"New",IF(AND(L212&lt;=120,I212&gt;=2),"Active",IF(I212=1,"One-time",IF(L212&lt;=240,"At Risk","Lapsed"))))</x:f>
        <x:v>Lapsed</x:v>
      </x:c>
      <x:c r="S212" s="15" t="str">
        <x:f>IF(Q212="Champions","Invite to advisory program and cross-sell service plans",IF(Q212="Loyal Growth","Prioritize expansion offer and product education",IF(Q212="High Value At Risk","Assign sales recovery outreach within 14 days",IF(Q212="New Accounts","Launch 90-day onboarding and adoption sequence",IF(Q212="Promising","Nurture second purchase with use-case content",IF(Q212="Needs Nurture","Run product-fit review and re-engagement sequence","Move to low-frequency win-back program"))))))</x:f>
        <x:v>Assign sales recovery outreach within 14 days</x:v>
      </x:c>
      <x:c r="T212" s="1"/>
      <x:c r="U212" s="1"/>
      <x:c r="V212" s="1"/>
      <x:c r="W212" s="1"/>
      <x:c r="X212" s="1"/>
      <x:c r="Y212" s="1"/>
      <x:c r="Z212" s="1"/>
    </x:row>
    <x:row r="213">
      <x:c r="A213" s="7" t="str">
        <x:v>ACC-0212</x:v>
      </x:c>
      <x:c r="B213" s="7" t="str">
        <x:v>Meridian Foods 212</x:v>
      </x:c>
      <x:c r="C213" s="7" t="str">
        <x:v>South</x:v>
      </x:c>
      <x:c r="D213" s="7" t="str">
        <x:v>Consumer Goods</x:v>
      </x:c>
      <x:c r="E213" s="7" t="str">
        <x:v>Mid-market</x:v>
      </x:c>
      <x:c r="F213" s="7" t="str">
        <x:v>Email</x:v>
      </x:c>
      <x:c r="G213" s="8" t="n">
        <x:v>46037</x:v>
      </x:c>
      <x:c r="H213" s="8" t="n">
        <x:v>46129</x:v>
      </x:c>
      <x:c r="I213" s="9" t="n">
        <x:v>3</x:v>
      </x:c>
      <x:c r="J213" s="10" t="n">
        <x:v>402700</x:v>
      </x:c>
      <x:c r="K213" s="10" t="n">
        <x:f>J213/I213</x:f>
        <x:v>134233.33333333334</x:v>
      </x:c>
      <x:c r="L213" s="9" t="n">
        <x:f>DATE(2026,6,30)-H213</x:f>
        <x:v>74</x:v>
      </x:c>
      <x:c r="M213" s="9" t="n">
        <x:f>IF(L213&lt;=60,5,IF(L213&lt;=120,4,IF(L213&lt;=180,3,IF(L213&lt;=240,2,1))))</x:f>
        <x:v>4</x:v>
      </x:c>
      <x:c r="N213" s="9" t="n">
        <x:f>IF(I213&gt;=6,5,IF(I213&gt;=4,4,IF(I213=3,3,IF(I213=2,2,1))))</x:f>
        <x:v>3</x:v>
      </x:c>
      <x:c r="O213" s="9" t="n">
        <x:f>IF(J213&gt;=500000,5,IF(J213&gt;=300000,4,IF(J213&gt;=175000,3,IF(J213&gt;=75000,2,1))))</x:f>
        <x:v>4</x:v>
      </x:c>
      <x:c r="P213" s="7" t="str">
        <x:f>M213&amp;N213&amp;O213</x:f>
        <x:v>434</x:v>
      </x:c>
      <x:c r="Q213" s="7" t="str">
        <x:f>IF(AND(L213&lt;=60,I213&gt;=5,J213&gt;=300000),"Champions",IF(AND(L213&lt;=120,I213&gt;=3),"Loyal Growth",IF(AND(L213&gt;180,J213&gt;=300000),"High Value At Risk",IF(DATE(2026,6,30)-G213&lt;=90,"New Accounts",IF(AND(L213&lt;=120,I213=1),"Promising",IF(L213&lt;=240,"Needs Nurture","Dormant"))))))</x:f>
        <x:v>Loyal Growth</x:v>
      </x:c>
      <x:c r="R213" s="7" t="str">
        <x:f>IF(DATE(2026,6,30)-G213&lt;=90,"New",IF(AND(L213&lt;=120,I213&gt;=2),"Active",IF(I213=1,"One-time",IF(L213&lt;=240,"At Risk","Lapsed"))))</x:f>
        <x:v>Active</x:v>
      </x:c>
      <x:c r="S213" s="15" t="str">
        <x:f>IF(Q213="Champions","Invite to advisory program and cross-sell service plans",IF(Q213="Loyal Growth","Prioritize expansion offer and product education",IF(Q213="High Value At Risk","Assign sales recovery outreach within 14 days",IF(Q213="New Accounts","Launch 90-day onboarding and adoption sequence",IF(Q213="Promising","Nurture second purchase with use-case content",IF(Q213="Needs Nurture","Run product-fit review and re-engagement sequence","Move to low-frequency win-back program"))))))</x:f>
        <x:v>Prioritize expansion offer and product education</x:v>
      </x:c>
      <x:c r="T213" s="1"/>
      <x:c r="U213" s="1"/>
      <x:c r="V213" s="1"/>
      <x:c r="W213" s="1"/>
      <x:c r="X213" s="1"/>
      <x:c r="Y213" s="1"/>
      <x:c r="Z213" s="1"/>
    </x:row>
    <x:row r="214">
      <x:c r="A214" s="7" t="str">
        <x:v>ACC-0213</x:v>
      </x:c>
      <x:c r="B214" s="7" t="str">
        <x:v>Frontier Manufacturing 213</x:v>
      </x:c>
      <x:c r="C214" s="7" t="str">
        <x:v>Midwest</x:v>
      </x:c>
      <x:c r="D214" s="7" t="str">
        <x:v>Contract Packaging</x:v>
      </x:c>
      <x:c r="E214" s="7" t="str">
        <x:v>Small</x:v>
      </x:c>
      <x:c r="F214" s="7" t="str">
        <x:v>LinkedIn</x:v>
      </x:c>
      <x:c r="G214" s="8" t="n">
        <x:v>45998</x:v>
      </x:c>
      <x:c r="H214" s="8" t="n">
        <x:v>46178</x:v>
      </x:c>
      <x:c r="I214" s="9" t="n">
        <x:v>2</x:v>
      </x:c>
      <x:c r="J214" s="10" t="n">
        <x:v>123900</x:v>
      </x:c>
      <x:c r="K214" s="10" t="n">
        <x:f>J214/I214</x:f>
        <x:v>61950</x:v>
      </x:c>
      <x:c r="L214" s="9" t="n">
        <x:f>DATE(2026,6,30)-H214</x:f>
        <x:v>25</x:v>
      </x:c>
      <x:c r="M214" s="9" t="n">
        <x:f>IF(L214&lt;=60,5,IF(L214&lt;=120,4,IF(L214&lt;=180,3,IF(L214&lt;=240,2,1))))</x:f>
        <x:v>5</x:v>
      </x:c>
      <x:c r="N214" s="9" t="n">
        <x:f>IF(I214&gt;=6,5,IF(I214&gt;=4,4,IF(I214=3,3,IF(I214=2,2,1))))</x:f>
        <x:v>2</x:v>
      </x:c>
      <x:c r="O214" s="9" t="n">
        <x:f>IF(J214&gt;=500000,5,IF(J214&gt;=300000,4,IF(J214&gt;=175000,3,IF(J214&gt;=75000,2,1))))</x:f>
        <x:v>2</x:v>
      </x:c>
      <x:c r="P214" s="7" t="str">
        <x:f>M214&amp;N214&amp;O214</x:f>
        <x:v>522</x:v>
      </x:c>
      <x:c r="Q214" s="7" t="str">
        <x:f>IF(AND(L214&lt;=60,I214&gt;=5,J214&gt;=300000),"Champions",IF(AND(L214&lt;=120,I214&gt;=3),"Loyal Growth",IF(AND(L214&gt;180,J214&gt;=300000),"High Value At Risk",IF(DATE(2026,6,30)-G214&lt;=90,"New Accounts",IF(AND(L214&lt;=120,I214=1),"Promising",IF(L214&lt;=240,"Needs Nurture","Dormant"))))))</x:f>
        <x:v>Needs Nurture</x:v>
      </x:c>
      <x:c r="R214" s="7" t="str">
        <x:f>IF(DATE(2026,6,30)-G214&lt;=90,"New",IF(AND(L214&lt;=120,I214&gt;=2),"Active",IF(I214=1,"One-time",IF(L214&lt;=240,"At Risk","Lapsed"))))</x:f>
        <x:v>Active</x:v>
      </x:c>
      <x:c r="S214" s="15" t="str">
        <x:f>IF(Q214="Champions","Invite to advisory program and cross-sell service plans",IF(Q214="Loyal Growth","Prioritize expansion offer and product education",IF(Q214="High Value At Risk","Assign sales recovery outreach within 14 days",IF(Q214="New Accounts","Launch 90-day onboarding and adoption sequence",IF(Q214="Promising","Nurture second purchase with use-case content",IF(Q214="Needs Nurture","Run product-fit review and re-engagement sequence","Move to low-frequency win-back program"))))))</x:f>
        <x:v>Run product-fit review and re-engagement sequence</x:v>
      </x:c>
      <x:c r="T214" s="1"/>
      <x:c r="U214" s="1"/>
      <x:c r="V214" s="1"/>
      <x:c r="W214" s="1"/>
      <x:c r="X214" s="1"/>
      <x:c r="Y214" s="1"/>
      <x:c r="Z214" s="1"/>
    </x:row>
    <x:row r="215">
      <x:c r="A215" s="7" t="str">
        <x:v>ACC-0214</x:v>
      </x:c>
      <x:c r="B215" s="7" t="str">
        <x:v>Frontier Products 214</x:v>
      </x:c>
      <x:c r="C215" s="7" t="str">
        <x:v>West</x:v>
      </x:c>
      <x:c r="D215" s="7" t="str">
        <x:v>Pharmaceuticals</x:v>
      </x:c>
      <x:c r="E215" s="7" t="str">
        <x:v>Small</x:v>
      </x:c>
      <x:c r="F215" s="7" t="str">
        <x:v>Partner Referral</x:v>
      </x:c>
      <x:c r="G215" s="8" t="n">
        <x:v>45403</x:v>
      </x:c>
      <x:c r="H215" s="8" t="n">
        <x:v>46140</x:v>
      </x:c>
      <x:c r="I215" s="9" t="n">
        <x:v>4</x:v>
      </x:c>
      <x:c r="J215" s="10" t="n">
        <x:v>363200</x:v>
      </x:c>
      <x:c r="K215" s="10" t="n">
        <x:f>J215/I215</x:f>
        <x:v>90800</x:v>
      </x:c>
      <x:c r="L215" s="9" t="n">
        <x:f>DATE(2026,6,30)-H215</x:f>
        <x:v>63</x:v>
      </x:c>
      <x:c r="M215" s="9" t="n">
        <x:f>IF(L215&lt;=60,5,IF(L215&lt;=120,4,IF(L215&lt;=180,3,IF(L215&lt;=240,2,1))))</x:f>
        <x:v>4</x:v>
      </x:c>
      <x:c r="N215" s="9" t="n">
        <x:f>IF(I215&gt;=6,5,IF(I215&gt;=4,4,IF(I215=3,3,IF(I215=2,2,1))))</x:f>
        <x:v>4</x:v>
      </x:c>
      <x:c r="O215" s="9" t="n">
        <x:f>IF(J215&gt;=500000,5,IF(J215&gt;=300000,4,IF(J215&gt;=175000,3,IF(J215&gt;=75000,2,1))))</x:f>
        <x:v>4</x:v>
      </x:c>
      <x:c r="P215" s="7" t="str">
        <x:f>M215&amp;N215&amp;O215</x:f>
        <x:v>444</x:v>
      </x:c>
      <x:c r="Q215" s="7" t="str">
        <x:f>IF(AND(L215&lt;=60,I215&gt;=5,J215&gt;=300000),"Champions",IF(AND(L215&lt;=120,I215&gt;=3),"Loyal Growth",IF(AND(L215&gt;180,J215&gt;=300000),"High Value At Risk",IF(DATE(2026,6,30)-G215&lt;=90,"New Accounts",IF(AND(L215&lt;=120,I215=1),"Promising",IF(L215&lt;=240,"Needs Nurture","Dormant"))))))</x:f>
        <x:v>Loyal Growth</x:v>
      </x:c>
      <x:c r="R215" s="7" t="str">
        <x:f>IF(DATE(2026,6,30)-G215&lt;=90,"New",IF(AND(L215&lt;=120,I215&gt;=2),"Active",IF(I215=1,"One-time",IF(L215&lt;=240,"At Risk","Lapsed"))))</x:f>
        <x:v>Active</x:v>
      </x:c>
      <x:c r="S215" s="15" t="str">
        <x:f>IF(Q215="Champions","Invite to advisory program and cross-sell service plans",IF(Q215="Loyal Growth","Prioritize expansion offer and product education",IF(Q215="High Value At Risk","Assign sales recovery outreach within 14 days",IF(Q215="New Accounts","Launch 90-day onboarding and adoption sequence",IF(Q215="Promising","Nurture second purchase with use-case content",IF(Q215="Needs Nurture","Run product-fit review and re-engagement sequence","Move to low-frequency win-back program"))))))</x:f>
        <x:v>Prioritize expansion offer and product education</x:v>
      </x:c>
      <x:c r="T215" s="1"/>
      <x:c r="U215" s="1"/>
      <x:c r="V215" s="1"/>
      <x:c r="W215" s="1"/>
      <x:c r="X215" s="1"/>
      <x:c r="Y215" s="1"/>
      <x:c r="Z215" s="1"/>
    </x:row>
    <x:row r="216">
      <x:c r="A216" s="7" t="str">
        <x:v>ACC-0215</x:v>
      </x:c>
      <x:c r="B216" s="7" t="str">
        <x:v>Granite Brands 215</x:v>
      </x:c>
      <x:c r="C216" s="7" t="str">
        <x:v>South</x:v>
      </x:c>
      <x:c r="D216" s="7" t="str">
        <x:v>Consumer Goods</x:v>
      </x:c>
      <x:c r="E216" s="7" t="str">
        <x:v>Mid-market</x:v>
      </x:c>
      <x:c r="F216" s="7" t="str">
        <x:v>Trade Show</x:v>
      </x:c>
      <x:c r="G216" s="8" t="n">
        <x:v>46165</x:v>
      </x:c>
      <x:c r="H216" s="8" t="n">
        <x:v>46180</x:v>
      </x:c>
      <x:c r="I216" s="9" t="n">
        <x:v>2</x:v>
      </x:c>
      <x:c r="J216" s="10" t="n">
        <x:v>308000</x:v>
      </x:c>
      <x:c r="K216" s="10" t="n">
        <x:f>J216/I216</x:f>
        <x:v>154000</x:v>
      </x:c>
      <x:c r="L216" s="9" t="n">
        <x:f>DATE(2026,6,30)-H216</x:f>
        <x:v>23</x:v>
      </x:c>
      <x:c r="M216" s="9" t="n">
        <x:f>IF(L216&lt;=60,5,IF(L216&lt;=120,4,IF(L216&lt;=180,3,IF(L216&lt;=240,2,1))))</x:f>
        <x:v>5</x:v>
      </x:c>
      <x:c r="N216" s="9" t="n">
        <x:f>IF(I216&gt;=6,5,IF(I216&gt;=4,4,IF(I216=3,3,IF(I216=2,2,1))))</x:f>
        <x:v>2</x:v>
      </x:c>
      <x:c r="O216" s="9" t="n">
        <x:f>IF(J216&gt;=500000,5,IF(J216&gt;=300000,4,IF(J216&gt;=175000,3,IF(J216&gt;=75000,2,1))))</x:f>
        <x:v>4</x:v>
      </x:c>
      <x:c r="P216" s="7" t="str">
        <x:f>M216&amp;N216&amp;O216</x:f>
        <x:v>524</x:v>
      </x:c>
      <x:c r="Q216" s="7" t="str">
        <x:f>IF(AND(L216&lt;=60,I216&gt;=5,J216&gt;=300000),"Champions",IF(AND(L216&lt;=120,I216&gt;=3),"Loyal Growth",IF(AND(L216&gt;180,J216&gt;=300000),"High Value At Risk",IF(DATE(2026,6,30)-G216&lt;=90,"New Accounts",IF(AND(L216&lt;=120,I216=1),"Promising",IF(L216&lt;=240,"Needs Nurture","Dormant"))))))</x:f>
        <x:v>New Accounts</x:v>
      </x:c>
      <x:c r="R216" s="7" t="str">
        <x:f>IF(DATE(2026,6,30)-G216&lt;=90,"New",IF(AND(L216&lt;=120,I216&gt;=2),"Active",IF(I216=1,"One-time",IF(L216&lt;=240,"At Risk","Lapsed"))))</x:f>
        <x:v>New</x:v>
      </x:c>
      <x:c r="S216" s="15" t="str">
        <x:f>IF(Q216="Champions","Invite to advisory program and cross-sell service plans",IF(Q216="Loyal Growth","Prioritize expansion offer and product education",IF(Q216="High Value At Risk","Assign sales recovery outreach within 14 days",IF(Q216="New Accounts","Launch 90-day onboarding and adoption sequence",IF(Q216="Promising","Nurture second purchase with use-case content",IF(Q216="Needs Nurture","Run product-fit review and re-engagement sequence","Move to low-frequency win-back program"))))))</x:f>
        <x:v>Launch 90-day onboarding and adoption sequence</x:v>
      </x:c>
      <x:c r="T216" s="1"/>
      <x:c r="U216" s="1"/>
      <x:c r="V216" s="1"/>
      <x:c r="W216" s="1"/>
      <x:c r="X216" s="1"/>
      <x:c r="Y216" s="1"/>
      <x:c r="Z216" s="1"/>
    </x:row>
    <x:row r="217">
      <x:c r="A217" s="7" t="str">
        <x:v>ACC-0216</x:v>
      </x:c>
      <x:c r="B217" s="7" t="str">
        <x:v>Summit Foods 216</x:v>
      </x:c>
      <x:c r="C217" s="7" t="str">
        <x:v>South</x:v>
      </x:c>
      <x:c r="D217" s="7" t="str">
        <x:v>Contract Packaging</x:v>
      </x:c>
      <x:c r="E217" s="7" t="str">
        <x:v>Enterprise</x:v>
      </x:c>
      <x:c r="F217" s="7" t="str">
        <x:v>Trade Show</x:v>
      </x:c>
      <x:c r="G217" s="8" t="n">
        <x:v>45838</x:v>
      </x:c>
      <x:c r="H217" s="8" t="n">
        <x:v>46049</x:v>
      </x:c>
      <x:c r="I217" s="9" t="n">
        <x:v>4</x:v>
      </x:c>
      <x:c r="J217" s="10" t="n">
        <x:v>579900</x:v>
      </x:c>
      <x:c r="K217" s="10" t="n">
        <x:f>J217/I217</x:f>
        <x:v>144975</x:v>
      </x:c>
      <x:c r="L217" s="9" t="n">
        <x:f>DATE(2026,6,30)-H217</x:f>
        <x:v>154</x:v>
      </x:c>
      <x:c r="M217" s="9" t="n">
        <x:f>IF(L217&lt;=60,5,IF(L217&lt;=120,4,IF(L217&lt;=180,3,IF(L217&lt;=240,2,1))))</x:f>
        <x:v>3</x:v>
      </x:c>
      <x:c r="N217" s="9" t="n">
        <x:f>IF(I217&gt;=6,5,IF(I217&gt;=4,4,IF(I217=3,3,IF(I217=2,2,1))))</x:f>
        <x:v>4</x:v>
      </x:c>
      <x:c r="O217" s="9" t="n">
        <x:f>IF(J217&gt;=500000,5,IF(J217&gt;=300000,4,IF(J217&gt;=175000,3,IF(J217&gt;=75000,2,1))))</x:f>
        <x:v>5</x:v>
      </x:c>
      <x:c r="P217" s="7" t="str">
        <x:f>M217&amp;N217&amp;O217</x:f>
        <x:v>345</x:v>
      </x:c>
      <x:c r="Q217" s="7" t="str">
        <x:f>IF(AND(L217&lt;=60,I217&gt;=5,J217&gt;=300000),"Champions",IF(AND(L217&lt;=120,I217&gt;=3),"Loyal Growth",IF(AND(L217&gt;180,J217&gt;=300000),"High Value At Risk",IF(DATE(2026,6,30)-G217&lt;=90,"New Accounts",IF(AND(L217&lt;=120,I217=1),"Promising",IF(L217&lt;=240,"Needs Nurture","Dormant"))))))</x:f>
        <x:v>Needs Nurture</x:v>
      </x:c>
      <x:c r="R217" s="7" t="str">
        <x:f>IF(DATE(2026,6,30)-G217&lt;=90,"New",IF(AND(L217&lt;=120,I217&gt;=2),"Active",IF(I217=1,"One-time",IF(L217&lt;=240,"At Risk","Lapsed"))))</x:f>
        <x:v>At Risk</x:v>
      </x:c>
      <x:c r="S217" s="15" t="str">
        <x:f>IF(Q217="Champions","Invite to advisory program and cross-sell service plans",IF(Q217="Loyal Growth","Prioritize expansion offer and product education",IF(Q217="High Value At Risk","Assign sales recovery outreach within 14 days",IF(Q217="New Accounts","Launch 90-day onboarding and adoption sequence",IF(Q217="Promising","Nurture second purchase with use-case content",IF(Q217="Needs Nurture","Run product-fit review and re-engagement sequence","Move to low-frequency win-back program"))))))</x:f>
        <x:v>Run product-fit review and re-engagement sequence</x:v>
      </x:c>
      <x:c r="T217" s="1"/>
      <x:c r="U217" s="1"/>
      <x:c r="V217" s="1"/>
      <x:c r="W217" s="1"/>
      <x:c r="X217" s="1"/>
      <x:c r="Y217" s="1"/>
      <x:c r="Z217" s="1"/>
    </x:row>
    <x:row r="218">
      <x:c r="A218" s="7" t="str">
        <x:v>ACC-0217</x:v>
      </x:c>
      <x:c r="B218" s="7" t="str">
        <x:v>Summit Manufacturing 217</x:v>
      </x:c>
      <x:c r="C218" s="7" t="str">
        <x:v>West</x:v>
      </x:c>
      <x:c r="D218" s="7" t="str">
        <x:v>Consumer Goods</x:v>
      </x:c>
      <x:c r="E218" s="7" t="str">
        <x:v>Small</x:v>
      </x:c>
      <x:c r="F218" s="7" t="str">
        <x:v>Email</x:v>
      </x:c>
      <x:c r="G218" s="8" t="n">
        <x:v>46036</x:v>
      </x:c>
      <x:c r="H218" s="8" t="n">
        <x:v>46182</x:v>
      </x:c>
      <x:c r="I218" s="9" t="n">
        <x:v>3</x:v>
      </x:c>
      <x:c r="J218" s="10" t="n">
        <x:v>296800</x:v>
      </x:c>
      <x:c r="K218" s="10" t="n">
        <x:f>J218/I218</x:f>
        <x:v>98933.33333333333</x:v>
      </x:c>
      <x:c r="L218" s="9" t="n">
        <x:f>DATE(2026,6,30)-H218</x:f>
        <x:v>21</x:v>
      </x:c>
      <x:c r="M218" s="9" t="n">
        <x:f>IF(L218&lt;=60,5,IF(L218&lt;=120,4,IF(L218&lt;=180,3,IF(L218&lt;=240,2,1))))</x:f>
        <x:v>5</x:v>
      </x:c>
      <x:c r="N218" s="9" t="n">
        <x:f>IF(I218&gt;=6,5,IF(I218&gt;=4,4,IF(I218=3,3,IF(I218=2,2,1))))</x:f>
        <x:v>3</x:v>
      </x:c>
      <x:c r="O218" s="9" t="n">
        <x:f>IF(J218&gt;=500000,5,IF(J218&gt;=300000,4,IF(J218&gt;=175000,3,IF(J218&gt;=75000,2,1))))</x:f>
        <x:v>3</x:v>
      </x:c>
      <x:c r="P218" s="7" t="str">
        <x:f>M218&amp;N218&amp;O218</x:f>
        <x:v>533</x:v>
      </x:c>
      <x:c r="Q218" s="7" t="str">
        <x:f>IF(AND(L218&lt;=60,I218&gt;=5,J218&gt;=300000),"Champions",IF(AND(L218&lt;=120,I218&gt;=3),"Loyal Growth",IF(AND(L218&gt;180,J218&gt;=300000),"High Value At Risk",IF(DATE(2026,6,30)-G218&lt;=90,"New Accounts",IF(AND(L218&lt;=120,I218=1),"Promising",IF(L218&lt;=240,"Needs Nurture","Dormant"))))))</x:f>
        <x:v>Loyal Growth</x:v>
      </x:c>
      <x:c r="R218" s="7" t="str">
        <x:f>IF(DATE(2026,6,30)-G218&lt;=90,"New",IF(AND(L218&lt;=120,I218&gt;=2),"Active",IF(I218=1,"One-time",IF(L218&lt;=240,"At Risk","Lapsed"))))</x:f>
        <x:v>Active</x:v>
      </x:c>
      <x:c r="S218" s="15" t="str">
        <x:f>IF(Q218="Champions","Invite to advisory program and cross-sell service plans",IF(Q218="Loyal Growth","Prioritize expansion offer and product education",IF(Q218="High Value At Risk","Assign sales recovery outreach within 14 days",IF(Q218="New Accounts","Launch 90-day onboarding and adoption sequence",IF(Q218="Promising","Nurture second purchase with use-case content",IF(Q218="Needs Nurture","Run product-fit review and re-engagement sequence","Move to low-frequency win-back program"))))))</x:f>
        <x:v>Prioritize expansion offer and product education</x:v>
      </x:c>
      <x:c r="T218" s="1"/>
      <x:c r="U218" s="1"/>
      <x:c r="V218" s="1"/>
      <x:c r="W218" s="1"/>
      <x:c r="X218" s="1"/>
      <x:c r="Y218" s="1"/>
      <x:c r="Z218" s="1"/>
    </x:row>
    <x:row r="219">
      <x:c r="A219" s="7" t="str">
        <x:v>ACC-0218</x:v>
      </x:c>
      <x:c r="B219" s="7" t="str">
        <x:v>Granite Industries 218</x:v>
      </x:c>
      <x:c r="C219" s="7" t="str">
        <x:v>Northeast</x:v>
      </x:c>
      <x:c r="D219" s="7" t="str">
        <x:v>Food &amp; Beverage</x:v>
      </x:c>
      <x:c r="E219" s="7" t="str">
        <x:v>Mid-market</x:v>
      </x:c>
      <x:c r="F219" s="7" t="str">
        <x:v>Google Search</x:v>
      </x:c>
      <x:c r="G219" s="8" t="n">
        <x:v>45403</x:v>
      </x:c>
      <x:c r="H219" s="8" t="n">
        <x:v>46101</x:v>
      </x:c>
      <x:c r="I219" s="9" t="n">
        <x:v>4</x:v>
      </x:c>
      <x:c r="J219" s="10" t="n">
        <x:v>223600</x:v>
      </x:c>
      <x:c r="K219" s="10" t="n">
        <x:f>J219/I219</x:f>
        <x:v>55900</x:v>
      </x:c>
      <x:c r="L219" s="9" t="n">
        <x:f>DATE(2026,6,30)-H219</x:f>
        <x:v>102</x:v>
      </x:c>
      <x:c r="M219" s="9" t="n">
        <x:f>IF(L219&lt;=60,5,IF(L219&lt;=120,4,IF(L219&lt;=180,3,IF(L219&lt;=240,2,1))))</x:f>
        <x:v>4</x:v>
      </x:c>
      <x:c r="N219" s="9" t="n">
        <x:f>IF(I219&gt;=6,5,IF(I219&gt;=4,4,IF(I219=3,3,IF(I219=2,2,1))))</x:f>
        <x:v>4</x:v>
      </x:c>
      <x:c r="O219" s="9" t="n">
        <x:f>IF(J219&gt;=500000,5,IF(J219&gt;=300000,4,IF(J219&gt;=175000,3,IF(J219&gt;=75000,2,1))))</x:f>
        <x:v>3</x:v>
      </x:c>
      <x:c r="P219" s="7" t="str">
        <x:f>M219&amp;N219&amp;O219</x:f>
        <x:v>443</x:v>
      </x:c>
      <x:c r="Q219" s="7" t="str">
        <x:f>IF(AND(L219&lt;=60,I219&gt;=5,J219&gt;=300000),"Champions",IF(AND(L219&lt;=120,I219&gt;=3),"Loyal Growth",IF(AND(L219&gt;180,J219&gt;=300000),"High Value At Risk",IF(DATE(2026,6,30)-G219&lt;=90,"New Accounts",IF(AND(L219&lt;=120,I219=1),"Promising",IF(L219&lt;=240,"Needs Nurture","Dormant"))))))</x:f>
        <x:v>Loyal Growth</x:v>
      </x:c>
      <x:c r="R219" s="7" t="str">
        <x:f>IF(DATE(2026,6,30)-G219&lt;=90,"New",IF(AND(L219&lt;=120,I219&gt;=2),"Active",IF(I219=1,"One-time",IF(L219&lt;=240,"At Risk","Lapsed"))))</x:f>
        <x:v>Active</x:v>
      </x:c>
      <x:c r="S219" s="15" t="str">
        <x:f>IF(Q219="Champions","Invite to advisory program and cross-sell service plans",IF(Q219="Loyal Growth","Prioritize expansion offer and product education",IF(Q219="High Value At Risk","Assign sales recovery outreach within 14 days",IF(Q219="New Accounts","Launch 90-day onboarding and adoption sequence",IF(Q219="Promising","Nurture second purchase with use-case content",IF(Q219="Needs Nurture","Run product-fit review and re-engagement sequence","Move to low-frequency win-back program"))))))</x:f>
        <x:v>Prioritize expansion offer and product education</x:v>
      </x:c>
      <x:c r="T219" s="1"/>
      <x:c r="U219" s="1"/>
      <x:c r="V219" s="1"/>
      <x:c r="W219" s="1"/>
      <x:c r="X219" s="1"/>
      <x:c r="Y219" s="1"/>
      <x:c r="Z219" s="1"/>
    </x:row>
    <x:row r="220">
      <x:c r="A220" s="7" t="str">
        <x:v>ACC-0219</x:v>
      </x:c>
      <x:c r="B220" s="7" t="str">
        <x:v>Pioneer Foods 219</x:v>
      </x:c>
      <x:c r="C220" s="7" t="str">
        <x:v>Northeast</x:v>
      </x:c>
      <x:c r="D220" s="7" t="str">
        <x:v>Consumer Goods</x:v>
      </x:c>
      <x:c r="E220" s="7" t="str">
        <x:v>Small</x:v>
      </x:c>
      <x:c r="F220" s="7" t="str">
        <x:v>Email</x:v>
      </x:c>
      <x:c r="G220" s="8" t="n">
        <x:v>45675</x:v>
      </x:c>
      <x:c r="H220" s="8" t="n">
        <x:v>45675</x:v>
      </x:c>
      <x:c r="I220" s="9" t="n">
        <x:v>1</x:v>
      </x:c>
      <x:c r="J220" s="10" t="n">
        <x:v>132400</x:v>
      </x:c>
      <x:c r="K220" s="10" t="n">
        <x:f>J220/I220</x:f>
        <x:v>132400</x:v>
      </x:c>
      <x:c r="L220" s="9" t="n">
        <x:f>DATE(2026,6,30)-H220</x:f>
        <x:v>528</x:v>
      </x:c>
      <x:c r="M220" s="9" t="n">
        <x:f>IF(L220&lt;=60,5,IF(L220&lt;=120,4,IF(L220&lt;=180,3,IF(L220&lt;=240,2,1))))</x:f>
        <x:v>1</x:v>
      </x:c>
      <x:c r="N220" s="9" t="n">
        <x:f>IF(I220&gt;=6,5,IF(I220&gt;=4,4,IF(I220=3,3,IF(I220=2,2,1))))</x:f>
        <x:v>1</x:v>
      </x:c>
      <x:c r="O220" s="9" t="n">
        <x:f>IF(J220&gt;=500000,5,IF(J220&gt;=300000,4,IF(J220&gt;=175000,3,IF(J220&gt;=75000,2,1))))</x:f>
        <x:v>2</x:v>
      </x:c>
      <x:c r="P220" s="7" t="str">
        <x:f>M220&amp;N220&amp;O220</x:f>
        <x:v>112</x:v>
      </x:c>
      <x:c r="Q220" s="7" t="str">
        <x:f>IF(AND(L220&lt;=60,I220&gt;=5,J220&gt;=300000),"Champions",IF(AND(L220&lt;=120,I220&gt;=3),"Loyal Growth",IF(AND(L220&gt;180,J220&gt;=300000),"High Value At Risk",IF(DATE(2026,6,30)-G220&lt;=90,"New Accounts",IF(AND(L220&lt;=120,I220=1),"Promising",IF(L220&lt;=240,"Needs Nurture","Dormant"))))))</x:f>
        <x:v>Dormant</x:v>
      </x:c>
      <x:c r="R220" s="7" t="str">
        <x:f>IF(DATE(2026,6,30)-G220&lt;=90,"New",IF(AND(L220&lt;=120,I220&gt;=2),"Active",IF(I220=1,"One-time",IF(L220&lt;=240,"At Risk","Lapsed"))))</x:f>
        <x:v>One-time</x:v>
      </x:c>
      <x:c r="S220" s="15" t="str">
        <x:f>IF(Q220="Champions","Invite to advisory program and cross-sell service plans",IF(Q220="Loyal Growth","Prioritize expansion offer and product education",IF(Q220="High Value At Risk","Assign sales recovery outreach within 14 days",IF(Q220="New Accounts","Launch 90-day onboarding and adoption sequence",IF(Q220="Promising","Nurture second purchase with use-case content",IF(Q220="Needs Nurture","Run product-fit review and re-engagement sequence","Move to low-frequency win-back program"))))))</x:f>
        <x:v>Move to low-frequency win-back program</x:v>
      </x:c>
      <x:c r="T220" s="1"/>
      <x:c r="U220" s="1"/>
      <x:c r="V220" s="1"/>
      <x:c r="W220" s="1"/>
      <x:c r="X220" s="1"/>
      <x:c r="Y220" s="1"/>
      <x:c r="Z220" s="1"/>
    </x:row>
    <x:row r="221">
      <x:c r="A221" s="7" t="str">
        <x:v>ACC-0220</x:v>
      </x:c>
      <x:c r="B221" s="7" t="str">
        <x:v>Meridian Labs 220</x:v>
      </x:c>
      <x:c r="C221" s="7" t="str">
        <x:v>West</x:v>
      </x:c>
      <x:c r="D221" s="7" t="str">
        <x:v>Food &amp; Beverage</x:v>
      </x:c>
      <x:c r="E221" s="7" t="str">
        <x:v>Mid-market</x:v>
      </x:c>
      <x:c r="F221" s="7" t="str">
        <x:v>LinkedIn</x:v>
      </x:c>
      <x:c r="G221" s="8" t="n">
        <x:v>45994</x:v>
      </x:c>
      <x:c r="H221" s="8" t="n">
        <x:v>46185</x:v>
      </x:c>
      <x:c r="I221" s="9" t="n">
        <x:v>3</x:v>
      </x:c>
      <x:c r="J221" s="10" t="n">
        <x:v>448600</x:v>
      </x:c>
      <x:c r="K221" s="10" t="n">
        <x:f>J221/I221</x:f>
        <x:v>149533.33333333334</x:v>
      </x:c>
      <x:c r="L221" s="9" t="n">
        <x:f>DATE(2026,6,30)-H221</x:f>
        <x:v>18</x:v>
      </x:c>
      <x:c r="M221" s="9" t="n">
        <x:f>IF(L221&lt;=60,5,IF(L221&lt;=120,4,IF(L221&lt;=180,3,IF(L221&lt;=240,2,1))))</x:f>
        <x:v>5</x:v>
      </x:c>
      <x:c r="N221" s="9" t="n">
        <x:f>IF(I221&gt;=6,5,IF(I221&gt;=4,4,IF(I221=3,3,IF(I221=2,2,1))))</x:f>
        <x:v>3</x:v>
      </x:c>
      <x:c r="O221" s="9" t="n">
        <x:f>IF(J221&gt;=500000,5,IF(J221&gt;=300000,4,IF(J221&gt;=175000,3,IF(J221&gt;=75000,2,1))))</x:f>
        <x:v>4</x:v>
      </x:c>
      <x:c r="P221" s="7" t="str">
        <x:f>M221&amp;N221&amp;O221</x:f>
        <x:v>534</x:v>
      </x:c>
      <x:c r="Q221" s="7" t="str">
        <x:f>IF(AND(L221&lt;=60,I221&gt;=5,J221&gt;=300000),"Champions",IF(AND(L221&lt;=120,I221&gt;=3),"Loyal Growth",IF(AND(L221&gt;180,J221&gt;=300000),"High Value At Risk",IF(DATE(2026,6,30)-G221&lt;=90,"New Accounts",IF(AND(L221&lt;=120,I221=1),"Promising",IF(L221&lt;=240,"Needs Nurture","Dormant"))))))</x:f>
        <x:v>Loyal Growth</x:v>
      </x:c>
      <x:c r="R221" s="7" t="str">
        <x:f>IF(DATE(2026,6,30)-G221&lt;=90,"New",IF(AND(L221&lt;=120,I221&gt;=2),"Active",IF(I221=1,"One-time",IF(L221&lt;=240,"At Risk","Lapsed"))))</x:f>
        <x:v>Active</x:v>
      </x:c>
      <x:c r="S221" s="15" t="str">
        <x:f>IF(Q221="Champions","Invite to advisory program and cross-sell service plans",IF(Q221="Loyal Growth","Prioritize expansion offer and product education",IF(Q221="High Value At Risk","Assign sales recovery outreach within 14 days",IF(Q221="New Accounts","Launch 90-day onboarding and adoption sequence",IF(Q221="Promising","Nurture second purchase with use-case content",IF(Q221="Needs Nurture","Run product-fit review and re-engagement sequence","Move to low-frequency win-back program"))))))</x:f>
        <x:v>Prioritize expansion offer and product education</x:v>
      </x:c>
      <x:c r="T221" s="1"/>
      <x:c r="U221" s="1"/>
      <x:c r="V221" s="1"/>
      <x:c r="W221" s="1"/>
      <x:c r="X221" s="1"/>
      <x:c r="Y221" s="1"/>
      <x:c r="Z221" s="1"/>
    </x:row>
    <x:row r="222">
      <x:c r="A222" s="7" t="str">
        <x:v>ACC-0221</x:v>
      </x:c>
      <x:c r="B222" s="7" t="str">
        <x:v>Crest Labs 221</x:v>
      </x:c>
      <x:c r="C222" s="7" t="str">
        <x:v>Midwest</x:v>
      </x:c>
      <x:c r="D222" s="7" t="str">
        <x:v>Industrial Products</x:v>
      </x:c>
      <x:c r="E222" s="7" t="str">
        <x:v>Small</x:v>
      </x:c>
      <x:c r="F222" s="7" t="str">
        <x:v>LinkedIn</x:v>
      </x:c>
      <x:c r="G222" s="8" t="n">
        <x:v>46011</x:v>
      </x:c>
      <x:c r="H222" s="8" t="n">
        <x:v>46011</x:v>
      </x:c>
      <x:c r="I222" s="9" t="n">
        <x:v>1</x:v>
      </x:c>
      <x:c r="J222" s="10" t="n">
        <x:v>149200</x:v>
      </x:c>
      <x:c r="K222" s="10" t="n">
        <x:f>J222/I222</x:f>
        <x:v>149200</x:v>
      </x:c>
      <x:c r="L222" s="9" t="n">
        <x:f>DATE(2026,6,30)-H222</x:f>
        <x:v>192</x:v>
      </x:c>
      <x:c r="M222" s="9" t="n">
        <x:f>IF(L222&lt;=60,5,IF(L222&lt;=120,4,IF(L222&lt;=180,3,IF(L222&lt;=240,2,1))))</x:f>
        <x:v>2</x:v>
      </x:c>
      <x:c r="N222" s="9" t="n">
        <x:f>IF(I222&gt;=6,5,IF(I222&gt;=4,4,IF(I222=3,3,IF(I222=2,2,1))))</x:f>
        <x:v>1</x:v>
      </x:c>
      <x:c r="O222" s="9" t="n">
        <x:f>IF(J222&gt;=500000,5,IF(J222&gt;=300000,4,IF(J222&gt;=175000,3,IF(J222&gt;=75000,2,1))))</x:f>
        <x:v>2</x:v>
      </x:c>
      <x:c r="P222" s="7" t="str">
        <x:f>M222&amp;N222&amp;O222</x:f>
        <x:v>212</x:v>
      </x:c>
      <x:c r="Q222" s="7" t="str">
        <x:f>IF(AND(L222&lt;=60,I222&gt;=5,J222&gt;=300000),"Champions",IF(AND(L222&lt;=120,I222&gt;=3),"Loyal Growth",IF(AND(L222&gt;180,J222&gt;=300000),"High Value At Risk",IF(DATE(2026,6,30)-G222&lt;=90,"New Accounts",IF(AND(L222&lt;=120,I222=1),"Promising",IF(L222&lt;=240,"Needs Nurture","Dormant"))))))</x:f>
        <x:v>Needs Nurture</x:v>
      </x:c>
      <x:c r="R222" s="7" t="str">
        <x:f>IF(DATE(2026,6,30)-G222&lt;=90,"New",IF(AND(L222&lt;=120,I222&gt;=2),"Active",IF(I222=1,"One-time",IF(L222&lt;=240,"At Risk","Lapsed"))))</x:f>
        <x:v>One-time</x:v>
      </x:c>
      <x:c r="S222" s="15" t="str">
        <x:f>IF(Q222="Champions","Invite to advisory program and cross-sell service plans",IF(Q222="Loyal Growth","Prioritize expansion offer and product education",IF(Q222="High Value At Risk","Assign sales recovery outreach within 14 days",IF(Q222="New Accounts","Launch 90-day onboarding and adoption sequence",IF(Q222="Promising","Nurture second purchase with use-case content",IF(Q222="Needs Nurture","Run product-fit review and re-engagement sequence","Move to low-frequency win-back program"))))))</x:f>
        <x:v>Run product-fit review and re-engagement sequence</x:v>
      </x:c>
      <x:c r="T222" s="1"/>
      <x:c r="U222" s="1"/>
      <x:c r="V222" s="1"/>
      <x:c r="W222" s="1"/>
      <x:c r="X222" s="1"/>
      <x:c r="Y222" s="1"/>
      <x:c r="Z222" s="1"/>
    </x:row>
    <x:row r="223">
      <x:c r="A223" s="7" t="str">
        <x:v>ACC-0222</x:v>
      </x:c>
      <x:c r="B223" s="7" t="str">
        <x:v>Granite Foods 222</x:v>
      </x:c>
      <x:c r="C223" s="7" t="str">
        <x:v>Northeast</x:v>
      </x:c>
      <x:c r="D223" s="7" t="str">
        <x:v>Pharmaceuticals</x:v>
      </x:c>
      <x:c r="E223" s="7" t="str">
        <x:v>Small</x:v>
      </x:c>
      <x:c r="F223" s="7" t="str">
        <x:v>Trade Show</x:v>
      </x:c>
      <x:c r="G223" s="8" t="n">
        <x:v>45866</x:v>
      </x:c>
      <x:c r="H223" s="8" t="n">
        <x:v>46106</x:v>
      </x:c>
      <x:c r="I223" s="9" t="n">
        <x:v>2</x:v>
      </x:c>
      <x:c r="J223" s="10" t="n">
        <x:v>162600</x:v>
      </x:c>
      <x:c r="K223" s="10" t="n">
        <x:f>J223/I223</x:f>
        <x:v>81300</x:v>
      </x:c>
      <x:c r="L223" s="9" t="n">
        <x:f>DATE(2026,6,30)-H223</x:f>
        <x:v>97</x:v>
      </x:c>
      <x:c r="M223" s="9" t="n">
        <x:f>IF(L223&lt;=60,5,IF(L223&lt;=120,4,IF(L223&lt;=180,3,IF(L223&lt;=240,2,1))))</x:f>
        <x:v>4</x:v>
      </x:c>
      <x:c r="N223" s="9" t="n">
        <x:f>IF(I223&gt;=6,5,IF(I223&gt;=4,4,IF(I223=3,3,IF(I223=2,2,1))))</x:f>
        <x:v>2</x:v>
      </x:c>
      <x:c r="O223" s="9" t="n">
        <x:f>IF(J223&gt;=500000,5,IF(J223&gt;=300000,4,IF(J223&gt;=175000,3,IF(J223&gt;=75000,2,1))))</x:f>
        <x:v>2</x:v>
      </x:c>
      <x:c r="P223" s="7" t="str">
        <x:f>M223&amp;N223&amp;O223</x:f>
        <x:v>422</x:v>
      </x:c>
      <x:c r="Q223" s="7" t="str">
        <x:f>IF(AND(L223&lt;=60,I223&gt;=5,J223&gt;=300000),"Champions",IF(AND(L223&lt;=120,I223&gt;=3),"Loyal Growth",IF(AND(L223&gt;180,J223&gt;=300000),"High Value At Risk",IF(DATE(2026,6,30)-G223&lt;=90,"New Accounts",IF(AND(L223&lt;=120,I223=1),"Promising",IF(L223&lt;=240,"Needs Nurture","Dormant"))))))</x:f>
        <x:v>Needs Nurture</x:v>
      </x:c>
      <x:c r="R223" s="7" t="str">
        <x:f>IF(DATE(2026,6,30)-G223&lt;=90,"New",IF(AND(L223&lt;=120,I223&gt;=2),"Active",IF(I223=1,"One-time",IF(L223&lt;=240,"At Risk","Lapsed"))))</x:f>
        <x:v>Active</x:v>
      </x:c>
      <x:c r="S223" s="15" t="str">
        <x:f>IF(Q223="Champions","Invite to advisory program and cross-sell service plans",IF(Q223="Loyal Growth","Prioritize expansion offer and product education",IF(Q223="High Value At Risk","Assign sales recovery outreach within 14 days",IF(Q223="New Accounts","Launch 90-day onboarding and adoption sequence",IF(Q223="Promising","Nurture second purchase with use-case content",IF(Q223="Needs Nurture","Run product-fit review and re-engagement sequence","Move to low-frequency win-back program"))))))</x:f>
        <x:v>Run product-fit review and re-engagement sequence</x:v>
      </x:c>
      <x:c r="T223" s="1"/>
      <x:c r="U223" s="1"/>
      <x:c r="V223" s="1"/>
      <x:c r="W223" s="1"/>
      <x:c r="X223" s="1"/>
      <x:c r="Y223" s="1"/>
      <x:c r="Z223" s="1"/>
    </x:row>
    <x:row r="224">
      <x:c r="A224" s="7" t="str">
        <x:v>ACC-0223</x:v>
      </x:c>
      <x:c r="B224" s="7" t="str">
        <x:v>Harbor Labs 223</x:v>
      </x:c>
      <x:c r="C224" s="7" t="str">
        <x:v>Midwest</x:v>
      </x:c>
      <x:c r="D224" s="7" t="str">
        <x:v>Contract Packaging</x:v>
      </x:c>
      <x:c r="E224" s="7" t="str">
        <x:v>Small</x:v>
      </x:c>
      <x:c r="F224" s="7" t="str">
        <x:v>Google Search</x:v>
      </x:c>
      <x:c r="G224" s="8" t="n">
        <x:v>45672</x:v>
      </x:c>
      <x:c r="H224" s="8" t="n">
        <x:v>45969</x:v>
      </x:c>
      <x:c r="I224" s="9" t="n">
        <x:v>3</x:v>
      </x:c>
      <x:c r="J224" s="10" t="n">
        <x:v>280300</x:v>
      </x:c>
      <x:c r="K224" s="10" t="n">
        <x:f>J224/I224</x:f>
        <x:v>93433.33333333333</x:v>
      </x:c>
      <x:c r="L224" s="9" t="n">
        <x:f>DATE(2026,6,30)-H224</x:f>
        <x:v>234</x:v>
      </x:c>
      <x:c r="M224" s="9" t="n">
        <x:f>IF(L224&lt;=60,5,IF(L224&lt;=120,4,IF(L224&lt;=180,3,IF(L224&lt;=240,2,1))))</x:f>
        <x:v>2</x:v>
      </x:c>
      <x:c r="N224" s="9" t="n">
        <x:f>IF(I224&gt;=6,5,IF(I224&gt;=4,4,IF(I224=3,3,IF(I224=2,2,1))))</x:f>
        <x:v>3</x:v>
      </x:c>
      <x:c r="O224" s="9" t="n">
        <x:f>IF(J224&gt;=500000,5,IF(J224&gt;=300000,4,IF(J224&gt;=175000,3,IF(J224&gt;=75000,2,1))))</x:f>
        <x:v>3</x:v>
      </x:c>
      <x:c r="P224" s="7" t="str">
        <x:f>M224&amp;N224&amp;O224</x:f>
        <x:v>233</x:v>
      </x:c>
      <x:c r="Q224" s="7" t="str">
        <x:f>IF(AND(L224&lt;=60,I224&gt;=5,J224&gt;=300000),"Champions",IF(AND(L224&lt;=120,I224&gt;=3),"Loyal Growth",IF(AND(L224&gt;180,J224&gt;=300000),"High Value At Risk",IF(DATE(2026,6,30)-G224&lt;=90,"New Accounts",IF(AND(L224&lt;=120,I224=1),"Promising",IF(L224&lt;=240,"Needs Nurture","Dormant"))))))</x:f>
        <x:v>Needs Nurture</x:v>
      </x:c>
      <x:c r="R224" s="7" t="str">
        <x:f>IF(DATE(2026,6,30)-G224&lt;=90,"New",IF(AND(L224&lt;=120,I224&gt;=2),"Active",IF(I224=1,"One-time",IF(L224&lt;=240,"At Risk","Lapsed"))))</x:f>
        <x:v>At Risk</x:v>
      </x:c>
      <x:c r="S224" s="15" t="str">
        <x:f>IF(Q224="Champions","Invite to advisory program and cross-sell service plans",IF(Q224="Loyal Growth","Prioritize expansion offer and product education",IF(Q224="High Value At Risk","Assign sales recovery outreach within 14 days",IF(Q224="New Accounts","Launch 90-day onboarding and adoption sequence",IF(Q224="Promising","Nurture second purchase with use-case content",IF(Q224="Needs Nurture","Run product-fit review and re-engagement sequence","Move to low-frequency win-back program"))))))</x:f>
        <x:v>Run product-fit review and re-engagement sequence</x:v>
      </x:c>
      <x:c r="T224" s="1"/>
      <x:c r="U224" s="1"/>
      <x:c r="V224" s="1"/>
      <x:c r="W224" s="1"/>
      <x:c r="X224" s="1"/>
      <x:c r="Y224" s="1"/>
      <x:c r="Z224" s="1"/>
    </x:row>
    <x:row r="225">
      <x:c r="A225" s="7" t="str">
        <x:v>ACC-0224</x:v>
      </x:c>
      <x:c r="B225" s="7" t="str">
        <x:v>Harbor Foods 224</x:v>
      </x:c>
      <x:c r="C225" s="7" t="str">
        <x:v>West</x:v>
      </x:c>
      <x:c r="D225" s="7" t="str">
        <x:v>Contract Packaging</x:v>
      </x:c>
      <x:c r="E225" s="7" t="str">
        <x:v>Small</x:v>
      </x:c>
      <x:c r="F225" s="7" t="str">
        <x:v>Email</x:v>
      </x:c>
      <x:c r="G225" s="8" t="n">
        <x:v>45712</x:v>
      </x:c>
      <x:c r="H225" s="8" t="n">
        <x:v>45932</x:v>
      </x:c>
      <x:c r="I225" s="9" t="n">
        <x:v>3</x:v>
      </x:c>
      <x:c r="J225" s="10" t="n">
        <x:v>186800</x:v>
      </x:c>
      <x:c r="K225" s="10" t="n">
        <x:f>J225/I225</x:f>
        <x:v>62266.666666666664</x:v>
      </x:c>
      <x:c r="L225" s="9" t="n">
        <x:f>DATE(2026,6,30)-H225</x:f>
        <x:v>271</x:v>
      </x:c>
      <x:c r="M225" s="9" t="n">
        <x:f>IF(L225&lt;=60,5,IF(L225&lt;=120,4,IF(L225&lt;=180,3,IF(L225&lt;=240,2,1))))</x:f>
        <x:v>1</x:v>
      </x:c>
      <x:c r="N225" s="9" t="n">
        <x:f>IF(I225&gt;=6,5,IF(I225&gt;=4,4,IF(I225=3,3,IF(I225=2,2,1))))</x:f>
        <x:v>3</x:v>
      </x:c>
      <x:c r="O225" s="9" t="n">
        <x:f>IF(J225&gt;=500000,5,IF(J225&gt;=300000,4,IF(J225&gt;=175000,3,IF(J225&gt;=75000,2,1))))</x:f>
        <x:v>3</x:v>
      </x:c>
      <x:c r="P225" s="7" t="str">
        <x:f>M225&amp;N225&amp;O225</x:f>
        <x:v>133</x:v>
      </x:c>
      <x:c r="Q225" s="7" t="str">
        <x:f>IF(AND(L225&lt;=60,I225&gt;=5,J225&gt;=300000),"Champions",IF(AND(L225&lt;=120,I225&gt;=3),"Loyal Growth",IF(AND(L225&gt;180,J225&gt;=300000),"High Value At Risk",IF(DATE(2026,6,30)-G225&lt;=90,"New Accounts",IF(AND(L225&lt;=120,I225=1),"Promising",IF(L225&lt;=240,"Needs Nurture","Dormant"))))))</x:f>
        <x:v>Dormant</x:v>
      </x:c>
      <x:c r="R225" s="7" t="str">
        <x:f>IF(DATE(2026,6,30)-G225&lt;=90,"New",IF(AND(L225&lt;=120,I225&gt;=2),"Active",IF(I225=1,"One-time",IF(L225&lt;=240,"At Risk","Lapsed"))))</x:f>
        <x:v>Lapsed</x:v>
      </x:c>
      <x:c r="S225" s="15" t="str">
        <x:f>IF(Q225="Champions","Invite to advisory program and cross-sell service plans",IF(Q225="Loyal Growth","Prioritize expansion offer and product education",IF(Q225="High Value At Risk","Assign sales recovery outreach within 14 days",IF(Q225="New Accounts","Launch 90-day onboarding and adoption sequence",IF(Q225="Promising","Nurture second purchase with use-case content",IF(Q225="Needs Nurture","Run product-fit review and re-engagement sequence","Move to low-frequency win-back program"))))))</x:f>
        <x:v>Move to low-frequency win-back program</x:v>
      </x:c>
      <x:c r="T225" s="1"/>
      <x:c r="U225" s="1"/>
      <x:c r="V225" s="1"/>
      <x:c r="W225" s="1"/>
      <x:c r="X225" s="1"/>
      <x:c r="Y225" s="1"/>
      <x:c r="Z225" s="1"/>
    </x:row>
    <x:row r="226">
      <x:c r="A226" s="7" t="str">
        <x:v>ACC-0225</x:v>
      </x:c>
      <x:c r="B226" s="7" t="str">
        <x:v>Harbor Packaging 225</x:v>
      </x:c>
      <x:c r="C226" s="7" t="str">
        <x:v>Northeast</x:v>
      </x:c>
      <x:c r="D226" s="7" t="str">
        <x:v>Contract Packaging</x:v>
      </x:c>
      <x:c r="E226" s="7" t="str">
        <x:v>Small</x:v>
      </x:c>
      <x:c r="F226" s="7" t="str">
        <x:v>Trade Show</x:v>
      </x:c>
      <x:c r="G226" s="8" t="n">
        <x:v>45633</x:v>
      </x:c>
      <x:c r="H226" s="8" t="n">
        <x:v>46172</x:v>
      </x:c>
      <x:c r="I226" s="9" t="n">
        <x:v>3</x:v>
      </x:c>
      <x:c r="J226" s="10" t="n">
        <x:v>222100</x:v>
      </x:c>
      <x:c r="K226" s="10" t="n">
        <x:f>J226/I226</x:f>
        <x:v>74033.33333333333</x:v>
      </x:c>
      <x:c r="L226" s="9" t="n">
        <x:f>DATE(2026,6,30)-H226</x:f>
        <x:v>31</x:v>
      </x:c>
      <x:c r="M226" s="9" t="n">
        <x:f>IF(L226&lt;=60,5,IF(L226&lt;=120,4,IF(L226&lt;=180,3,IF(L226&lt;=240,2,1))))</x:f>
        <x:v>5</x:v>
      </x:c>
      <x:c r="N226" s="9" t="n">
        <x:f>IF(I226&gt;=6,5,IF(I226&gt;=4,4,IF(I226=3,3,IF(I226=2,2,1))))</x:f>
        <x:v>3</x:v>
      </x:c>
      <x:c r="O226" s="9" t="n">
        <x:f>IF(J226&gt;=500000,5,IF(J226&gt;=300000,4,IF(J226&gt;=175000,3,IF(J226&gt;=75000,2,1))))</x:f>
        <x:v>3</x:v>
      </x:c>
      <x:c r="P226" s="7" t="str">
        <x:f>M226&amp;N226&amp;O226</x:f>
        <x:v>533</x:v>
      </x:c>
      <x:c r="Q226" s="7" t="str">
        <x:f>IF(AND(L226&lt;=60,I226&gt;=5,J226&gt;=300000),"Champions",IF(AND(L226&lt;=120,I226&gt;=3),"Loyal Growth",IF(AND(L226&gt;180,J226&gt;=300000),"High Value At Risk",IF(DATE(2026,6,30)-G226&lt;=90,"New Accounts",IF(AND(L226&lt;=120,I226=1),"Promising",IF(L226&lt;=240,"Needs Nurture","Dormant"))))))</x:f>
        <x:v>Loyal Growth</x:v>
      </x:c>
      <x:c r="R226" s="7" t="str">
        <x:f>IF(DATE(2026,6,30)-G226&lt;=90,"New",IF(AND(L226&lt;=120,I226&gt;=2),"Active",IF(I226=1,"One-time",IF(L226&lt;=240,"At Risk","Lapsed"))))</x:f>
        <x:v>Active</x:v>
      </x:c>
      <x:c r="S226" s="15" t="str">
        <x:f>IF(Q226="Champions","Invite to advisory program and cross-sell service plans",IF(Q226="Loyal Growth","Prioritize expansion offer and product education",IF(Q226="High Value At Risk","Assign sales recovery outreach within 14 days",IF(Q226="New Accounts","Launch 90-day onboarding and adoption sequence",IF(Q226="Promising","Nurture second purchase with use-case content",IF(Q226="Needs Nurture","Run product-fit review and re-engagement sequence","Move to low-frequency win-back program"))))))</x:f>
        <x:v>Prioritize expansion offer and product education</x:v>
      </x:c>
      <x:c r="T226" s="1"/>
      <x:c r="U226" s="1"/>
      <x:c r="V226" s="1"/>
      <x:c r="W226" s="1"/>
      <x:c r="X226" s="1"/>
      <x:c r="Y226" s="1"/>
      <x:c r="Z226" s="1"/>
    </x:row>
    <x:row r="227">
      <x:c r="A227" s="7" t="str">
        <x:v>ACC-0226</x:v>
      </x:c>
      <x:c r="B227" s="7" t="str">
        <x:v>Pioneer Solutions 226</x:v>
      </x:c>
      <x:c r="C227" s="7" t="str">
        <x:v>West</x:v>
      </x:c>
      <x:c r="D227" s="7" t="str">
        <x:v>Industrial Products</x:v>
      </x:c>
      <x:c r="E227" s="7" t="str">
        <x:v>Enterprise</x:v>
      </x:c>
      <x:c r="F227" s="7" t="str">
        <x:v>Trade Show</x:v>
      </x:c>
      <x:c r="G227" s="8" t="n">
        <x:v>46142</x:v>
      </x:c>
      <x:c r="H227" s="8" t="n">
        <x:v>46179</x:v>
      </x:c>
      <x:c r="I227" s="9" t="n">
        <x:v>2</x:v>
      </x:c>
      <x:c r="J227" s="10" t="n">
        <x:v>418500</x:v>
      </x:c>
      <x:c r="K227" s="10" t="n">
        <x:f>J227/I227</x:f>
        <x:v>209250</x:v>
      </x:c>
      <x:c r="L227" s="9" t="n">
        <x:f>DATE(2026,6,30)-H227</x:f>
        <x:v>24</x:v>
      </x:c>
      <x:c r="M227" s="9" t="n">
        <x:f>IF(L227&lt;=60,5,IF(L227&lt;=120,4,IF(L227&lt;=180,3,IF(L227&lt;=240,2,1))))</x:f>
        <x:v>5</x:v>
      </x:c>
      <x:c r="N227" s="9" t="n">
        <x:f>IF(I227&gt;=6,5,IF(I227&gt;=4,4,IF(I227=3,3,IF(I227=2,2,1))))</x:f>
        <x:v>2</x:v>
      </x:c>
      <x:c r="O227" s="9" t="n">
        <x:f>IF(J227&gt;=500000,5,IF(J227&gt;=300000,4,IF(J227&gt;=175000,3,IF(J227&gt;=75000,2,1))))</x:f>
        <x:v>4</x:v>
      </x:c>
      <x:c r="P227" s="7" t="str">
        <x:f>M227&amp;N227&amp;O227</x:f>
        <x:v>524</x:v>
      </x:c>
      <x:c r="Q227" s="7" t="str">
        <x:f>IF(AND(L227&lt;=60,I227&gt;=5,J227&gt;=300000),"Champions",IF(AND(L227&lt;=120,I227&gt;=3),"Loyal Growth",IF(AND(L227&gt;180,J227&gt;=300000),"High Value At Risk",IF(DATE(2026,6,30)-G227&lt;=90,"New Accounts",IF(AND(L227&lt;=120,I227=1),"Promising",IF(L227&lt;=240,"Needs Nurture","Dormant"))))))</x:f>
        <x:v>New Accounts</x:v>
      </x:c>
      <x:c r="R227" s="7" t="str">
        <x:f>IF(DATE(2026,6,30)-G227&lt;=90,"New",IF(AND(L227&lt;=120,I227&gt;=2),"Active",IF(I227=1,"One-time",IF(L227&lt;=240,"At Risk","Lapsed"))))</x:f>
        <x:v>New</x:v>
      </x:c>
      <x:c r="S227" s="15" t="str">
        <x:f>IF(Q227="Champions","Invite to advisory program and cross-sell service plans",IF(Q227="Loyal Growth","Prioritize expansion offer and product education",IF(Q227="High Value At Risk","Assign sales recovery outreach within 14 days",IF(Q227="New Accounts","Launch 90-day onboarding and adoption sequence",IF(Q227="Promising","Nurture second purchase with use-case content",IF(Q227="Needs Nurture","Run product-fit review and re-engagement sequence","Move to low-frequency win-back program"))))))</x:f>
        <x:v>Launch 90-day onboarding and adoption sequence</x:v>
      </x:c>
      <x:c r="T227" s="1"/>
      <x:c r="U227" s="1"/>
      <x:c r="V227" s="1"/>
      <x:c r="W227" s="1"/>
      <x:c r="X227" s="1"/>
      <x:c r="Y227" s="1"/>
      <x:c r="Z227" s="1"/>
    </x:row>
    <x:row r="228">
      <x:c r="A228" s="7" t="str">
        <x:v>ACC-0227</x:v>
      </x:c>
      <x:c r="B228" s="7" t="str">
        <x:v>Keystone Industries 227</x:v>
      </x:c>
      <x:c r="C228" s="7" t="str">
        <x:v>Midwest</x:v>
      </x:c>
      <x:c r="D228" s="7" t="str">
        <x:v>Industrial Products</x:v>
      </x:c>
      <x:c r="E228" s="7" t="str">
        <x:v>Enterprise</x:v>
      </x:c>
      <x:c r="F228" s="7" t="str">
        <x:v>Google Search</x:v>
      </x:c>
      <x:c r="G228" s="8" t="n">
        <x:v>45457</x:v>
      </x:c>
      <x:c r="H228" s="8" t="n">
        <x:v>45873</x:v>
      </x:c>
      <x:c r="I228" s="9" t="n">
        <x:v>4</x:v>
      </x:c>
      <x:c r="J228" s="10" t="n">
        <x:v>894800</x:v>
      </x:c>
      <x:c r="K228" s="10" t="n">
        <x:f>J228/I228</x:f>
        <x:v>223700</x:v>
      </x:c>
      <x:c r="L228" s="9" t="n">
        <x:f>DATE(2026,6,30)-H228</x:f>
        <x:v>330</x:v>
      </x:c>
      <x:c r="M228" s="9" t="n">
        <x:f>IF(L228&lt;=60,5,IF(L228&lt;=120,4,IF(L228&lt;=180,3,IF(L228&lt;=240,2,1))))</x:f>
        <x:v>1</x:v>
      </x:c>
      <x:c r="N228" s="9" t="n">
        <x:f>IF(I228&gt;=6,5,IF(I228&gt;=4,4,IF(I228=3,3,IF(I228=2,2,1))))</x:f>
        <x:v>4</x:v>
      </x:c>
      <x:c r="O228" s="9" t="n">
        <x:f>IF(J228&gt;=500000,5,IF(J228&gt;=300000,4,IF(J228&gt;=175000,3,IF(J228&gt;=75000,2,1))))</x:f>
        <x:v>5</x:v>
      </x:c>
      <x:c r="P228" s="7" t="str">
        <x:f>M228&amp;N228&amp;O228</x:f>
        <x:v>145</x:v>
      </x:c>
      <x:c r="Q228" s="7" t="str">
        <x:f>IF(AND(L228&lt;=60,I228&gt;=5,J228&gt;=300000),"Champions",IF(AND(L228&lt;=120,I228&gt;=3),"Loyal Growth",IF(AND(L228&gt;180,J228&gt;=300000),"High Value At Risk",IF(DATE(2026,6,30)-G228&lt;=90,"New Accounts",IF(AND(L228&lt;=120,I228=1),"Promising",IF(L228&lt;=240,"Needs Nurture","Dormant"))))))</x:f>
        <x:v>High Value At Risk</x:v>
      </x:c>
      <x:c r="R228" s="7" t="str">
        <x:f>IF(DATE(2026,6,30)-G228&lt;=90,"New",IF(AND(L228&lt;=120,I228&gt;=2),"Active",IF(I228=1,"One-time",IF(L228&lt;=240,"At Risk","Lapsed"))))</x:f>
        <x:v>Lapsed</x:v>
      </x:c>
      <x:c r="S228" s="15" t="str">
        <x:f>IF(Q228="Champions","Invite to advisory program and cross-sell service plans",IF(Q228="Loyal Growth","Prioritize expansion offer and product education",IF(Q228="High Value At Risk","Assign sales recovery outreach within 14 days",IF(Q228="New Accounts","Launch 90-day onboarding and adoption sequence",IF(Q228="Promising","Nurture second purchase with use-case content",IF(Q228="Needs Nurture","Run product-fit review and re-engagement sequence","Move to low-frequency win-back program"))))))</x:f>
        <x:v>Assign sales recovery outreach within 14 days</x:v>
      </x:c>
      <x:c r="T228" s="1"/>
      <x:c r="U228" s="1"/>
      <x:c r="V228" s="1"/>
      <x:c r="W228" s="1"/>
      <x:c r="X228" s="1"/>
      <x:c r="Y228" s="1"/>
      <x:c r="Z228" s="1"/>
    </x:row>
    <x:row r="229">
      <x:c r="A229" s="7" t="str">
        <x:v>ACC-0228</x:v>
      </x:c>
      <x:c r="B229" s="7" t="str">
        <x:v>Granite Brands 228</x:v>
      </x:c>
      <x:c r="C229" s="7" t="str">
        <x:v>South</x:v>
      </x:c>
      <x:c r="D229" s="7" t="str">
        <x:v>Consumer Goods</x:v>
      </x:c>
      <x:c r="E229" s="7" t="str">
        <x:v>Mid-market</x:v>
      </x:c>
      <x:c r="F229" s="7" t="str">
        <x:v>LinkedIn</x:v>
      </x:c>
      <x:c r="G229" s="8" t="n">
        <x:v>45428</x:v>
      </x:c>
      <x:c r="H229" s="8" t="n">
        <x:v>46182</x:v>
      </x:c>
      <x:c r="I229" s="9" t="n">
        <x:v>3</x:v>
      </x:c>
      <x:c r="J229" s="10" t="n">
        <x:v>221300</x:v>
      </x:c>
      <x:c r="K229" s="10" t="n">
        <x:f>J229/I229</x:f>
        <x:v>73766.66666666667</x:v>
      </x:c>
      <x:c r="L229" s="9" t="n">
        <x:f>DATE(2026,6,30)-H229</x:f>
        <x:v>21</x:v>
      </x:c>
      <x:c r="M229" s="9" t="n">
        <x:f>IF(L229&lt;=60,5,IF(L229&lt;=120,4,IF(L229&lt;=180,3,IF(L229&lt;=240,2,1))))</x:f>
        <x:v>5</x:v>
      </x:c>
      <x:c r="N229" s="9" t="n">
        <x:f>IF(I229&gt;=6,5,IF(I229&gt;=4,4,IF(I229=3,3,IF(I229=2,2,1))))</x:f>
        <x:v>3</x:v>
      </x:c>
      <x:c r="O229" s="9" t="n">
        <x:f>IF(J229&gt;=500000,5,IF(J229&gt;=300000,4,IF(J229&gt;=175000,3,IF(J229&gt;=75000,2,1))))</x:f>
        <x:v>3</x:v>
      </x:c>
      <x:c r="P229" s="7" t="str">
        <x:f>M229&amp;N229&amp;O229</x:f>
        <x:v>533</x:v>
      </x:c>
      <x:c r="Q229" s="7" t="str">
        <x:f>IF(AND(L229&lt;=60,I229&gt;=5,J229&gt;=300000),"Champions",IF(AND(L229&lt;=120,I229&gt;=3),"Loyal Growth",IF(AND(L229&gt;180,J229&gt;=300000),"High Value At Risk",IF(DATE(2026,6,30)-G229&lt;=90,"New Accounts",IF(AND(L229&lt;=120,I229=1),"Promising",IF(L229&lt;=240,"Needs Nurture","Dormant"))))))</x:f>
        <x:v>Loyal Growth</x:v>
      </x:c>
      <x:c r="R229" s="7" t="str">
        <x:f>IF(DATE(2026,6,30)-G229&lt;=90,"New",IF(AND(L229&lt;=120,I229&gt;=2),"Active",IF(I229=1,"One-time",IF(L229&lt;=240,"At Risk","Lapsed"))))</x:f>
        <x:v>Active</x:v>
      </x:c>
      <x:c r="S229" s="15" t="str">
        <x:f>IF(Q229="Champions","Invite to advisory program and cross-sell service plans",IF(Q229="Loyal Growth","Prioritize expansion offer and product education",IF(Q229="High Value At Risk","Assign sales recovery outreach within 14 days",IF(Q229="New Accounts","Launch 90-day onboarding and adoption sequence",IF(Q229="Promising","Nurture second purchase with use-case content",IF(Q229="Needs Nurture","Run product-fit review and re-engagement sequence","Move to low-frequency win-back program"))))))</x:f>
        <x:v>Prioritize expansion offer and product education</x:v>
      </x:c>
      <x:c r="T229" s="1"/>
      <x:c r="U229" s="1"/>
      <x:c r="V229" s="1"/>
      <x:c r="W229" s="1"/>
      <x:c r="X229" s="1"/>
      <x:c r="Y229" s="1"/>
      <x:c r="Z229" s="1"/>
    </x:row>
    <x:row r="230">
      <x:c r="A230" s="7" t="str">
        <x:v>ACC-0229</x:v>
      </x:c>
      <x:c r="B230" s="7" t="str">
        <x:v>BlueRiver Brands 229</x:v>
      </x:c>
      <x:c r="C230" s="7" t="str">
        <x:v>West</x:v>
      </x:c>
      <x:c r="D230" s="7" t="str">
        <x:v>Food &amp; Beverage</x:v>
      </x:c>
      <x:c r="E230" s="7" t="str">
        <x:v>Enterprise</x:v>
      </x:c>
      <x:c r="F230" s="7" t="str">
        <x:v>Trade Show</x:v>
      </x:c>
      <x:c r="G230" s="8" t="n">
        <x:v>45543</x:v>
      </x:c>
      <x:c r="H230" s="8" t="n">
        <x:v>45838</x:v>
      </x:c>
      <x:c r="I230" s="9" t="n">
        <x:v>4</x:v>
      </x:c>
      <x:c r="J230" s="10" t="n">
        <x:v>368800</x:v>
      </x:c>
      <x:c r="K230" s="10" t="n">
        <x:f>J230/I230</x:f>
        <x:v>92200</x:v>
      </x:c>
      <x:c r="L230" s="9" t="n">
        <x:f>DATE(2026,6,30)-H230</x:f>
        <x:v>365</x:v>
      </x:c>
      <x:c r="M230" s="9" t="n">
        <x:f>IF(L230&lt;=60,5,IF(L230&lt;=120,4,IF(L230&lt;=180,3,IF(L230&lt;=240,2,1))))</x:f>
        <x:v>1</x:v>
      </x:c>
      <x:c r="N230" s="9" t="n">
        <x:f>IF(I230&gt;=6,5,IF(I230&gt;=4,4,IF(I230=3,3,IF(I230=2,2,1))))</x:f>
        <x:v>4</x:v>
      </x:c>
      <x:c r="O230" s="9" t="n">
        <x:f>IF(J230&gt;=500000,5,IF(J230&gt;=300000,4,IF(J230&gt;=175000,3,IF(J230&gt;=75000,2,1))))</x:f>
        <x:v>4</x:v>
      </x:c>
      <x:c r="P230" s="7" t="str">
        <x:f>M230&amp;N230&amp;O230</x:f>
        <x:v>144</x:v>
      </x:c>
      <x:c r="Q230" s="7" t="str">
        <x:f>IF(AND(L230&lt;=60,I230&gt;=5,J230&gt;=300000),"Champions",IF(AND(L230&lt;=120,I230&gt;=3),"Loyal Growth",IF(AND(L230&gt;180,J230&gt;=300000),"High Value At Risk",IF(DATE(2026,6,30)-G230&lt;=90,"New Accounts",IF(AND(L230&lt;=120,I230=1),"Promising",IF(L230&lt;=240,"Needs Nurture","Dormant"))))))</x:f>
        <x:v>High Value At Risk</x:v>
      </x:c>
      <x:c r="R230" s="7" t="str">
        <x:f>IF(DATE(2026,6,30)-G230&lt;=90,"New",IF(AND(L230&lt;=120,I230&gt;=2),"Active",IF(I230=1,"One-time",IF(L230&lt;=240,"At Risk","Lapsed"))))</x:f>
        <x:v>Lapsed</x:v>
      </x:c>
      <x:c r="S230" s="15" t="str">
        <x:f>IF(Q230="Champions","Invite to advisory program and cross-sell service plans",IF(Q230="Loyal Growth","Prioritize expansion offer and product education",IF(Q230="High Value At Risk","Assign sales recovery outreach within 14 days",IF(Q230="New Accounts","Launch 90-day onboarding and adoption sequence",IF(Q230="Promising","Nurture second purchase with use-case content",IF(Q230="Needs Nurture","Run product-fit review and re-engagement sequence","Move to low-frequency win-back program"))))))</x:f>
        <x:v>Assign sales recovery outreach within 14 days</x:v>
      </x:c>
      <x:c r="T230" s="1"/>
      <x:c r="U230" s="1"/>
      <x:c r="V230" s="1"/>
      <x:c r="W230" s="1"/>
      <x:c r="X230" s="1"/>
      <x:c r="Y230" s="1"/>
      <x:c r="Z230" s="1"/>
    </x:row>
    <x:row r="231">
      <x:c r="A231" s="7" t="str">
        <x:v>ACC-0230</x:v>
      </x:c>
      <x:c r="B231" s="7" t="str">
        <x:v>Crest Brands 230</x:v>
      </x:c>
      <x:c r="C231" s="7" t="str">
        <x:v>Midwest</x:v>
      </x:c>
      <x:c r="D231" s="7" t="str">
        <x:v>Consumer Goods</x:v>
      </x:c>
      <x:c r="E231" s="7" t="str">
        <x:v>Mid-market</x:v>
      </x:c>
      <x:c r="F231" s="7" t="str">
        <x:v>Partner Referral</x:v>
      </x:c>
      <x:c r="G231" s="8" t="n">
        <x:v>45578</x:v>
      </x:c>
      <x:c r="H231" s="8" t="n">
        <x:v>46068</x:v>
      </x:c>
      <x:c r="I231" s="9" t="n">
        <x:v>5</x:v>
      </x:c>
      <x:c r="J231" s="10" t="n">
        <x:v>425100</x:v>
      </x:c>
      <x:c r="K231" s="10" t="n">
        <x:f>J231/I231</x:f>
        <x:v>85020</x:v>
      </x:c>
      <x:c r="L231" s="9" t="n">
        <x:f>DATE(2026,6,30)-H231</x:f>
        <x:v>135</x:v>
      </x:c>
      <x:c r="M231" s="9" t="n">
        <x:f>IF(L231&lt;=60,5,IF(L231&lt;=120,4,IF(L231&lt;=180,3,IF(L231&lt;=240,2,1))))</x:f>
        <x:v>3</x:v>
      </x:c>
      <x:c r="N231" s="9" t="n">
        <x:f>IF(I231&gt;=6,5,IF(I231&gt;=4,4,IF(I231=3,3,IF(I231=2,2,1))))</x:f>
        <x:v>4</x:v>
      </x:c>
      <x:c r="O231" s="9" t="n">
        <x:f>IF(J231&gt;=500000,5,IF(J231&gt;=300000,4,IF(J231&gt;=175000,3,IF(J231&gt;=75000,2,1))))</x:f>
        <x:v>4</x:v>
      </x:c>
      <x:c r="P231" s="7" t="str">
        <x:f>M231&amp;N231&amp;O231</x:f>
        <x:v>344</x:v>
      </x:c>
      <x:c r="Q231" s="7" t="str">
        <x:f>IF(AND(L231&lt;=60,I231&gt;=5,J231&gt;=300000),"Champions",IF(AND(L231&lt;=120,I231&gt;=3),"Loyal Growth",IF(AND(L231&gt;180,J231&gt;=300000),"High Value At Risk",IF(DATE(2026,6,30)-G231&lt;=90,"New Accounts",IF(AND(L231&lt;=120,I231=1),"Promising",IF(L231&lt;=240,"Needs Nurture","Dormant"))))))</x:f>
        <x:v>Needs Nurture</x:v>
      </x:c>
      <x:c r="R231" s="7" t="str">
        <x:f>IF(DATE(2026,6,30)-G231&lt;=90,"New",IF(AND(L231&lt;=120,I231&gt;=2),"Active",IF(I231=1,"One-time",IF(L231&lt;=240,"At Risk","Lapsed"))))</x:f>
        <x:v>At Risk</x:v>
      </x:c>
      <x:c r="S231" s="15" t="str">
        <x:f>IF(Q231="Champions","Invite to advisory program and cross-sell service plans",IF(Q231="Loyal Growth","Prioritize expansion offer and product education",IF(Q231="High Value At Risk","Assign sales recovery outreach within 14 days",IF(Q231="New Accounts","Launch 90-day onboarding and adoption sequence",IF(Q231="Promising","Nurture second purchase with use-case content",IF(Q231="Needs Nurture","Run product-fit review and re-engagement sequence","Move to low-frequency win-back program"))))))</x:f>
        <x:v>Run product-fit review and re-engagement sequence</x:v>
      </x:c>
      <x:c r="T231" s="1"/>
      <x:c r="U231" s="1"/>
      <x:c r="V231" s="1"/>
      <x:c r="W231" s="1"/>
      <x:c r="X231" s="1"/>
      <x:c r="Y231" s="1"/>
      <x:c r="Z231" s="1"/>
    </x:row>
    <x:row r="232">
      <x:c r="A232" s="7" t="str">
        <x:v>ACC-0231</x:v>
      </x:c>
      <x:c r="B232" s="7" t="str">
        <x:v>Beacon Foods 231</x:v>
      </x:c>
      <x:c r="C232" s="7" t="str">
        <x:v>Midwest</x:v>
      </x:c>
      <x:c r="D232" s="7" t="str">
        <x:v>Consumer Goods</x:v>
      </x:c>
      <x:c r="E232" s="7" t="str">
        <x:v>Mid-market</x:v>
      </x:c>
      <x:c r="F232" s="7" t="str">
        <x:v>Google Search</x:v>
      </x:c>
      <x:c r="G232" s="8" t="n">
        <x:v>45371</x:v>
      </x:c>
      <x:c r="H232" s="8" t="n">
        <x:v>46106</x:v>
      </x:c>
      <x:c r="I232" s="9" t="n">
        <x:v>5</x:v>
      </x:c>
      <x:c r="J232" s="10" t="n">
        <x:v>426100</x:v>
      </x:c>
      <x:c r="K232" s="10" t="n">
        <x:f>J232/I232</x:f>
        <x:v>85220</x:v>
      </x:c>
      <x:c r="L232" s="9" t="n">
        <x:f>DATE(2026,6,30)-H232</x:f>
        <x:v>97</x:v>
      </x:c>
      <x:c r="M232" s="9" t="n">
        <x:f>IF(L232&lt;=60,5,IF(L232&lt;=120,4,IF(L232&lt;=180,3,IF(L232&lt;=240,2,1))))</x:f>
        <x:v>4</x:v>
      </x:c>
      <x:c r="N232" s="9" t="n">
        <x:f>IF(I232&gt;=6,5,IF(I232&gt;=4,4,IF(I232=3,3,IF(I232=2,2,1))))</x:f>
        <x:v>4</x:v>
      </x:c>
      <x:c r="O232" s="9" t="n">
        <x:f>IF(J232&gt;=500000,5,IF(J232&gt;=300000,4,IF(J232&gt;=175000,3,IF(J232&gt;=75000,2,1))))</x:f>
        <x:v>4</x:v>
      </x:c>
      <x:c r="P232" s="7" t="str">
        <x:f>M232&amp;N232&amp;O232</x:f>
        <x:v>444</x:v>
      </x:c>
      <x:c r="Q232" s="7" t="str">
        <x:f>IF(AND(L232&lt;=60,I232&gt;=5,J232&gt;=300000),"Champions",IF(AND(L232&lt;=120,I232&gt;=3),"Loyal Growth",IF(AND(L232&gt;180,J232&gt;=300000),"High Value At Risk",IF(DATE(2026,6,30)-G232&lt;=90,"New Accounts",IF(AND(L232&lt;=120,I232=1),"Promising",IF(L232&lt;=240,"Needs Nurture","Dormant"))))))</x:f>
        <x:v>Loyal Growth</x:v>
      </x:c>
      <x:c r="R232" s="7" t="str">
        <x:f>IF(DATE(2026,6,30)-G232&lt;=90,"New",IF(AND(L232&lt;=120,I232&gt;=2),"Active",IF(I232=1,"One-time",IF(L232&lt;=240,"At Risk","Lapsed"))))</x:f>
        <x:v>Active</x:v>
      </x:c>
      <x:c r="S232" s="15" t="str">
        <x:f>IF(Q232="Champions","Invite to advisory program and cross-sell service plans",IF(Q232="Loyal Growth","Prioritize expansion offer and product education",IF(Q232="High Value At Risk","Assign sales recovery outreach within 14 days",IF(Q232="New Accounts","Launch 90-day onboarding and adoption sequence",IF(Q232="Promising","Nurture second purchase with use-case content",IF(Q232="Needs Nurture","Run product-fit review and re-engagement sequence","Move to low-frequency win-back program"))))))</x:f>
        <x:v>Prioritize expansion offer and product education</x:v>
      </x:c>
      <x:c r="T232" s="1"/>
      <x:c r="U232" s="1"/>
      <x:c r="V232" s="1"/>
      <x:c r="W232" s="1"/>
      <x:c r="X232" s="1"/>
      <x:c r="Y232" s="1"/>
      <x:c r="Z232" s="1"/>
    </x:row>
    <x:row r="233">
      <x:c r="A233" s="7" t="str">
        <x:v>ACC-0232</x:v>
      </x:c>
      <x:c r="B233" s="7" t="str">
        <x:v>Summit Products 232</x:v>
      </x:c>
      <x:c r="C233" s="7" t="str">
        <x:v>Northeast</x:v>
      </x:c>
      <x:c r="D233" s="7" t="str">
        <x:v>Pharmaceuticals</x:v>
      </x:c>
      <x:c r="E233" s="7" t="str">
        <x:v>Small</x:v>
      </x:c>
      <x:c r="F233" s="7" t="str">
        <x:v>LinkedIn</x:v>
      </x:c>
      <x:c r="G233" s="8" t="n">
        <x:v>45565</x:v>
      </x:c>
      <x:c r="H233" s="8" t="n">
        <x:v>46050</x:v>
      </x:c>
      <x:c r="I233" s="9" t="n">
        <x:v>4</x:v>
      </x:c>
      <x:c r="J233" s="10" t="n">
        <x:v>277400</x:v>
      </x:c>
      <x:c r="K233" s="10" t="n">
        <x:f>J233/I233</x:f>
        <x:v>69350</x:v>
      </x:c>
      <x:c r="L233" s="9" t="n">
        <x:f>DATE(2026,6,30)-H233</x:f>
        <x:v>153</x:v>
      </x:c>
      <x:c r="M233" s="9" t="n">
        <x:f>IF(L233&lt;=60,5,IF(L233&lt;=120,4,IF(L233&lt;=180,3,IF(L233&lt;=240,2,1))))</x:f>
        <x:v>3</x:v>
      </x:c>
      <x:c r="N233" s="9" t="n">
        <x:f>IF(I233&gt;=6,5,IF(I233&gt;=4,4,IF(I233=3,3,IF(I233=2,2,1))))</x:f>
        <x:v>4</x:v>
      </x:c>
      <x:c r="O233" s="9" t="n">
        <x:f>IF(J233&gt;=500000,5,IF(J233&gt;=300000,4,IF(J233&gt;=175000,3,IF(J233&gt;=75000,2,1))))</x:f>
        <x:v>3</x:v>
      </x:c>
      <x:c r="P233" s="7" t="str">
        <x:f>M233&amp;N233&amp;O233</x:f>
        <x:v>343</x:v>
      </x:c>
      <x:c r="Q233" s="7" t="str">
        <x:f>IF(AND(L233&lt;=60,I233&gt;=5,J233&gt;=300000),"Champions",IF(AND(L233&lt;=120,I233&gt;=3),"Loyal Growth",IF(AND(L233&gt;180,J233&gt;=300000),"High Value At Risk",IF(DATE(2026,6,30)-G233&lt;=90,"New Accounts",IF(AND(L233&lt;=120,I233=1),"Promising",IF(L233&lt;=240,"Needs Nurture","Dormant"))))))</x:f>
        <x:v>Needs Nurture</x:v>
      </x:c>
      <x:c r="R233" s="7" t="str">
        <x:f>IF(DATE(2026,6,30)-G233&lt;=90,"New",IF(AND(L233&lt;=120,I233&gt;=2),"Active",IF(I233=1,"One-time",IF(L233&lt;=240,"At Risk","Lapsed"))))</x:f>
        <x:v>At Risk</x:v>
      </x:c>
      <x:c r="S233" s="15" t="str">
        <x:f>IF(Q233="Champions","Invite to advisory program and cross-sell service plans",IF(Q233="Loyal Growth","Prioritize expansion offer and product education",IF(Q233="High Value At Risk","Assign sales recovery outreach within 14 days",IF(Q233="New Accounts","Launch 90-day onboarding and adoption sequence",IF(Q233="Promising","Nurture second purchase with use-case content",IF(Q233="Needs Nurture","Run product-fit review and re-engagement sequence","Move to low-frequency win-back program"))))))</x:f>
        <x:v>Run product-fit review and re-engagement sequence</x:v>
      </x:c>
      <x:c r="T233" s="1"/>
      <x:c r="U233" s="1"/>
      <x:c r="V233" s="1"/>
      <x:c r="W233" s="1"/>
      <x:c r="X233" s="1"/>
      <x:c r="Y233" s="1"/>
      <x:c r="Z233" s="1"/>
    </x:row>
    <x:row r="234">
      <x:c r="A234" s="7" t="str">
        <x:v>ACC-0233</x:v>
      </x:c>
      <x:c r="B234" s="7" t="str">
        <x:v>Granite Industries 233</x:v>
      </x:c>
      <x:c r="C234" s="7" t="str">
        <x:v>South</x:v>
      </x:c>
      <x:c r="D234" s="7" t="str">
        <x:v>Contract Packaging</x:v>
      </x:c>
      <x:c r="E234" s="7" t="str">
        <x:v>Enterprise</x:v>
      </x:c>
      <x:c r="F234" s="7" t="str">
        <x:v>Trade Show</x:v>
      </x:c>
      <x:c r="G234" s="8" t="n">
        <x:v>45529</x:v>
      </x:c>
      <x:c r="H234" s="8" t="n">
        <x:v>46078</x:v>
      </x:c>
      <x:c r="I234" s="9" t="n">
        <x:v>7</x:v>
      </x:c>
      <x:c r="J234" s="10" t="n">
        <x:v>1026600</x:v>
      </x:c>
      <x:c r="K234" s="10" t="n">
        <x:f>J234/I234</x:f>
        <x:v>146657.14285714287</x:v>
      </x:c>
      <x:c r="L234" s="9" t="n">
        <x:f>DATE(2026,6,30)-H234</x:f>
        <x:v>125</x:v>
      </x:c>
      <x:c r="M234" s="9" t="n">
        <x:f>IF(L234&lt;=60,5,IF(L234&lt;=120,4,IF(L234&lt;=180,3,IF(L234&lt;=240,2,1))))</x:f>
        <x:v>3</x:v>
      </x:c>
      <x:c r="N234" s="9" t="n">
        <x:f>IF(I234&gt;=6,5,IF(I234&gt;=4,4,IF(I234=3,3,IF(I234=2,2,1))))</x:f>
        <x:v>5</x:v>
      </x:c>
      <x:c r="O234" s="9" t="n">
        <x:f>IF(J234&gt;=500000,5,IF(J234&gt;=300000,4,IF(J234&gt;=175000,3,IF(J234&gt;=75000,2,1))))</x:f>
        <x:v>5</x:v>
      </x:c>
      <x:c r="P234" s="7" t="str">
        <x:f>M234&amp;N234&amp;O234</x:f>
        <x:v>355</x:v>
      </x:c>
      <x:c r="Q234" s="7" t="str">
        <x:f>IF(AND(L234&lt;=60,I234&gt;=5,J234&gt;=300000),"Champions",IF(AND(L234&lt;=120,I234&gt;=3),"Loyal Growth",IF(AND(L234&gt;180,J234&gt;=300000),"High Value At Risk",IF(DATE(2026,6,30)-G234&lt;=90,"New Accounts",IF(AND(L234&lt;=120,I234=1),"Promising",IF(L234&lt;=240,"Needs Nurture","Dormant"))))))</x:f>
        <x:v>Needs Nurture</x:v>
      </x:c>
      <x:c r="R234" s="7" t="str">
        <x:f>IF(DATE(2026,6,30)-G234&lt;=90,"New",IF(AND(L234&lt;=120,I234&gt;=2),"Active",IF(I234=1,"One-time",IF(L234&lt;=240,"At Risk","Lapsed"))))</x:f>
        <x:v>At Risk</x:v>
      </x:c>
      <x:c r="S234" s="15" t="str">
        <x:f>IF(Q234="Champions","Invite to advisory program and cross-sell service plans",IF(Q234="Loyal Growth","Prioritize expansion offer and product education",IF(Q234="High Value At Risk","Assign sales recovery outreach within 14 days",IF(Q234="New Accounts","Launch 90-day onboarding and adoption sequence",IF(Q234="Promising","Nurture second purchase with use-case content",IF(Q234="Needs Nurture","Run product-fit review and re-engagement sequence","Move to low-frequency win-back program"))))))</x:f>
        <x:v>Run product-fit review and re-engagement sequence</x:v>
      </x:c>
      <x:c r="T234" s="1"/>
      <x:c r="U234" s="1"/>
      <x:c r="V234" s="1"/>
      <x:c r="W234" s="1"/>
      <x:c r="X234" s="1"/>
      <x:c r="Y234" s="1"/>
      <x:c r="Z234" s="1"/>
    </x:row>
    <x:row r="235">
      <x:c r="A235" s="7" t="str">
        <x:v>ACC-0234</x:v>
      </x:c>
      <x:c r="B235" s="7" t="str">
        <x:v>Meridian Packaging 234</x:v>
      </x:c>
      <x:c r="C235" s="7" t="str">
        <x:v>West</x:v>
      </x:c>
      <x:c r="D235" s="7" t="str">
        <x:v>Food &amp; Beverage</x:v>
      </x:c>
      <x:c r="E235" s="7" t="str">
        <x:v>Enterprise</x:v>
      </x:c>
      <x:c r="F235" s="7" t="str">
        <x:v>LinkedIn</x:v>
      </x:c>
      <x:c r="G235" s="8" t="n">
        <x:v>45979</x:v>
      </x:c>
      <x:c r="H235" s="8" t="n">
        <x:v>46099</x:v>
      </x:c>
      <x:c r="I235" s="9" t="n">
        <x:v>4</x:v>
      </x:c>
      <x:c r="J235" s="10" t="n">
        <x:v>364400</x:v>
      </x:c>
      <x:c r="K235" s="10" t="n">
        <x:f>J235/I235</x:f>
        <x:v>91100</x:v>
      </x:c>
      <x:c r="L235" s="9" t="n">
        <x:f>DATE(2026,6,30)-H235</x:f>
        <x:v>104</x:v>
      </x:c>
      <x:c r="M235" s="9" t="n">
        <x:f>IF(L235&lt;=60,5,IF(L235&lt;=120,4,IF(L235&lt;=180,3,IF(L235&lt;=240,2,1))))</x:f>
        <x:v>4</x:v>
      </x:c>
      <x:c r="N235" s="9" t="n">
        <x:f>IF(I235&gt;=6,5,IF(I235&gt;=4,4,IF(I235=3,3,IF(I235=2,2,1))))</x:f>
        <x:v>4</x:v>
      </x:c>
      <x:c r="O235" s="9" t="n">
        <x:f>IF(J235&gt;=500000,5,IF(J235&gt;=300000,4,IF(J235&gt;=175000,3,IF(J235&gt;=75000,2,1))))</x:f>
        <x:v>4</x:v>
      </x:c>
      <x:c r="P235" s="7" t="str">
        <x:f>M235&amp;N235&amp;O235</x:f>
        <x:v>444</x:v>
      </x:c>
      <x:c r="Q235" s="7" t="str">
        <x:f>IF(AND(L235&lt;=60,I235&gt;=5,J235&gt;=300000),"Champions",IF(AND(L235&lt;=120,I235&gt;=3),"Loyal Growth",IF(AND(L235&gt;180,J235&gt;=300000),"High Value At Risk",IF(DATE(2026,6,30)-G235&lt;=90,"New Accounts",IF(AND(L235&lt;=120,I235=1),"Promising",IF(L235&lt;=240,"Needs Nurture","Dormant"))))))</x:f>
        <x:v>Loyal Growth</x:v>
      </x:c>
      <x:c r="R235" s="7" t="str">
        <x:f>IF(DATE(2026,6,30)-G235&lt;=90,"New",IF(AND(L235&lt;=120,I235&gt;=2),"Active",IF(I235=1,"One-time",IF(L235&lt;=240,"At Risk","Lapsed"))))</x:f>
        <x:v>Active</x:v>
      </x:c>
      <x:c r="S235" s="15" t="str">
        <x:f>IF(Q235="Champions","Invite to advisory program and cross-sell service plans",IF(Q235="Loyal Growth","Prioritize expansion offer and product education",IF(Q235="High Value At Risk","Assign sales recovery outreach within 14 days",IF(Q235="New Accounts","Launch 90-day onboarding and adoption sequence",IF(Q235="Promising","Nurture second purchase with use-case content",IF(Q235="Needs Nurture","Run product-fit review and re-engagement sequence","Move to low-frequency win-back program"))))))</x:f>
        <x:v>Prioritize expansion offer and product education</x:v>
      </x:c>
      <x:c r="T235" s="1"/>
      <x:c r="U235" s="1"/>
      <x:c r="V235" s="1"/>
      <x:c r="W235" s="1"/>
      <x:c r="X235" s="1"/>
      <x:c r="Y235" s="1"/>
      <x:c r="Z235" s="1"/>
    </x:row>
    <x:row r="236">
      <x:c r="A236" s="7" t="str">
        <x:v>ACC-0235</x:v>
      </x:c>
      <x:c r="B236" s="7" t="str">
        <x:v>Beacon Products 235</x:v>
      </x:c>
      <x:c r="C236" s="7" t="str">
        <x:v>Midwest</x:v>
      </x:c>
      <x:c r="D236" s="7" t="str">
        <x:v>Food &amp; Beverage</x:v>
      </x:c>
      <x:c r="E236" s="7" t="str">
        <x:v>Small</x:v>
      </x:c>
      <x:c r="F236" s="7" t="str">
        <x:v>LinkedIn</x:v>
      </x:c>
      <x:c r="G236" s="8" t="n">
        <x:v>45905</x:v>
      </x:c>
      <x:c r="H236" s="8" t="n">
        <x:v>46115</x:v>
      </x:c>
      <x:c r="I236" s="9" t="n">
        <x:v>4</x:v>
      </x:c>
      <x:c r="J236" s="10" t="n">
        <x:v>178800</x:v>
      </x:c>
      <x:c r="K236" s="10" t="n">
        <x:f>J236/I236</x:f>
        <x:v>44700</x:v>
      </x:c>
      <x:c r="L236" s="9" t="n">
        <x:f>DATE(2026,6,30)-H236</x:f>
        <x:v>88</x:v>
      </x:c>
      <x:c r="M236" s="9" t="n">
        <x:f>IF(L236&lt;=60,5,IF(L236&lt;=120,4,IF(L236&lt;=180,3,IF(L236&lt;=240,2,1))))</x:f>
        <x:v>4</x:v>
      </x:c>
      <x:c r="N236" s="9" t="n">
        <x:f>IF(I236&gt;=6,5,IF(I236&gt;=4,4,IF(I236=3,3,IF(I236=2,2,1))))</x:f>
        <x:v>4</x:v>
      </x:c>
      <x:c r="O236" s="9" t="n">
        <x:f>IF(J236&gt;=500000,5,IF(J236&gt;=300000,4,IF(J236&gt;=175000,3,IF(J236&gt;=75000,2,1))))</x:f>
        <x:v>3</x:v>
      </x:c>
      <x:c r="P236" s="7" t="str">
        <x:f>M236&amp;N236&amp;O236</x:f>
        <x:v>443</x:v>
      </x:c>
      <x:c r="Q236" s="7" t="str">
        <x:f>IF(AND(L236&lt;=60,I236&gt;=5,J236&gt;=300000),"Champions",IF(AND(L236&lt;=120,I236&gt;=3),"Loyal Growth",IF(AND(L236&gt;180,J236&gt;=300000),"High Value At Risk",IF(DATE(2026,6,30)-G236&lt;=90,"New Accounts",IF(AND(L236&lt;=120,I236=1),"Promising",IF(L236&lt;=240,"Needs Nurture","Dormant"))))))</x:f>
        <x:v>Loyal Growth</x:v>
      </x:c>
      <x:c r="R236" s="7" t="str">
        <x:f>IF(DATE(2026,6,30)-G236&lt;=90,"New",IF(AND(L236&lt;=120,I236&gt;=2),"Active",IF(I236=1,"One-time",IF(L236&lt;=240,"At Risk","Lapsed"))))</x:f>
        <x:v>Active</x:v>
      </x:c>
      <x:c r="S236" s="15" t="str">
        <x:f>IF(Q236="Champions","Invite to advisory program and cross-sell service plans",IF(Q236="Loyal Growth","Prioritize expansion offer and product education",IF(Q236="High Value At Risk","Assign sales recovery outreach within 14 days",IF(Q236="New Accounts","Launch 90-day onboarding and adoption sequence",IF(Q236="Promising","Nurture second purchase with use-case content",IF(Q236="Needs Nurture","Run product-fit review and re-engagement sequence","Move to low-frequency win-back program"))))))</x:f>
        <x:v>Prioritize expansion offer and product education</x:v>
      </x:c>
      <x:c r="T236" s="1"/>
      <x:c r="U236" s="1"/>
      <x:c r="V236" s="1"/>
      <x:c r="W236" s="1"/>
      <x:c r="X236" s="1"/>
      <x:c r="Y236" s="1"/>
      <x:c r="Z236" s="1"/>
    </x:row>
    <x:row r="237">
      <x:c r="A237" s="7" t="str">
        <x:v>ACC-0236</x:v>
      </x:c>
      <x:c r="B237" s="7" t="str">
        <x:v>Harbor Solutions 236</x:v>
      </x:c>
      <x:c r="C237" s="7" t="str">
        <x:v>Northeast</x:v>
      </x:c>
      <x:c r="D237" s="7" t="str">
        <x:v>Consumer Goods</x:v>
      </x:c>
      <x:c r="E237" s="7" t="str">
        <x:v>Mid-market</x:v>
      </x:c>
      <x:c r="F237" s="7" t="str">
        <x:v>LinkedIn</x:v>
      </x:c>
      <x:c r="G237" s="8" t="n">
        <x:v>46170</x:v>
      </x:c>
      <x:c r="H237" s="8" t="n">
        <x:v>46178</x:v>
      </x:c>
      <x:c r="I237" s="9" t="n">
        <x:v>2</x:v>
      </x:c>
      <x:c r="J237" s="10" t="n">
        <x:v>330500</x:v>
      </x:c>
      <x:c r="K237" s="10" t="n">
        <x:f>J237/I237</x:f>
        <x:v>165250</x:v>
      </x:c>
      <x:c r="L237" s="9" t="n">
        <x:f>DATE(2026,6,30)-H237</x:f>
        <x:v>25</x:v>
      </x:c>
      <x:c r="M237" s="9" t="n">
        <x:f>IF(L237&lt;=60,5,IF(L237&lt;=120,4,IF(L237&lt;=180,3,IF(L237&lt;=240,2,1))))</x:f>
        <x:v>5</x:v>
      </x:c>
      <x:c r="N237" s="9" t="n">
        <x:f>IF(I237&gt;=6,5,IF(I237&gt;=4,4,IF(I237=3,3,IF(I237=2,2,1))))</x:f>
        <x:v>2</x:v>
      </x:c>
      <x:c r="O237" s="9" t="n">
        <x:f>IF(J237&gt;=500000,5,IF(J237&gt;=300000,4,IF(J237&gt;=175000,3,IF(J237&gt;=75000,2,1))))</x:f>
        <x:v>4</x:v>
      </x:c>
      <x:c r="P237" s="7" t="str">
        <x:f>M237&amp;N237&amp;O237</x:f>
        <x:v>524</x:v>
      </x:c>
      <x:c r="Q237" s="7" t="str">
        <x:f>IF(AND(L237&lt;=60,I237&gt;=5,J237&gt;=300000),"Champions",IF(AND(L237&lt;=120,I237&gt;=3),"Loyal Growth",IF(AND(L237&gt;180,J237&gt;=300000),"High Value At Risk",IF(DATE(2026,6,30)-G237&lt;=90,"New Accounts",IF(AND(L237&lt;=120,I237=1),"Promising",IF(L237&lt;=240,"Needs Nurture","Dormant"))))))</x:f>
        <x:v>New Accounts</x:v>
      </x:c>
      <x:c r="R237" s="7" t="str">
        <x:f>IF(DATE(2026,6,30)-G237&lt;=90,"New",IF(AND(L237&lt;=120,I237&gt;=2),"Active",IF(I237=1,"One-time",IF(L237&lt;=240,"At Risk","Lapsed"))))</x:f>
        <x:v>New</x:v>
      </x:c>
      <x:c r="S237" s="15" t="str">
        <x:f>IF(Q237="Champions","Invite to advisory program and cross-sell service plans",IF(Q237="Loyal Growth","Prioritize expansion offer and product education",IF(Q237="High Value At Risk","Assign sales recovery outreach within 14 days",IF(Q237="New Accounts","Launch 90-day onboarding and adoption sequence",IF(Q237="Promising","Nurture second purchase with use-case content",IF(Q237="Needs Nurture","Run product-fit review and re-engagement sequence","Move to low-frequency win-back program"))))))</x:f>
        <x:v>Launch 90-day onboarding and adoption sequence</x:v>
      </x:c>
      <x:c r="T237" s="1"/>
      <x:c r="U237" s="1"/>
      <x:c r="V237" s="1"/>
      <x:c r="W237" s="1"/>
      <x:c r="X237" s="1"/>
      <x:c r="Y237" s="1"/>
      <x:c r="Z237" s="1"/>
    </x:row>
    <x:row r="238">
      <x:c r="A238" s="7" t="str">
        <x:v>ACC-0237</x:v>
      </x:c>
      <x:c r="B238" s="7" t="str">
        <x:v>Northstar Foods 237</x:v>
      </x:c>
      <x:c r="C238" s="7" t="str">
        <x:v>Northeast</x:v>
      </x:c>
      <x:c r="D238" s="7" t="str">
        <x:v>Consumer Goods</x:v>
      </x:c>
      <x:c r="E238" s="7" t="str">
        <x:v>Small</x:v>
      </x:c>
      <x:c r="F238" s="7" t="str">
        <x:v>Google Search</x:v>
      </x:c>
      <x:c r="G238" s="8" t="n">
        <x:v>46116</x:v>
      </x:c>
      <x:c r="H238" s="8" t="n">
        <x:v>46199</x:v>
      </x:c>
      <x:c r="I238" s="9" t="n">
        <x:v>2</x:v>
      </x:c>
      <x:c r="J238" s="10" t="n">
        <x:v>198400</x:v>
      </x:c>
      <x:c r="K238" s="10" t="n">
        <x:f>J238/I238</x:f>
        <x:v>99200</x:v>
      </x:c>
      <x:c r="L238" s="9" t="n">
        <x:f>DATE(2026,6,30)-H238</x:f>
        <x:v>4</x:v>
      </x:c>
      <x:c r="M238" s="9" t="n">
        <x:f>IF(L238&lt;=60,5,IF(L238&lt;=120,4,IF(L238&lt;=180,3,IF(L238&lt;=240,2,1))))</x:f>
        <x:v>5</x:v>
      </x:c>
      <x:c r="N238" s="9" t="n">
        <x:f>IF(I238&gt;=6,5,IF(I238&gt;=4,4,IF(I238=3,3,IF(I238=2,2,1))))</x:f>
        <x:v>2</x:v>
      </x:c>
      <x:c r="O238" s="9" t="n">
        <x:f>IF(J238&gt;=500000,5,IF(J238&gt;=300000,4,IF(J238&gt;=175000,3,IF(J238&gt;=75000,2,1))))</x:f>
        <x:v>3</x:v>
      </x:c>
      <x:c r="P238" s="7" t="str">
        <x:f>M238&amp;N238&amp;O238</x:f>
        <x:v>523</x:v>
      </x:c>
      <x:c r="Q238" s="7" t="str">
        <x:f>IF(AND(L238&lt;=60,I238&gt;=5,J238&gt;=300000),"Champions",IF(AND(L238&lt;=120,I238&gt;=3),"Loyal Growth",IF(AND(L238&gt;180,J238&gt;=300000),"High Value At Risk",IF(DATE(2026,6,30)-G238&lt;=90,"New Accounts",IF(AND(L238&lt;=120,I238=1),"Promising",IF(L238&lt;=240,"Needs Nurture","Dormant"))))))</x:f>
        <x:v>New Accounts</x:v>
      </x:c>
      <x:c r="R238" s="7" t="str">
        <x:f>IF(DATE(2026,6,30)-G238&lt;=90,"New",IF(AND(L238&lt;=120,I238&gt;=2),"Active",IF(I238=1,"One-time",IF(L238&lt;=240,"At Risk","Lapsed"))))</x:f>
        <x:v>New</x:v>
      </x:c>
      <x:c r="S238" s="15" t="str">
        <x:f>IF(Q238="Champions","Invite to advisory program and cross-sell service plans",IF(Q238="Loyal Growth","Prioritize expansion offer and product education",IF(Q238="High Value At Risk","Assign sales recovery outreach within 14 days",IF(Q238="New Accounts","Launch 90-day onboarding and adoption sequence",IF(Q238="Promising","Nurture second purchase with use-case content",IF(Q238="Needs Nurture","Run product-fit review and re-engagement sequence","Move to low-frequency win-back program"))))))</x:f>
        <x:v>Launch 90-day onboarding and adoption sequence</x:v>
      </x:c>
      <x:c r="T238" s="1"/>
      <x:c r="U238" s="1"/>
      <x:c r="V238" s="1"/>
      <x:c r="W238" s="1"/>
      <x:c r="X238" s="1"/>
      <x:c r="Y238" s="1"/>
      <x:c r="Z238" s="1"/>
    </x:row>
    <x:row r="239">
      <x:c r="A239" s="7" t="str">
        <x:v>ACC-0238</x:v>
      </x:c>
      <x:c r="B239" s="7" t="str">
        <x:v>Northstar Solutions 238</x:v>
      </x:c>
      <x:c r="C239" s="7" t="str">
        <x:v>Midwest</x:v>
      </x:c>
      <x:c r="D239" s="7" t="str">
        <x:v>Industrial Products</x:v>
      </x:c>
      <x:c r="E239" s="7" t="str">
        <x:v>Mid-market</x:v>
      </x:c>
      <x:c r="F239" s="7" t="str">
        <x:v>LinkedIn</x:v>
      </x:c>
      <x:c r="G239" s="8" t="n">
        <x:v>46077</x:v>
      </x:c>
      <x:c r="H239" s="8" t="n">
        <x:v>46132</x:v>
      </x:c>
      <x:c r="I239" s="9" t="n">
        <x:v>2</x:v>
      </x:c>
      <x:c r="J239" s="10" t="n">
        <x:v>194300</x:v>
      </x:c>
      <x:c r="K239" s="10" t="n">
        <x:f>J239/I239</x:f>
        <x:v>97150</x:v>
      </x:c>
      <x:c r="L239" s="9" t="n">
        <x:f>DATE(2026,6,30)-H239</x:f>
        <x:v>71</x:v>
      </x:c>
      <x:c r="M239" s="9" t="n">
        <x:f>IF(L239&lt;=60,5,IF(L239&lt;=120,4,IF(L239&lt;=180,3,IF(L239&lt;=240,2,1))))</x:f>
        <x:v>4</x:v>
      </x:c>
      <x:c r="N239" s="9" t="n">
        <x:f>IF(I239&gt;=6,5,IF(I239&gt;=4,4,IF(I239=3,3,IF(I239=2,2,1))))</x:f>
        <x:v>2</x:v>
      </x:c>
      <x:c r="O239" s="9" t="n">
        <x:f>IF(J239&gt;=500000,5,IF(J239&gt;=300000,4,IF(J239&gt;=175000,3,IF(J239&gt;=75000,2,1))))</x:f>
        <x:v>3</x:v>
      </x:c>
      <x:c r="P239" s="7" t="str">
        <x:f>M239&amp;N239&amp;O239</x:f>
        <x:v>423</x:v>
      </x:c>
      <x:c r="Q239" s="7" t="str">
        <x:f>IF(AND(L239&lt;=60,I239&gt;=5,J239&gt;=300000),"Champions",IF(AND(L239&lt;=120,I239&gt;=3),"Loyal Growth",IF(AND(L239&gt;180,J239&gt;=300000),"High Value At Risk",IF(DATE(2026,6,30)-G239&lt;=90,"New Accounts",IF(AND(L239&lt;=120,I239=1),"Promising",IF(L239&lt;=240,"Needs Nurture","Dormant"))))))</x:f>
        <x:v>Needs Nurture</x:v>
      </x:c>
      <x:c r="R239" s="7" t="str">
        <x:f>IF(DATE(2026,6,30)-G239&lt;=90,"New",IF(AND(L239&lt;=120,I239&gt;=2),"Active",IF(I239=1,"One-time",IF(L239&lt;=240,"At Risk","Lapsed"))))</x:f>
        <x:v>Active</x:v>
      </x:c>
      <x:c r="S239" s="15" t="str">
        <x:f>IF(Q239="Champions","Invite to advisory program and cross-sell service plans",IF(Q239="Loyal Growth","Prioritize expansion offer and product education",IF(Q239="High Value At Risk","Assign sales recovery outreach within 14 days",IF(Q239="New Accounts","Launch 90-day onboarding and adoption sequence",IF(Q239="Promising","Nurture second purchase with use-case content",IF(Q239="Needs Nurture","Run product-fit review and re-engagement sequence","Move to low-frequency win-back program"))))))</x:f>
        <x:v>Run product-fit review and re-engagement sequence</x:v>
      </x:c>
      <x:c r="T239" s="1"/>
      <x:c r="U239" s="1"/>
      <x:c r="V239" s="1"/>
      <x:c r="W239" s="1"/>
      <x:c r="X239" s="1"/>
      <x:c r="Y239" s="1"/>
      <x:c r="Z239" s="1"/>
    </x:row>
    <x:row r="240">
      <x:c r="A240" s="7" t="str">
        <x:v>ACC-0239</x:v>
      </x:c>
      <x:c r="B240" s="7" t="str">
        <x:v>Northstar Manufacturing 239</x:v>
      </x:c>
      <x:c r="C240" s="7" t="str">
        <x:v>Northeast</x:v>
      </x:c>
      <x:c r="D240" s="7" t="str">
        <x:v>Food &amp; Beverage</x:v>
      </x:c>
      <x:c r="E240" s="7" t="str">
        <x:v>Small</x:v>
      </x:c>
      <x:c r="F240" s="7" t="str">
        <x:v>Google Search</x:v>
      </x:c>
      <x:c r="G240" s="8" t="n">
        <x:v>45341</x:v>
      </x:c>
      <x:c r="H240" s="8" t="n">
        <x:v>45553</x:v>
      </x:c>
      <x:c r="I240" s="9" t="n">
        <x:v>2</x:v>
      </x:c>
      <x:c r="J240" s="10" t="n">
        <x:v>100300</x:v>
      </x:c>
      <x:c r="K240" s="10" t="n">
        <x:f>J240/I240</x:f>
        <x:v>50150</x:v>
      </x:c>
      <x:c r="L240" s="9" t="n">
        <x:f>DATE(2026,6,30)-H240</x:f>
        <x:v>650</x:v>
      </x:c>
      <x:c r="M240" s="9" t="n">
        <x:f>IF(L240&lt;=60,5,IF(L240&lt;=120,4,IF(L240&lt;=180,3,IF(L240&lt;=240,2,1))))</x:f>
        <x:v>1</x:v>
      </x:c>
      <x:c r="N240" s="9" t="n">
        <x:f>IF(I240&gt;=6,5,IF(I240&gt;=4,4,IF(I240=3,3,IF(I240=2,2,1))))</x:f>
        <x:v>2</x:v>
      </x:c>
      <x:c r="O240" s="9" t="n">
        <x:f>IF(J240&gt;=500000,5,IF(J240&gt;=300000,4,IF(J240&gt;=175000,3,IF(J240&gt;=75000,2,1))))</x:f>
        <x:v>2</x:v>
      </x:c>
      <x:c r="P240" s="7" t="str">
        <x:f>M240&amp;N240&amp;O240</x:f>
        <x:v>122</x:v>
      </x:c>
      <x:c r="Q240" s="7" t="str">
        <x:f>IF(AND(L240&lt;=60,I240&gt;=5,J240&gt;=300000),"Champions",IF(AND(L240&lt;=120,I240&gt;=3),"Loyal Growth",IF(AND(L240&gt;180,J240&gt;=300000),"High Value At Risk",IF(DATE(2026,6,30)-G240&lt;=90,"New Accounts",IF(AND(L240&lt;=120,I240=1),"Promising",IF(L240&lt;=240,"Needs Nurture","Dormant"))))))</x:f>
        <x:v>Dormant</x:v>
      </x:c>
      <x:c r="R240" s="7" t="str">
        <x:f>IF(DATE(2026,6,30)-G240&lt;=90,"New",IF(AND(L240&lt;=120,I240&gt;=2),"Active",IF(I240=1,"One-time",IF(L240&lt;=240,"At Risk","Lapsed"))))</x:f>
        <x:v>Lapsed</x:v>
      </x:c>
      <x:c r="S240" s="15" t="str">
        <x:f>IF(Q240="Champions","Invite to advisory program and cross-sell service plans",IF(Q240="Loyal Growth","Prioritize expansion offer and product education",IF(Q240="High Value At Risk","Assign sales recovery outreach within 14 days",IF(Q240="New Accounts","Launch 90-day onboarding and adoption sequence",IF(Q240="Promising","Nurture second purchase with use-case content",IF(Q240="Needs Nurture","Run product-fit review and re-engagement sequence","Move to low-frequency win-back program"))))))</x:f>
        <x:v>Move to low-frequency win-back program</x:v>
      </x:c>
      <x:c r="T240" s="1"/>
      <x:c r="U240" s="1"/>
      <x:c r="V240" s="1"/>
      <x:c r="W240" s="1"/>
      <x:c r="X240" s="1"/>
      <x:c r="Y240" s="1"/>
      <x:c r="Z240" s="1"/>
    </x:row>
    <x:row r="241">
      <x:c r="A241" s="7" t="str">
        <x:v>ACC-0240</x:v>
      </x:c>
      <x:c r="B241" s="7" t="str">
        <x:v>Harbor Labs 240</x:v>
      </x:c>
      <x:c r="C241" s="7" t="str">
        <x:v>South</x:v>
      </x:c>
      <x:c r="D241" s="7" t="str">
        <x:v>Contract Packaging</x:v>
      </x:c>
      <x:c r="E241" s="7" t="str">
        <x:v>Enterprise</x:v>
      </x:c>
      <x:c r="F241" s="7" t="str">
        <x:v>Google Search</x:v>
      </x:c>
      <x:c r="G241" s="8" t="n">
        <x:v>46144</x:v>
      </x:c>
      <x:c r="H241" s="8" t="n">
        <x:v>46177</x:v>
      </x:c>
      <x:c r="I241" s="9" t="n">
        <x:v>2</x:v>
      </x:c>
      <x:c r="J241" s="10" t="n">
        <x:v>506300</x:v>
      </x:c>
      <x:c r="K241" s="10" t="n">
        <x:f>J241/I241</x:f>
        <x:v>253150</x:v>
      </x:c>
      <x:c r="L241" s="9" t="n">
        <x:f>DATE(2026,6,30)-H241</x:f>
        <x:v>26</x:v>
      </x:c>
      <x:c r="M241" s="9" t="n">
        <x:f>IF(L241&lt;=60,5,IF(L241&lt;=120,4,IF(L241&lt;=180,3,IF(L241&lt;=240,2,1))))</x:f>
        <x:v>5</x:v>
      </x:c>
      <x:c r="N241" s="9" t="n">
        <x:f>IF(I241&gt;=6,5,IF(I241&gt;=4,4,IF(I241=3,3,IF(I241=2,2,1))))</x:f>
        <x:v>2</x:v>
      </x:c>
      <x:c r="O241" s="9" t="n">
        <x:f>IF(J241&gt;=500000,5,IF(J241&gt;=300000,4,IF(J241&gt;=175000,3,IF(J241&gt;=75000,2,1))))</x:f>
        <x:v>5</x:v>
      </x:c>
      <x:c r="P241" s="7" t="str">
        <x:f>M241&amp;N241&amp;O241</x:f>
        <x:v>525</x:v>
      </x:c>
      <x:c r="Q241" s="7" t="str">
        <x:f>IF(AND(L241&lt;=60,I241&gt;=5,J241&gt;=300000),"Champions",IF(AND(L241&lt;=120,I241&gt;=3),"Loyal Growth",IF(AND(L241&gt;180,J241&gt;=300000),"High Value At Risk",IF(DATE(2026,6,30)-G241&lt;=90,"New Accounts",IF(AND(L241&lt;=120,I241=1),"Promising",IF(L241&lt;=240,"Needs Nurture","Dormant"))))))</x:f>
        <x:v>New Accounts</x:v>
      </x:c>
      <x:c r="R241" s="7" t="str">
        <x:f>IF(DATE(2026,6,30)-G241&lt;=90,"New",IF(AND(L241&lt;=120,I241&gt;=2),"Active",IF(I241=1,"One-time",IF(L241&lt;=240,"At Risk","Lapsed"))))</x:f>
        <x:v>New</x:v>
      </x:c>
      <x:c r="S241" s="15" t="str">
        <x:f>IF(Q241="Champions","Invite to advisory program and cross-sell service plans",IF(Q241="Loyal Growth","Prioritize expansion offer and product education",IF(Q241="High Value At Risk","Assign sales recovery outreach within 14 days",IF(Q241="New Accounts","Launch 90-day onboarding and adoption sequence",IF(Q241="Promising","Nurture second purchase with use-case content",IF(Q241="Needs Nurture","Run product-fit review and re-engagement sequence","Move to low-frequency win-back program"))))))</x:f>
        <x:v>Launch 90-day onboarding and adoption sequence</x:v>
      </x:c>
      <x:c r="T241" s="1"/>
      <x:c r="U241" s="1"/>
      <x:c r="V241" s="1"/>
      <x:c r="W241" s="1"/>
      <x:c r="X241" s="1"/>
      <x:c r="Y241" s="1"/>
      <x:c r="Z241" s="1"/>
    </x:row>
    <x:row r="242">
      <x:c r="A242" s="7" t="str">
        <x:v>ACC-0241</x:v>
      </x:c>
      <x:c r="B242" s="7" t="str">
        <x:v>Apex Brands 241</x:v>
      </x:c>
      <x:c r="C242" s="7" t="str">
        <x:v>Northeast</x:v>
      </x:c>
      <x:c r="D242" s="7" t="str">
        <x:v>Industrial Products</x:v>
      </x:c>
      <x:c r="E242" s="7" t="str">
        <x:v>Small</x:v>
      </x:c>
      <x:c r="F242" s="7" t="str">
        <x:v>Google Search</x:v>
      </x:c>
      <x:c r="G242" s="8" t="n">
        <x:v>46106</x:v>
      </x:c>
      <x:c r="H242" s="8" t="n">
        <x:v>46106</x:v>
      </x:c>
      <x:c r="I242" s="9" t="n">
        <x:v>1</x:v>
      </x:c>
      <x:c r="J242" s="10" t="n">
        <x:v>87400</x:v>
      </x:c>
      <x:c r="K242" s="10" t="n">
        <x:f>J242/I242</x:f>
        <x:v>87400</x:v>
      </x:c>
      <x:c r="L242" s="9" t="n">
        <x:f>DATE(2026,6,30)-H242</x:f>
        <x:v>97</x:v>
      </x:c>
      <x:c r="M242" s="9" t="n">
        <x:f>IF(L242&lt;=60,5,IF(L242&lt;=120,4,IF(L242&lt;=180,3,IF(L242&lt;=240,2,1))))</x:f>
        <x:v>4</x:v>
      </x:c>
      <x:c r="N242" s="9" t="n">
        <x:f>IF(I242&gt;=6,5,IF(I242&gt;=4,4,IF(I242=3,3,IF(I242=2,2,1))))</x:f>
        <x:v>1</x:v>
      </x:c>
      <x:c r="O242" s="9" t="n">
        <x:f>IF(J242&gt;=500000,5,IF(J242&gt;=300000,4,IF(J242&gt;=175000,3,IF(J242&gt;=75000,2,1))))</x:f>
        <x:v>2</x:v>
      </x:c>
      <x:c r="P242" s="7" t="str">
        <x:f>M242&amp;N242&amp;O242</x:f>
        <x:v>412</x:v>
      </x:c>
      <x:c r="Q242" s="7" t="str">
        <x:f>IF(AND(L242&lt;=60,I242&gt;=5,J242&gt;=300000),"Champions",IF(AND(L242&lt;=120,I242&gt;=3),"Loyal Growth",IF(AND(L242&gt;180,J242&gt;=300000),"High Value At Risk",IF(DATE(2026,6,30)-G242&lt;=90,"New Accounts",IF(AND(L242&lt;=120,I242=1),"Promising",IF(L242&lt;=240,"Needs Nurture","Dormant"))))))</x:f>
        <x:v>Promising</x:v>
      </x:c>
      <x:c r="R242" s="7" t="str">
        <x:f>IF(DATE(2026,6,30)-G242&lt;=90,"New",IF(AND(L242&lt;=120,I242&gt;=2),"Active",IF(I242=1,"One-time",IF(L242&lt;=240,"At Risk","Lapsed"))))</x:f>
        <x:v>One-time</x:v>
      </x:c>
      <x:c r="S242" s="15" t="str">
        <x:f>IF(Q242="Champions","Invite to advisory program and cross-sell service plans",IF(Q242="Loyal Growth","Prioritize expansion offer and product education",IF(Q242="High Value At Risk","Assign sales recovery outreach within 14 days",IF(Q242="New Accounts","Launch 90-day onboarding and adoption sequence",IF(Q242="Promising","Nurture second purchase with use-case content",IF(Q242="Needs Nurture","Run product-fit review and re-engagement sequence","Move to low-frequency win-back program"))))))</x:f>
        <x:v>Nurture second purchase with use-case content</x:v>
      </x:c>
      <x:c r="T242" s="1"/>
      <x:c r="U242" s="1"/>
      <x:c r="V242" s="1"/>
      <x:c r="W242" s="1"/>
      <x:c r="X242" s="1"/>
      <x:c r="Y242" s="1"/>
      <x:c r="Z242" s="1"/>
    </x:row>
    <x:row r="243">
      <x:c r="A243" s="7" t="str">
        <x:v>ACC-0242</x:v>
      </x:c>
      <x:c r="B243" s="7" t="str">
        <x:v>Vertex Industries 242</x:v>
      </x:c>
      <x:c r="C243" s="7" t="str">
        <x:v>Midwest</x:v>
      </x:c>
      <x:c r="D243" s="7" t="str">
        <x:v>Food &amp; Beverage</x:v>
      </x:c>
      <x:c r="E243" s="7" t="str">
        <x:v>Mid-market</x:v>
      </x:c>
      <x:c r="F243" s="7" t="str">
        <x:v>LinkedIn</x:v>
      </x:c>
      <x:c r="G243" s="8" t="n">
        <x:v>46060</x:v>
      </x:c>
      <x:c r="H243" s="8" t="n">
        <x:v>46082</x:v>
      </x:c>
      <x:c r="I243" s="9" t="n">
        <x:v>3</x:v>
      </x:c>
      <x:c r="J243" s="10" t="n">
        <x:v>245500</x:v>
      </x:c>
      <x:c r="K243" s="10" t="n">
        <x:f>J243/I243</x:f>
        <x:v>81833.33333333333</x:v>
      </x:c>
      <x:c r="L243" s="9" t="n">
        <x:f>DATE(2026,6,30)-H243</x:f>
        <x:v>121</x:v>
      </x:c>
      <x:c r="M243" s="9" t="n">
        <x:f>IF(L243&lt;=60,5,IF(L243&lt;=120,4,IF(L243&lt;=180,3,IF(L243&lt;=240,2,1))))</x:f>
        <x:v>3</x:v>
      </x:c>
      <x:c r="N243" s="9" t="n">
        <x:f>IF(I243&gt;=6,5,IF(I243&gt;=4,4,IF(I243=3,3,IF(I243=2,2,1))))</x:f>
        <x:v>3</x:v>
      </x:c>
      <x:c r="O243" s="9" t="n">
        <x:f>IF(J243&gt;=500000,5,IF(J243&gt;=300000,4,IF(J243&gt;=175000,3,IF(J243&gt;=75000,2,1))))</x:f>
        <x:v>3</x:v>
      </x:c>
      <x:c r="P243" s="7" t="str">
        <x:f>M243&amp;N243&amp;O243</x:f>
        <x:v>333</x:v>
      </x:c>
      <x:c r="Q243" s="7" t="str">
        <x:f>IF(AND(L243&lt;=60,I243&gt;=5,J243&gt;=300000),"Champions",IF(AND(L243&lt;=120,I243&gt;=3),"Loyal Growth",IF(AND(L243&gt;180,J243&gt;=300000),"High Value At Risk",IF(DATE(2026,6,30)-G243&lt;=90,"New Accounts",IF(AND(L243&lt;=120,I243=1),"Promising",IF(L243&lt;=240,"Needs Nurture","Dormant"))))))</x:f>
        <x:v>Needs Nurture</x:v>
      </x:c>
      <x:c r="R243" s="7" t="str">
        <x:f>IF(DATE(2026,6,30)-G243&lt;=90,"New",IF(AND(L243&lt;=120,I243&gt;=2),"Active",IF(I243=1,"One-time",IF(L243&lt;=240,"At Risk","Lapsed"))))</x:f>
        <x:v>At Risk</x:v>
      </x:c>
      <x:c r="S243" s="15" t="str">
        <x:f>IF(Q243="Champions","Invite to advisory program and cross-sell service plans",IF(Q243="Loyal Growth","Prioritize expansion offer and product education",IF(Q243="High Value At Risk","Assign sales recovery outreach within 14 days",IF(Q243="New Accounts","Launch 90-day onboarding and adoption sequence",IF(Q243="Promising","Nurture second purchase with use-case content",IF(Q243="Needs Nurture","Run product-fit review and re-engagement sequence","Move to low-frequency win-back program"))))))</x:f>
        <x:v>Run product-fit review and re-engagement sequence</x:v>
      </x:c>
      <x:c r="T243" s="1"/>
      <x:c r="U243" s="1"/>
      <x:c r="V243" s="1"/>
      <x:c r="W243" s="1"/>
      <x:c r="X243" s="1"/>
      <x:c r="Y243" s="1"/>
      <x:c r="Z243" s="1"/>
    </x:row>
    <x:row r="244">
      <x:c r="A244" s="7" t="str">
        <x:v>ACC-0243</x:v>
      </x:c>
      <x:c r="B244" s="7" t="str">
        <x:v>Granite Products 243</x:v>
      </x:c>
      <x:c r="C244" s="7" t="str">
        <x:v>Northeast</x:v>
      </x:c>
      <x:c r="D244" s="7" t="str">
        <x:v>Food &amp; Beverage</x:v>
      </x:c>
      <x:c r="E244" s="7" t="str">
        <x:v>Small</x:v>
      </x:c>
      <x:c r="F244" s="7" t="str">
        <x:v>Trade Show</x:v>
      </x:c>
      <x:c r="G244" s="8" t="n">
        <x:v>45957</x:v>
      </x:c>
      <x:c r="H244" s="8" t="n">
        <x:v>45957</x:v>
      </x:c>
      <x:c r="I244" s="9" t="n">
        <x:v>1</x:v>
      </x:c>
      <x:c r="J244" s="10" t="n">
        <x:v>104000</x:v>
      </x:c>
      <x:c r="K244" s="10" t="n">
        <x:f>J244/I244</x:f>
        <x:v>104000</x:v>
      </x:c>
      <x:c r="L244" s="9" t="n">
        <x:f>DATE(2026,6,30)-H244</x:f>
        <x:v>246</x:v>
      </x:c>
      <x:c r="M244" s="9" t="n">
        <x:f>IF(L244&lt;=60,5,IF(L244&lt;=120,4,IF(L244&lt;=180,3,IF(L244&lt;=240,2,1))))</x:f>
        <x:v>1</x:v>
      </x:c>
      <x:c r="N244" s="9" t="n">
        <x:f>IF(I244&gt;=6,5,IF(I244&gt;=4,4,IF(I244=3,3,IF(I244=2,2,1))))</x:f>
        <x:v>1</x:v>
      </x:c>
      <x:c r="O244" s="9" t="n">
        <x:f>IF(J244&gt;=500000,5,IF(J244&gt;=300000,4,IF(J244&gt;=175000,3,IF(J244&gt;=75000,2,1))))</x:f>
        <x:v>2</x:v>
      </x:c>
      <x:c r="P244" s="7" t="str">
        <x:f>M244&amp;N244&amp;O244</x:f>
        <x:v>112</x:v>
      </x:c>
      <x:c r="Q244" s="7" t="str">
        <x:f>IF(AND(L244&lt;=60,I244&gt;=5,J244&gt;=300000),"Champions",IF(AND(L244&lt;=120,I244&gt;=3),"Loyal Growth",IF(AND(L244&gt;180,J244&gt;=300000),"High Value At Risk",IF(DATE(2026,6,30)-G244&lt;=90,"New Accounts",IF(AND(L244&lt;=120,I244=1),"Promising",IF(L244&lt;=240,"Needs Nurture","Dormant"))))))</x:f>
        <x:v>Dormant</x:v>
      </x:c>
      <x:c r="R244" s="7" t="str">
        <x:f>IF(DATE(2026,6,30)-G244&lt;=90,"New",IF(AND(L244&lt;=120,I244&gt;=2),"Active",IF(I244=1,"One-time",IF(L244&lt;=240,"At Risk","Lapsed"))))</x:f>
        <x:v>One-time</x:v>
      </x:c>
      <x:c r="S244" s="15" t="str">
        <x:f>IF(Q244="Champions","Invite to advisory program and cross-sell service plans",IF(Q244="Loyal Growth","Prioritize expansion offer and product education",IF(Q244="High Value At Risk","Assign sales recovery outreach within 14 days",IF(Q244="New Accounts","Launch 90-day onboarding and adoption sequence",IF(Q244="Promising","Nurture second purchase with use-case content",IF(Q244="Needs Nurture","Run product-fit review and re-engagement sequence","Move to low-frequency win-back program"))))))</x:f>
        <x:v>Move to low-frequency win-back program</x:v>
      </x:c>
      <x:c r="T244" s="1"/>
      <x:c r="U244" s="1"/>
      <x:c r="V244" s="1"/>
      <x:c r="W244" s="1"/>
      <x:c r="X244" s="1"/>
      <x:c r="Y244" s="1"/>
      <x:c r="Z244" s="1"/>
    </x:row>
    <x:row r="245">
      <x:c r="A245" s="7" t="str">
        <x:v>ACC-0244</x:v>
      </x:c>
      <x:c r="B245" s="7" t="str">
        <x:v>Northstar Industries 244</x:v>
      </x:c>
      <x:c r="C245" s="7" t="str">
        <x:v>South</x:v>
      </x:c>
      <x:c r="D245" s="7" t="str">
        <x:v>Consumer Goods</x:v>
      </x:c>
      <x:c r="E245" s="7" t="str">
        <x:v>Enterprise</x:v>
      </x:c>
      <x:c r="F245" s="7" t="str">
        <x:v>Email</x:v>
      </x:c>
      <x:c r="G245" s="8" t="n">
        <x:v>45914</x:v>
      </x:c>
      <x:c r="H245" s="8" t="n">
        <x:v>46175</x:v>
      </x:c>
      <x:c r="I245" s="9" t="n">
        <x:v>5</x:v>
      </x:c>
      <x:c r="J245" s="10" t="n">
        <x:v>731200</x:v>
      </x:c>
      <x:c r="K245" s="10" t="n">
        <x:f>J245/I245</x:f>
        <x:v>146240</x:v>
      </x:c>
      <x:c r="L245" s="9" t="n">
        <x:f>DATE(2026,6,30)-H245</x:f>
        <x:v>28</x:v>
      </x:c>
      <x:c r="M245" s="9" t="n">
        <x:f>IF(L245&lt;=60,5,IF(L245&lt;=120,4,IF(L245&lt;=180,3,IF(L245&lt;=240,2,1))))</x:f>
        <x:v>5</x:v>
      </x:c>
      <x:c r="N245" s="9" t="n">
        <x:f>IF(I245&gt;=6,5,IF(I245&gt;=4,4,IF(I245=3,3,IF(I245=2,2,1))))</x:f>
        <x:v>4</x:v>
      </x:c>
      <x:c r="O245" s="9" t="n">
        <x:f>IF(J245&gt;=500000,5,IF(J245&gt;=300000,4,IF(J245&gt;=175000,3,IF(J245&gt;=75000,2,1))))</x:f>
        <x:v>5</x:v>
      </x:c>
      <x:c r="P245" s="7" t="str">
        <x:f>M245&amp;N245&amp;O245</x:f>
        <x:v>545</x:v>
      </x:c>
      <x:c r="Q245" s="7" t="str">
        <x:f>IF(AND(L245&lt;=60,I245&gt;=5,J245&gt;=300000),"Champions",IF(AND(L245&lt;=120,I245&gt;=3),"Loyal Growth",IF(AND(L245&gt;180,J245&gt;=300000),"High Value At Risk",IF(DATE(2026,6,30)-G245&lt;=90,"New Accounts",IF(AND(L245&lt;=120,I245=1),"Promising",IF(L245&lt;=240,"Needs Nurture","Dormant"))))))</x:f>
        <x:v>Champions</x:v>
      </x:c>
      <x:c r="R245" s="7" t="str">
        <x:f>IF(DATE(2026,6,30)-G245&lt;=90,"New",IF(AND(L245&lt;=120,I245&gt;=2),"Active",IF(I245=1,"One-time",IF(L245&lt;=240,"At Risk","Lapsed"))))</x:f>
        <x:v>Active</x:v>
      </x:c>
      <x:c r="S245" s="15" t="str">
        <x:f>IF(Q245="Champions","Invite to advisory program and cross-sell service plans",IF(Q245="Loyal Growth","Prioritize expansion offer and product education",IF(Q245="High Value At Risk","Assign sales recovery outreach within 14 days",IF(Q245="New Accounts","Launch 90-day onboarding and adoption sequence",IF(Q245="Promising","Nurture second purchase with use-case content",IF(Q245="Needs Nurture","Run product-fit review and re-engagement sequence","Move to low-frequency win-back program"))))))</x:f>
        <x:v>Invite to advisory program and cross-sell service plans</x:v>
      </x:c>
      <x:c r="T245" s="1"/>
      <x:c r="U245" s="1"/>
      <x:c r="V245" s="1"/>
      <x:c r="W245" s="1"/>
      <x:c r="X245" s="1"/>
      <x:c r="Y245" s="1"/>
      <x:c r="Z245" s="1"/>
    </x:row>
    <x:row r="246">
      <x:c r="A246" s="7" t="str">
        <x:v>ACC-0245</x:v>
      </x:c>
      <x:c r="B246" s="7" t="str">
        <x:v>Frontier Packaging 245</x:v>
      </x:c>
      <x:c r="C246" s="7" t="str">
        <x:v>South</x:v>
      </x:c>
      <x:c r="D246" s="7" t="str">
        <x:v>Consumer Goods</x:v>
      </x:c>
      <x:c r="E246" s="7" t="str">
        <x:v>Mid-market</x:v>
      </x:c>
      <x:c r="F246" s="7" t="str">
        <x:v>Google Search</x:v>
      </x:c>
      <x:c r="G246" s="8" t="n">
        <x:v>45627</x:v>
      </x:c>
      <x:c r="H246" s="8" t="n">
        <x:v>46171</x:v>
      </x:c>
      <x:c r="I246" s="9" t="n">
        <x:v>5</x:v>
      </x:c>
      <x:c r="J246" s="10" t="n">
        <x:v>559700</x:v>
      </x:c>
      <x:c r="K246" s="10" t="n">
        <x:f>J246/I246</x:f>
        <x:v>111940</x:v>
      </x:c>
      <x:c r="L246" s="9" t="n">
        <x:f>DATE(2026,6,30)-H246</x:f>
        <x:v>32</x:v>
      </x:c>
      <x:c r="M246" s="9" t="n">
        <x:f>IF(L246&lt;=60,5,IF(L246&lt;=120,4,IF(L246&lt;=180,3,IF(L246&lt;=240,2,1))))</x:f>
        <x:v>5</x:v>
      </x:c>
      <x:c r="N246" s="9" t="n">
        <x:f>IF(I246&gt;=6,5,IF(I246&gt;=4,4,IF(I246=3,3,IF(I246=2,2,1))))</x:f>
        <x:v>4</x:v>
      </x:c>
      <x:c r="O246" s="9" t="n">
        <x:f>IF(J246&gt;=500000,5,IF(J246&gt;=300000,4,IF(J246&gt;=175000,3,IF(J246&gt;=75000,2,1))))</x:f>
        <x:v>5</x:v>
      </x:c>
      <x:c r="P246" s="7" t="str">
        <x:f>M246&amp;N246&amp;O246</x:f>
        <x:v>545</x:v>
      </x:c>
      <x:c r="Q246" s="7" t="str">
        <x:f>IF(AND(L246&lt;=60,I246&gt;=5,J246&gt;=300000),"Champions",IF(AND(L246&lt;=120,I246&gt;=3),"Loyal Growth",IF(AND(L246&gt;180,J246&gt;=300000),"High Value At Risk",IF(DATE(2026,6,30)-G246&lt;=90,"New Accounts",IF(AND(L246&lt;=120,I246=1),"Promising",IF(L246&lt;=240,"Needs Nurture","Dormant"))))))</x:f>
        <x:v>Champions</x:v>
      </x:c>
      <x:c r="R246" s="7" t="str">
        <x:f>IF(DATE(2026,6,30)-G246&lt;=90,"New",IF(AND(L246&lt;=120,I246&gt;=2),"Active",IF(I246=1,"One-time",IF(L246&lt;=240,"At Risk","Lapsed"))))</x:f>
        <x:v>Active</x:v>
      </x:c>
      <x:c r="S246" s="15" t="str">
        <x:f>IF(Q246="Champions","Invite to advisory program and cross-sell service plans",IF(Q246="Loyal Growth","Prioritize expansion offer and product education",IF(Q246="High Value At Risk","Assign sales recovery outreach within 14 days",IF(Q246="New Accounts","Launch 90-day onboarding and adoption sequence",IF(Q246="Promising","Nurture second purchase with use-case content",IF(Q246="Needs Nurture","Run product-fit review and re-engagement sequence","Move to low-frequency win-back program"))))))</x:f>
        <x:v>Invite to advisory program and cross-sell service plans</x:v>
      </x:c>
      <x:c r="T246" s="1"/>
      <x:c r="U246" s="1"/>
      <x:c r="V246" s="1"/>
      <x:c r="W246" s="1"/>
      <x:c r="X246" s="1"/>
      <x:c r="Y246" s="1"/>
      <x:c r="Z246" s="1"/>
    </x:row>
    <x:row r="247">
      <x:c r="A247" s="7" t="str">
        <x:v>ACC-0246</x:v>
      </x:c>
      <x:c r="B247" s="7" t="str">
        <x:v>Frontier Packaging 246</x:v>
      </x:c>
      <x:c r="C247" s="7" t="str">
        <x:v>Midwest</x:v>
      </x:c>
      <x:c r="D247" s="7" t="str">
        <x:v>Industrial Products</x:v>
      </x:c>
      <x:c r="E247" s="7" t="str">
        <x:v>Mid-market</x:v>
      </x:c>
      <x:c r="F247" s="7" t="str">
        <x:v>Partner Referral</x:v>
      </x:c>
      <x:c r="G247" s="8" t="n">
        <x:v>46022</x:v>
      </x:c>
      <x:c r="H247" s="8" t="n">
        <x:v>46161</x:v>
      </x:c>
      <x:c r="I247" s="9" t="n">
        <x:v>3</x:v>
      </x:c>
      <x:c r="J247" s="10" t="n">
        <x:v>345600</x:v>
      </x:c>
      <x:c r="K247" s="10" t="n">
        <x:f>J247/I247</x:f>
        <x:v>115200</x:v>
      </x:c>
      <x:c r="L247" s="9" t="n">
        <x:f>DATE(2026,6,30)-H247</x:f>
        <x:v>42</x:v>
      </x:c>
      <x:c r="M247" s="9" t="n">
        <x:f>IF(L247&lt;=60,5,IF(L247&lt;=120,4,IF(L247&lt;=180,3,IF(L247&lt;=240,2,1))))</x:f>
        <x:v>5</x:v>
      </x:c>
      <x:c r="N247" s="9" t="n">
        <x:f>IF(I247&gt;=6,5,IF(I247&gt;=4,4,IF(I247=3,3,IF(I247=2,2,1))))</x:f>
        <x:v>3</x:v>
      </x:c>
      <x:c r="O247" s="9" t="n">
        <x:f>IF(J247&gt;=500000,5,IF(J247&gt;=300000,4,IF(J247&gt;=175000,3,IF(J247&gt;=75000,2,1))))</x:f>
        <x:v>4</x:v>
      </x:c>
      <x:c r="P247" s="7" t="str">
        <x:f>M247&amp;N247&amp;O247</x:f>
        <x:v>534</x:v>
      </x:c>
      <x:c r="Q247" s="7" t="str">
        <x:f>IF(AND(L247&lt;=60,I247&gt;=5,J247&gt;=300000),"Champions",IF(AND(L247&lt;=120,I247&gt;=3),"Loyal Growth",IF(AND(L247&gt;180,J247&gt;=300000),"High Value At Risk",IF(DATE(2026,6,30)-G247&lt;=90,"New Accounts",IF(AND(L247&lt;=120,I247=1),"Promising",IF(L247&lt;=240,"Needs Nurture","Dormant"))))))</x:f>
        <x:v>Loyal Growth</x:v>
      </x:c>
      <x:c r="R247" s="7" t="str">
        <x:f>IF(DATE(2026,6,30)-G247&lt;=90,"New",IF(AND(L247&lt;=120,I247&gt;=2),"Active",IF(I247=1,"One-time",IF(L247&lt;=240,"At Risk","Lapsed"))))</x:f>
        <x:v>Active</x:v>
      </x:c>
      <x:c r="S247" s="15" t="str">
        <x:f>IF(Q247="Champions","Invite to advisory program and cross-sell service plans",IF(Q247="Loyal Growth","Prioritize expansion offer and product education",IF(Q247="High Value At Risk","Assign sales recovery outreach within 14 days",IF(Q247="New Accounts","Launch 90-day onboarding and adoption sequence",IF(Q247="Promising","Nurture second purchase with use-case content",IF(Q247="Needs Nurture","Run product-fit review and re-engagement sequence","Move to low-frequency win-back program"))))))</x:f>
        <x:v>Prioritize expansion offer and product education</x:v>
      </x:c>
      <x:c r="T247" s="1"/>
      <x:c r="U247" s="1"/>
      <x:c r="V247" s="1"/>
      <x:c r="W247" s="1"/>
      <x:c r="X247" s="1"/>
      <x:c r="Y247" s="1"/>
      <x:c r="Z247" s="1"/>
    </x:row>
    <x:row r="248">
      <x:c r="A248" s="7" t="str">
        <x:v>ACC-0247</x:v>
      </x:c>
      <x:c r="B248" s="7" t="str">
        <x:v>Crest Products 247</x:v>
      </x:c>
      <x:c r="C248" s="7" t="str">
        <x:v>Midwest</x:v>
      </x:c>
      <x:c r="D248" s="7" t="str">
        <x:v>Pharmaceuticals</x:v>
      </x:c>
      <x:c r="E248" s="7" t="str">
        <x:v>Mid-market</x:v>
      </x:c>
      <x:c r="F248" s="7" t="str">
        <x:v>Email</x:v>
      </x:c>
      <x:c r="G248" s="8" t="n">
        <x:v>45591</x:v>
      </x:c>
      <x:c r="H248" s="8" t="n">
        <x:v>45854</x:v>
      </x:c>
      <x:c r="I248" s="9" t="n">
        <x:v>4</x:v>
      </x:c>
      <x:c r="J248" s="10" t="n">
        <x:v>522200</x:v>
      </x:c>
      <x:c r="K248" s="10" t="n">
        <x:f>J248/I248</x:f>
        <x:v>130550</x:v>
      </x:c>
      <x:c r="L248" s="9" t="n">
        <x:f>DATE(2026,6,30)-H248</x:f>
        <x:v>349</x:v>
      </x:c>
      <x:c r="M248" s="9" t="n">
        <x:f>IF(L248&lt;=60,5,IF(L248&lt;=120,4,IF(L248&lt;=180,3,IF(L248&lt;=240,2,1))))</x:f>
        <x:v>1</x:v>
      </x:c>
      <x:c r="N248" s="9" t="n">
        <x:f>IF(I248&gt;=6,5,IF(I248&gt;=4,4,IF(I248=3,3,IF(I248=2,2,1))))</x:f>
        <x:v>4</x:v>
      </x:c>
      <x:c r="O248" s="9" t="n">
        <x:f>IF(J248&gt;=500000,5,IF(J248&gt;=300000,4,IF(J248&gt;=175000,3,IF(J248&gt;=75000,2,1))))</x:f>
        <x:v>5</x:v>
      </x:c>
      <x:c r="P248" s="7" t="str">
        <x:f>M248&amp;N248&amp;O248</x:f>
        <x:v>145</x:v>
      </x:c>
      <x:c r="Q248" s="7" t="str">
        <x:f>IF(AND(L248&lt;=60,I248&gt;=5,J248&gt;=300000),"Champions",IF(AND(L248&lt;=120,I248&gt;=3),"Loyal Growth",IF(AND(L248&gt;180,J248&gt;=300000),"High Value At Risk",IF(DATE(2026,6,30)-G248&lt;=90,"New Accounts",IF(AND(L248&lt;=120,I248=1),"Promising",IF(L248&lt;=240,"Needs Nurture","Dormant"))))))</x:f>
        <x:v>High Value At Risk</x:v>
      </x:c>
      <x:c r="R248" s="7" t="str">
        <x:f>IF(DATE(2026,6,30)-G248&lt;=90,"New",IF(AND(L248&lt;=120,I248&gt;=2),"Active",IF(I248=1,"One-time",IF(L248&lt;=240,"At Risk","Lapsed"))))</x:f>
        <x:v>Lapsed</x:v>
      </x:c>
      <x:c r="S248" s="15" t="str">
        <x:f>IF(Q248="Champions","Invite to advisory program and cross-sell service plans",IF(Q248="Loyal Growth","Prioritize expansion offer and product education",IF(Q248="High Value At Risk","Assign sales recovery outreach within 14 days",IF(Q248="New Accounts","Launch 90-day onboarding and adoption sequence",IF(Q248="Promising","Nurture second purchase with use-case content",IF(Q248="Needs Nurture","Run product-fit review and re-engagement sequence","Move to low-frequency win-back program"))))))</x:f>
        <x:v>Assign sales recovery outreach within 14 days</x:v>
      </x:c>
      <x:c r="T248" s="1"/>
      <x:c r="U248" s="1"/>
      <x:c r="V248" s="1"/>
      <x:c r="W248" s="1"/>
      <x:c r="X248" s="1"/>
      <x:c r="Y248" s="1"/>
      <x:c r="Z248" s="1"/>
    </x:row>
    <x:row r="249">
      <x:c r="A249" s="7" t="str">
        <x:v>ACC-0248</x:v>
      </x:c>
      <x:c r="B249" s="7" t="str">
        <x:v>Harbor Brands 248</x:v>
      </x:c>
      <x:c r="C249" s="7" t="str">
        <x:v>Northeast</x:v>
      </x:c>
      <x:c r="D249" s="7" t="str">
        <x:v>Food &amp; Beverage</x:v>
      </x:c>
      <x:c r="E249" s="7" t="str">
        <x:v>Enterprise</x:v>
      </x:c>
      <x:c r="F249" s="7" t="str">
        <x:v>Google Search</x:v>
      </x:c>
      <x:c r="G249" s="8" t="n">
        <x:v>45673</x:v>
      </x:c>
      <x:c r="H249" s="8" t="n">
        <x:v>46156</x:v>
      </x:c>
      <x:c r="I249" s="9" t="n">
        <x:v>5</x:v>
      </x:c>
      <x:c r="J249" s="10" t="n">
        <x:v>681200</x:v>
      </x:c>
      <x:c r="K249" s="10" t="n">
        <x:f>J249/I249</x:f>
        <x:v>136240</x:v>
      </x:c>
      <x:c r="L249" s="9" t="n">
        <x:f>DATE(2026,6,30)-H249</x:f>
        <x:v>47</x:v>
      </x:c>
      <x:c r="M249" s="9" t="n">
        <x:f>IF(L249&lt;=60,5,IF(L249&lt;=120,4,IF(L249&lt;=180,3,IF(L249&lt;=240,2,1))))</x:f>
        <x:v>5</x:v>
      </x:c>
      <x:c r="N249" s="9" t="n">
        <x:f>IF(I249&gt;=6,5,IF(I249&gt;=4,4,IF(I249=3,3,IF(I249=2,2,1))))</x:f>
        <x:v>4</x:v>
      </x:c>
      <x:c r="O249" s="9" t="n">
        <x:f>IF(J249&gt;=500000,5,IF(J249&gt;=300000,4,IF(J249&gt;=175000,3,IF(J249&gt;=75000,2,1))))</x:f>
        <x:v>5</x:v>
      </x:c>
      <x:c r="P249" s="7" t="str">
        <x:f>M249&amp;N249&amp;O249</x:f>
        <x:v>545</x:v>
      </x:c>
      <x:c r="Q249" s="7" t="str">
        <x:f>IF(AND(L249&lt;=60,I249&gt;=5,J249&gt;=300000),"Champions",IF(AND(L249&lt;=120,I249&gt;=3),"Loyal Growth",IF(AND(L249&gt;180,J249&gt;=300000),"High Value At Risk",IF(DATE(2026,6,30)-G249&lt;=90,"New Accounts",IF(AND(L249&lt;=120,I249=1),"Promising",IF(L249&lt;=240,"Needs Nurture","Dormant"))))))</x:f>
        <x:v>Champions</x:v>
      </x:c>
      <x:c r="R249" s="7" t="str">
        <x:f>IF(DATE(2026,6,30)-G249&lt;=90,"New",IF(AND(L249&lt;=120,I249&gt;=2),"Active",IF(I249=1,"One-time",IF(L249&lt;=240,"At Risk","Lapsed"))))</x:f>
        <x:v>Active</x:v>
      </x:c>
      <x:c r="S249" s="15" t="str">
        <x:f>IF(Q249="Champions","Invite to advisory program and cross-sell service plans",IF(Q249="Loyal Growth","Prioritize expansion offer and product education",IF(Q249="High Value At Risk","Assign sales recovery outreach within 14 days",IF(Q249="New Accounts","Launch 90-day onboarding and adoption sequence",IF(Q249="Promising","Nurture second purchase with use-case content",IF(Q249="Needs Nurture","Run product-fit review and re-engagement sequence","Move to low-frequency win-back program"))))))</x:f>
        <x:v>Invite to advisory program and cross-sell service plans</x:v>
      </x:c>
      <x:c r="T249" s="1"/>
      <x:c r="U249" s="1"/>
      <x:c r="V249" s="1"/>
      <x:c r="W249" s="1"/>
      <x:c r="X249" s="1"/>
      <x:c r="Y249" s="1"/>
      <x:c r="Z249" s="1"/>
    </x:row>
    <x:row r="250">
      <x:c r="A250" s="7" t="str">
        <x:v>ACC-0249</x:v>
      </x:c>
      <x:c r="B250" s="7" t="str">
        <x:v>Frontier Packaging 249</x:v>
      </x:c>
      <x:c r="C250" s="7" t="str">
        <x:v>Midwest</x:v>
      </x:c>
      <x:c r="D250" s="7" t="str">
        <x:v>Consumer Goods</x:v>
      </x:c>
      <x:c r="E250" s="7" t="str">
        <x:v>Small</x:v>
      </x:c>
      <x:c r="F250" s="7" t="str">
        <x:v>Trade Show</x:v>
      </x:c>
      <x:c r="G250" s="8" t="n">
        <x:v>46019</x:v>
      </x:c>
      <x:c r="H250" s="8" t="n">
        <x:v>46130</x:v>
      </x:c>
      <x:c r="I250" s="9" t="n">
        <x:v>3</x:v>
      </x:c>
      <x:c r="J250" s="10" t="n">
        <x:v>338900</x:v>
      </x:c>
      <x:c r="K250" s="10" t="n">
        <x:f>J250/I250</x:f>
        <x:v>112966.66666666667</x:v>
      </x:c>
      <x:c r="L250" s="9" t="n">
        <x:f>DATE(2026,6,30)-H250</x:f>
        <x:v>73</x:v>
      </x:c>
      <x:c r="M250" s="9" t="n">
        <x:f>IF(L250&lt;=60,5,IF(L250&lt;=120,4,IF(L250&lt;=180,3,IF(L250&lt;=240,2,1))))</x:f>
        <x:v>4</x:v>
      </x:c>
      <x:c r="N250" s="9" t="n">
        <x:f>IF(I250&gt;=6,5,IF(I250&gt;=4,4,IF(I250=3,3,IF(I250=2,2,1))))</x:f>
        <x:v>3</x:v>
      </x:c>
      <x:c r="O250" s="9" t="n">
        <x:f>IF(J250&gt;=500000,5,IF(J250&gt;=300000,4,IF(J250&gt;=175000,3,IF(J250&gt;=75000,2,1))))</x:f>
        <x:v>4</x:v>
      </x:c>
      <x:c r="P250" s="7" t="str">
        <x:f>M250&amp;N250&amp;O250</x:f>
        <x:v>434</x:v>
      </x:c>
      <x:c r="Q250" s="7" t="str">
        <x:f>IF(AND(L250&lt;=60,I250&gt;=5,J250&gt;=300000),"Champions",IF(AND(L250&lt;=120,I250&gt;=3),"Loyal Growth",IF(AND(L250&gt;180,J250&gt;=300000),"High Value At Risk",IF(DATE(2026,6,30)-G250&lt;=90,"New Accounts",IF(AND(L250&lt;=120,I250=1),"Promising",IF(L250&lt;=240,"Needs Nurture","Dormant"))))))</x:f>
        <x:v>Loyal Growth</x:v>
      </x:c>
      <x:c r="R250" s="7" t="str">
        <x:f>IF(DATE(2026,6,30)-G250&lt;=90,"New",IF(AND(L250&lt;=120,I250&gt;=2),"Active",IF(I250=1,"One-time",IF(L250&lt;=240,"At Risk","Lapsed"))))</x:f>
        <x:v>Active</x:v>
      </x:c>
      <x:c r="S250" s="15" t="str">
        <x:f>IF(Q250="Champions","Invite to advisory program and cross-sell service plans",IF(Q250="Loyal Growth","Prioritize expansion offer and product education",IF(Q250="High Value At Risk","Assign sales recovery outreach within 14 days",IF(Q250="New Accounts","Launch 90-day onboarding and adoption sequence",IF(Q250="Promising","Nurture second purchase with use-case content",IF(Q250="Needs Nurture","Run product-fit review and re-engagement sequence","Move to low-frequency win-back program"))))))</x:f>
        <x:v>Prioritize expansion offer and product education</x:v>
      </x:c>
      <x:c r="T250" s="1"/>
      <x:c r="U250" s="1"/>
      <x:c r="V250" s="1"/>
      <x:c r="W250" s="1"/>
      <x:c r="X250" s="1"/>
      <x:c r="Y250" s="1"/>
      <x:c r="Z250" s="1"/>
    </x:row>
    <x:row r="251">
      <x:c r="A251" s="7" t="str">
        <x:v>ACC-0250</x:v>
      </x:c>
      <x:c r="B251" s="7" t="str">
        <x:v>Evergreen Labs 250</x:v>
      </x:c>
      <x:c r="C251" s="7" t="str">
        <x:v>South</x:v>
      </x:c>
      <x:c r="D251" s="7" t="str">
        <x:v>Industrial Products</x:v>
      </x:c>
      <x:c r="E251" s="7" t="str">
        <x:v>Enterprise</x:v>
      </x:c>
      <x:c r="F251" s="7" t="str">
        <x:v>Google Search</x:v>
      </x:c>
      <x:c r="G251" s="8" t="n">
        <x:v>45835</x:v>
      </x:c>
      <x:c r="H251" s="8" t="n">
        <x:v>46132</x:v>
      </x:c>
      <x:c r="I251" s="9" t="n">
        <x:v>5</x:v>
      </x:c>
      <x:c r="J251" s="10" t="n">
        <x:v>724900</x:v>
      </x:c>
      <x:c r="K251" s="10" t="n">
        <x:f>J251/I251</x:f>
        <x:v>144980</x:v>
      </x:c>
      <x:c r="L251" s="9" t="n">
        <x:f>DATE(2026,6,30)-H251</x:f>
        <x:v>71</x:v>
      </x:c>
      <x:c r="M251" s="9" t="n">
        <x:f>IF(L251&lt;=60,5,IF(L251&lt;=120,4,IF(L251&lt;=180,3,IF(L251&lt;=240,2,1))))</x:f>
        <x:v>4</x:v>
      </x:c>
      <x:c r="N251" s="9" t="n">
        <x:f>IF(I251&gt;=6,5,IF(I251&gt;=4,4,IF(I251=3,3,IF(I251=2,2,1))))</x:f>
        <x:v>4</x:v>
      </x:c>
      <x:c r="O251" s="9" t="n">
        <x:f>IF(J251&gt;=500000,5,IF(J251&gt;=300000,4,IF(J251&gt;=175000,3,IF(J251&gt;=75000,2,1))))</x:f>
        <x:v>5</x:v>
      </x:c>
      <x:c r="P251" s="7" t="str">
        <x:f>M251&amp;N251&amp;O251</x:f>
        <x:v>445</x:v>
      </x:c>
      <x:c r="Q251" s="7" t="str">
        <x:f>IF(AND(L251&lt;=60,I251&gt;=5,J251&gt;=300000),"Champions",IF(AND(L251&lt;=120,I251&gt;=3),"Loyal Growth",IF(AND(L251&gt;180,J251&gt;=300000),"High Value At Risk",IF(DATE(2026,6,30)-G251&lt;=90,"New Accounts",IF(AND(L251&lt;=120,I251=1),"Promising",IF(L251&lt;=240,"Needs Nurture","Dormant"))))))</x:f>
        <x:v>Loyal Growth</x:v>
      </x:c>
      <x:c r="R251" s="7" t="str">
        <x:f>IF(DATE(2026,6,30)-G251&lt;=90,"New",IF(AND(L251&lt;=120,I251&gt;=2),"Active",IF(I251=1,"One-time",IF(L251&lt;=240,"At Risk","Lapsed"))))</x:f>
        <x:v>Active</x:v>
      </x:c>
      <x:c r="S251" s="15" t="str">
        <x:f>IF(Q251="Champions","Invite to advisory program and cross-sell service plans",IF(Q251="Loyal Growth","Prioritize expansion offer and product education",IF(Q251="High Value At Risk","Assign sales recovery outreach within 14 days",IF(Q251="New Accounts","Launch 90-day onboarding and adoption sequence",IF(Q251="Promising","Nurture second purchase with use-case content",IF(Q251="Needs Nurture","Run product-fit review and re-engagement sequence","Move to low-frequency win-back program"))))))</x:f>
        <x:v>Prioritize expansion offer and product education</x:v>
      </x:c>
      <x:c r="T251" s="1"/>
      <x:c r="U251" s="1"/>
      <x:c r="V251" s="1"/>
      <x:c r="W251" s="1"/>
      <x:c r="X251" s="1"/>
      <x:c r="Y251" s="1"/>
      <x:c r="Z251" s="1"/>
    </x:row>
    <x:row r="252">
      <x:c r="A252" s="7" t="str">
        <x:v>ACC-0251</x:v>
      </x:c>
      <x:c r="B252" s="7" t="str">
        <x:v>Apex Labs 251</x:v>
      </x:c>
      <x:c r="C252" s="7" t="str">
        <x:v>Midwest</x:v>
      </x:c>
      <x:c r="D252" s="7" t="str">
        <x:v>Food &amp; Beverage</x:v>
      </x:c>
      <x:c r="E252" s="7" t="str">
        <x:v>Mid-market</x:v>
      </x:c>
      <x:c r="F252" s="7" t="str">
        <x:v>Google Search</x:v>
      </x:c>
      <x:c r="G252" s="8" t="n">
        <x:v>45998</x:v>
      </x:c>
      <x:c r="H252" s="8" t="n">
        <x:v>46179</x:v>
      </x:c>
      <x:c r="I252" s="9" t="n">
        <x:v>3</x:v>
      </x:c>
      <x:c r="J252" s="10" t="n">
        <x:v>159200</x:v>
      </x:c>
      <x:c r="K252" s="10" t="n">
        <x:f>J252/I252</x:f>
        <x:v>53066.666666666664</x:v>
      </x:c>
      <x:c r="L252" s="9" t="n">
        <x:f>DATE(2026,6,30)-H252</x:f>
        <x:v>24</x:v>
      </x:c>
      <x:c r="M252" s="9" t="n">
        <x:f>IF(L252&lt;=60,5,IF(L252&lt;=120,4,IF(L252&lt;=180,3,IF(L252&lt;=240,2,1))))</x:f>
        <x:v>5</x:v>
      </x:c>
      <x:c r="N252" s="9" t="n">
        <x:f>IF(I252&gt;=6,5,IF(I252&gt;=4,4,IF(I252=3,3,IF(I252=2,2,1))))</x:f>
        <x:v>3</x:v>
      </x:c>
      <x:c r="O252" s="9" t="n">
        <x:f>IF(J252&gt;=500000,5,IF(J252&gt;=300000,4,IF(J252&gt;=175000,3,IF(J252&gt;=75000,2,1))))</x:f>
        <x:v>2</x:v>
      </x:c>
      <x:c r="P252" s="7" t="str">
        <x:f>M252&amp;N252&amp;O252</x:f>
        <x:v>532</x:v>
      </x:c>
      <x:c r="Q252" s="7" t="str">
        <x:f>IF(AND(L252&lt;=60,I252&gt;=5,J252&gt;=300000),"Champions",IF(AND(L252&lt;=120,I252&gt;=3),"Loyal Growth",IF(AND(L252&gt;180,J252&gt;=300000),"High Value At Risk",IF(DATE(2026,6,30)-G252&lt;=90,"New Accounts",IF(AND(L252&lt;=120,I252=1),"Promising",IF(L252&lt;=240,"Needs Nurture","Dormant"))))))</x:f>
        <x:v>Loyal Growth</x:v>
      </x:c>
      <x:c r="R252" s="7" t="str">
        <x:f>IF(DATE(2026,6,30)-G252&lt;=90,"New",IF(AND(L252&lt;=120,I252&gt;=2),"Active",IF(I252=1,"One-time",IF(L252&lt;=240,"At Risk","Lapsed"))))</x:f>
        <x:v>Active</x:v>
      </x:c>
      <x:c r="S252" s="15" t="str">
        <x:f>IF(Q252="Champions","Invite to advisory program and cross-sell service plans",IF(Q252="Loyal Growth","Prioritize expansion offer and product education",IF(Q252="High Value At Risk","Assign sales recovery outreach within 14 days",IF(Q252="New Accounts","Launch 90-day onboarding and adoption sequence",IF(Q252="Promising","Nurture second purchase with use-case content",IF(Q252="Needs Nurture","Run product-fit review and re-engagement sequence","Move to low-frequency win-back program"))))))</x:f>
        <x:v>Prioritize expansion offer and product education</x:v>
      </x:c>
      <x:c r="T252" s="1"/>
      <x:c r="U252" s="1"/>
      <x:c r="V252" s="1"/>
      <x:c r="W252" s="1"/>
      <x:c r="X252" s="1"/>
      <x:c r="Y252" s="1"/>
      <x:c r="Z252" s="1"/>
    </x:row>
    <x:row r="253">
      <x:c r="A253" s="7" t="str">
        <x:v>ACC-0252</x:v>
      </x:c>
      <x:c r="B253" s="7" t="str">
        <x:v>Apex Products 252</x:v>
      </x:c>
      <x:c r="C253" s="7" t="str">
        <x:v>Northeast</x:v>
      </x:c>
      <x:c r="D253" s="7" t="str">
        <x:v>Pharmaceuticals</x:v>
      </x:c>
      <x:c r="E253" s="7" t="str">
        <x:v>Enterprise</x:v>
      </x:c>
      <x:c r="F253" s="7" t="str">
        <x:v>Google Search</x:v>
      </x:c>
      <x:c r="G253" s="8" t="n">
        <x:v>45622</x:v>
      </x:c>
      <x:c r="H253" s="8" t="n">
        <x:v>46039</x:v>
      </x:c>
      <x:c r="I253" s="9" t="n">
        <x:v>6</x:v>
      </x:c>
      <x:c r="J253" s="10" t="n">
        <x:v>902400</x:v>
      </x:c>
      <x:c r="K253" s="10" t="n">
        <x:f>J253/I253</x:f>
        <x:v>150400</x:v>
      </x:c>
      <x:c r="L253" s="9" t="n">
        <x:f>DATE(2026,6,30)-H253</x:f>
        <x:v>164</x:v>
      </x:c>
      <x:c r="M253" s="9" t="n">
        <x:f>IF(L253&lt;=60,5,IF(L253&lt;=120,4,IF(L253&lt;=180,3,IF(L253&lt;=240,2,1))))</x:f>
        <x:v>3</x:v>
      </x:c>
      <x:c r="N253" s="9" t="n">
        <x:f>IF(I253&gt;=6,5,IF(I253&gt;=4,4,IF(I253=3,3,IF(I253=2,2,1))))</x:f>
        <x:v>5</x:v>
      </x:c>
      <x:c r="O253" s="9" t="n">
        <x:f>IF(J253&gt;=500000,5,IF(J253&gt;=300000,4,IF(J253&gt;=175000,3,IF(J253&gt;=75000,2,1))))</x:f>
        <x:v>5</x:v>
      </x:c>
      <x:c r="P253" s="7" t="str">
        <x:f>M253&amp;N253&amp;O253</x:f>
        <x:v>355</x:v>
      </x:c>
      <x:c r="Q253" s="7" t="str">
        <x:f>IF(AND(L253&lt;=60,I253&gt;=5,J253&gt;=300000),"Champions",IF(AND(L253&lt;=120,I253&gt;=3),"Loyal Growth",IF(AND(L253&gt;180,J253&gt;=300000),"High Value At Risk",IF(DATE(2026,6,30)-G253&lt;=90,"New Accounts",IF(AND(L253&lt;=120,I253=1),"Promising",IF(L253&lt;=240,"Needs Nurture","Dormant"))))))</x:f>
        <x:v>Needs Nurture</x:v>
      </x:c>
      <x:c r="R253" s="7" t="str">
        <x:f>IF(DATE(2026,6,30)-G253&lt;=90,"New",IF(AND(L253&lt;=120,I253&gt;=2),"Active",IF(I253=1,"One-time",IF(L253&lt;=240,"At Risk","Lapsed"))))</x:f>
        <x:v>At Risk</x:v>
      </x:c>
      <x:c r="S253" s="15" t="str">
        <x:f>IF(Q253="Champions","Invite to advisory program and cross-sell service plans",IF(Q253="Loyal Growth","Prioritize expansion offer and product education",IF(Q253="High Value At Risk","Assign sales recovery outreach within 14 days",IF(Q253="New Accounts","Launch 90-day onboarding and adoption sequence",IF(Q253="Promising","Nurture second purchase with use-case content",IF(Q253="Needs Nurture","Run product-fit review and re-engagement sequence","Move to low-frequency win-back program"))))))</x:f>
        <x:v>Run product-fit review and re-engagement sequence</x:v>
      </x:c>
      <x:c r="T253" s="1"/>
      <x:c r="U253" s="1"/>
      <x:c r="V253" s="1"/>
      <x:c r="W253" s="1"/>
      <x:c r="X253" s="1"/>
      <x:c r="Y253" s="1"/>
      <x:c r="Z253" s="1"/>
    </x:row>
    <x:row r="254">
      <x:c r="A254" s="7" t="str">
        <x:v>ACC-0253</x:v>
      </x:c>
      <x:c r="B254" s="7" t="str">
        <x:v>Summit Products 253</x:v>
      </x:c>
      <x:c r="C254" s="7" t="str">
        <x:v>Midwest</x:v>
      </x:c>
      <x:c r="D254" s="7" t="str">
        <x:v>Pharmaceuticals</x:v>
      </x:c>
      <x:c r="E254" s="7" t="str">
        <x:v>Small</x:v>
      </x:c>
      <x:c r="F254" s="7" t="str">
        <x:v>Google Search</x:v>
      </x:c>
      <x:c r="G254" s="8" t="n">
        <x:v>45776</x:v>
      </x:c>
      <x:c r="H254" s="8" t="n">
        <x:v>45933</x:v>
      </x:c>
      <x:c r="I254" s="9" t="n">
        <x:v>2</x:v>
      </x:c>
      <x:c r="J254" s="10" t="n">
        <x:v>208300</x:v>
      </x:c>
      <x:c r="K254" s="10" t="n">
        <x:f>J254/I254</x:f>
        <x:v>104150</x:v>
      </x:c>
      <x:c r="L254" s="9" t="n">
        <x:f>DATE(2026,6,30)-H254</x:f>
        <x:v>270</x:v>
      </x:c>
      <x:c r="M254" s="9" t="n">
        <x:f>IF(L254&lt;=60,5,IF(L254&lt;=120,4,IF(L254&lt;=180,3,IF(L254&lt;=240,2,1))))</x:f>
        <x:v>1</x:v>
      </x:c>
      <x:c r="N254" s="9" t="n">
        <x:f>IF(I254&gt;=6,5,IF(I254&gt;=4,4,IF(I254=3,3,IF(I254=2,2,1))))</x:f>
        <x:v>2</x:v>
      </x:c>
      <x:c r="O254" s="9" t="n">
        <x:f>IF(J254&gt;=500000,5,IF(J254&gt;=300000,4,IF(J254&gt;=175000,3,IF(J254&gt;=75000,2,1))))</x:f>
        <x:v>3</x:v>
      </x:c>
      <x:c r="P254" s="7" t="str">
        <x:f>M254&amp;N254&amp;O254</x:f>
        <x:v>123</x:v>
      </x:c>
      <x:c r="Q254" s="7" t="str">
        <x:f>IF(AND(L254&lt;=60,I254&gt;=5,J254&gt;=300000),"Champions",IF(AND(L254&lt;=120,I254&gt;=3),"Loyal Growth",IF(AND(L254&gt;180,J254&gt;=300000),"High Value At Risk",IF(DATE(2026,6,30)-G254&lt;=90,"New Accounts",IF(AND(L254&lt;=120,I254=1),"Promising",IF(L254&lt;=240,"Needs Nurture","Dormant"))))))</x:f>
        <x:v>Dormant</x:v>
      </x:c>
      <x:c r="R254" s="7" t="str">
        <x:f>IF(DATE(2026,6,30)-G254&lt;=90,"New",IF(AND(L254&lt;=120,I254&gt;=2),"Active",IF(I254=1,"One-time",IF(L254&lt;=240,"At Risk","Lapsed"))))</x:f>
        <x:v>Lapsed</x:v>
      </x:c>
      <x:c r="S254" s="15" t="str">
        <x:f>IF(Q254="Champions","Invite to advisory program and cross-sell service plans",IF(Q254="Loyal Growth","Prioritize expansion offer and product education",IF(Q254="High Value At Risk","Assign sales recovery outreach within 14 days",IF(Q254="New Accounts","Launch 90-day onboarding and adoption sequence",IF(Q254="Promising","Nurture second purchase with use-case content",IF(Q254="Needs Nurture","Run product-fit review and re-engagement sequence","Move to low-frequency win-back program"))))))</x:f>
        <x:v>Move to low-frequency win-back program</x:v>
      </x:c>
      <x:c r="T254" s="1"/>
      <x:c r="U254" s="1"/>
      <x:c r="V254" s="1"/>
      <x:c r="W254" s="1"/>
      <x:c r="X254" s="1"/>
      <x:c r="Y254" s="1"/>
      <x:c r="Z254" s="1"/>
    </x:row>
    <x:row r="255">
      <x:c r="A255" s="7" t="str">
        <x:v>ACC-0254</x:v>
      </x:c>
      <x:c r="B255" s="7" t="str">
        <x:v>Apex Packaging 254</x:v>
      </x:c>
      <x:c r="C255" s="7" t="str">
        <x:v>South</x:v>
      </x:c>
      <x:c r="D255" s="7" t="str">
        <x:v>Contract Packaging</x:v>
      </x:c>
      <x:c r="E255" s="7" t="str">
        <x:v>Small</x:v>
      </x:c>
      <x:c r="F255" s="7" t="str">
        <x:v>Trade Show</x:v>
      </x:c>
      <x:c r="G255" s="8" t="n">
        <x:v>45390</x:v>
      </x:c>
      <x:c r="H255" s="8" t="n">
        <x:v>45912</x:v>
      </x:c>
      <x:c r="I255" s="9" t="n">
        <x:v>2</x:v>
      </x:c>
      <x:c r="J255" s="10" t="n">
        <x:v>262200</x:v>
      </x:c>
      <x:c r="K255" s="10" t="n">
        <x:f>J255/I255</x:f>
        <x:v>131100</x:v>
      </x:c>
      <x:c r="L255" s="9" t="n">
        <x:f>DATE(2026,6,30)-H255</x:f>
        <x:v>291</x:v>
      </x:c>
      <x:c r="M255" s="9" t="n">
        <x:f>IF(L255&lt;=60,5,IF(L255&lt;=120,4,IF(L255&lt;=180,3,IF(L255&lt;=240,2,1))))</x:f>
        <x:v>1</x:v>
      </x:c>
      <x:c r="N255" s="9" t="n">
        <x:f>IF(I255&gt;=6,5,IF(I255&gt;=4,4,IF(I255=3,3,IF(I255=2,2,1))))</x:f>
        <x:v>2</x:v>
      </x:c>
      <x:c r="O255" s="9" t="n">
        <x:f>IF(J255&gt;=500000,5,IF(J255&gt;=300000,4,IF(J255&gt;=175000,3,IF(J255&gt;=75000,2,1))))</x:f>
        <x:v>3</x:v>
      </x:c>
      <x:c r="P255" s="7" t="str">
        <x:f>M255&amp;N255&amp;O255</x:f>
        <x:v>123</x:v>
      </x:c>
      <x:c r="Q255" s="7" t="str">
        <x:f>IF(AND(L255&lt;=60,I255&gt;=5,J255&gt;=300000),"Champions",IF(AND(L255&lt;=120,I255&gt;=3),"Loyal Growth",IF(AND(L255&gt;180,J255&gt;=300000),"High Value At Risk",IF(DATE(2026,6,30)-G255&lt;=90,"New Accounts",IF(AND(L255&lt;=120,I255=1),"Promising",IF(L255&lt;=240,"Needs Nurture","Dormant"))))))</x:f>
        <x:v>Dormant</x:v>
      </x:c>
      <x:c r="R255" s="7" t="str">
        <x:f>IF(DATE(2026,6,30)-G255&lt;=90,"New",IF(AND(L255&lt;=120,I255&gt;=2),"Active",IF(I255=1,"One-time",IF(L255&lt;=240,"At Risk","Lapsed"))))</x:f>
        <x:v>Lapsed</x:v>
      </x:c>
      <x:c r="S255" s="15" t="str">
        <x:f>IF(Q255="Champions","Invite to advisory program and cross-sell service plans",IF(Q255="Loyal Growth","Prioritize expansion offer and product education",IF(Q255="High Value At Risk","Assign sales recovery outreach within 14 days",IF(Q255="New Accounts","Launch 90-day onboarding and adoption sequence",IF(Q255="Promising","Nurture second purchase with use-case content",IF(Q255="Needs Nurture","Run product-fit review and re-engagement sequence","Move to low-frequency win-back program"))))))</x:f>
        <x:v>Move to low-frequency win-back program</x:v>
      </x:c>
      <x:c r="T255" s="1"/>
      <x:c r="U255" s="1"/>
      <x:c r="V255" s="1"/>
      <x:c r="W255" s="1"/>
      <x:c r="X255" s="1"/>
      <x:c r="Y255" s="1"/>
      <x:c r="Z255" s="1"/>
    </x:row>
    <x:row r="256">
      <x:c r="A256" s="7" t="str">
        <x:v>ACC-0255</x:v>
      </x:c>
      <x:c r="B256" s="7" t="str">
        <x:v>Vertex Solutions 255</x:v>
      </x:c>
      <x:c r="C256" s="7" t="str">
        <x:v>Midwest</x:v>
      </x:c>
      <x:c r="D256" s="7" t="str">
        <x:v>Pharmaceuticals</x:v>
      </x:c>
      <x:c r="E256" s="7" t="str">
        <x:v>Small</x:v>
      </x:c>
      <x:c r="F256" s="7" t="str">
        <x:v>Google Search</x:v>
      </x:c>
      <x:c r="G256" s="8" t="n">
        <x:v>46138</x:v>
      </x:c>
      <x:c r="H256" s="8" t="n">
        <x:v>46138</x:v>
      </x:c>
      <x:c r="I256" s="9" t="n">
        <x:v>1</x:v>
      </x:c>
      <x:c r="J256" s="10" t="n">
        <x:v>121300</x:v>
      </x:c>
      <x:c r="K256" s="10" t="n">
        <x:f>J256/I256</x:f>
        <x:v>121300</x:v>
      </x:c>
      <x:c r="L256" s="9" t="n">
        <x:f>DATE(2026,6,30)-H256</x:f>
        <x:v>65</x:v>
      </x:c>
      <x:c r="M256" s="9" t="n">
        <x:f>IF(L256&lt;=60,5,IF(L256&lt;=120,4,IF(L256&lt;=180,3,IF(L256&lt;=240,2,1))))</x:f>
        <x:v>4</x:v>
      </x:c>
      <x:c r="N256" s="9" t="n">
        <x:f>IF(I256&gt;=6,5,IF(I256&gt;=4,4,IF(I256=3,3,IF(I256=2,2,1))))</x:f>
        <x:v>1</x:v>
      </x:c>
      <x:c r="O256" s="9" t="n">
        <x:f>IF(J256&gt;=500000,5,IF(J256&gt;=300000,4,IF(J256&gt;=175000,3,IF(J256&gt;=75000,2,1))))</x:f>
        <x:v>2</x:v>
      </x:c>
      <x:c r="P256" s="7" t="str">
        <x:f>M256&amp;N256&amp;O256</x:f>
        <x:v>412</x:v>
      </x:c>
      <x:c r="Q256" s="7" t="str">
        <x:f>IF(AND(L256&lt;=60,I256&gt;=5,J256&gt;=300000),"Champions",IF(AND(L256&lt;=120,I256&gt;=3),"Loyal Growth",IF(AND(L256&gt;180,J256&gt;=300000),"High Value At Risk",IF(DATE(2026,6,30)-G256&lt;=90,"New Accounts",IF(AND(L256&lt;=120,I256=1),"Promising",IF(L256&lt;=240,"Needs Nurture","Dormant"))))))</x:f>
        <x:v>New Accounts</x:v>
      </x:c>
      <x:c r="R256" s="7" t="str">
        <x:f>IF(DATE(2026,6,30)-G256&lt;=90,"New",IF(AND(L256&lt;=120,I256&gt;=2),"Active",IF(I256=1,"One-time",IF(L256&lt;=240,"At Risk","Lapsed"))))</x:f>
        <x:v>New</x:v>
      </x:c>
      <x:c r="S256" s="15" t="str">
        <x:f>IF(Q256="Champions","Invite to advisory program and cross-sell service plans",IF(Q256="Loyal Growth","Prioritize expansion offer and product education",IF(Q256="High Value At Risk","Assign sales recovery outreach within 14 days",IF(Q256="New Accounts","Launch 90-day onboarding and adoption sequence",IF(Q256="Promising","Nurture second purchase with use-case content",IF(Q256="Needs Nurture","Run product-fit review and re-engagement sequence","Move to low-frequency win-back program"))))))</x:f>
        <x:v>Launch 90-day onboarding and adoption sequence</x:v>
      </x:c>
      <x:c r="T256" s="1"/>
      <x:c r="U256" s="1"/>
      <x:c r="V256" s="1"/>
      <x:c r="W256" s="1"/>
      <x:c r="X256" s="1"/>
      <x:c r="Y256" s="1"/>
      <x:c r="Z256" s="1"/>
    </x:row>
    <x:row r="257">
      <x:c r="A257" s="7" t="str">
        <x:v>ACC-0256</x:v>
      </x:c>
      <x:c r="B257" s="7" t="str">
        <x:v>Evergreen Brands 256</x:v>
      </x:c>
      <x:c r="C257" s="7" t="str">
        <x:v>Midwest</x:v>
      </x:c>
      <x:c r="D257" s="7" t="str">
        <x:v>Consumer Goods</x:v>
      </x:c>
      <x:c r="E257" s="7" t="str">
        <x:v>Mid-market</x:v>
      </x:c>
      <x:c r="F257" s="7" t="str">
        <x:v>Google Search</x:v>
      </x:c>
      <x:c r="G257" s="8" t="n">
        <x:v>45769</x:v>
      </x:c>
      <x:c r="H257" s="8" t="n">
        <x:v>46147</x:v>
      </x:c>
      <x:c r="I257" s="9" t="n">
        <x:v>6</x:v>
      </x:c>
      <x:c r="J257" s="10" t="n">
        <x:v>563200</x:v>
      </x:c>
      <x:c r="K257" s="10" t="n">
        <x:f>J257/I257</x:f>
        <x:v>93866.66666666667</x:v>
      </x:c>
      <x:c r="L257" s="9" t="n">
        <x:f>DATE(2026,6,30)-H257</x:f>
        <x:v>56</x:v>
      </x:c>
      <x:c r="M257" s="9" t="n">
        <x:f>IF(L257&lt;=60,5,IF(L257&lt;=120,4,IF(L257&lt;=180,3,IF(L257&lt;=240,2,1))))</x:f>
        <x:v>5</x:v>
      </x:c>
      <x:c r="N257" s="9" t="n">
        <x:f>IF(I257&gt;=6,5,IF(I257&gt;=4,4,IF(I257=3,3,IF(I257=2,2,1))))</x:f>
        <x:v>5</x:v>
      </x:c>
      <x:c r="O257" s="9" t="n">
        <x:f>IF(J257&gt;=500000,5,IF(J257&gt;=300000,4,IF(J257&gt;=175000,3,IF(J257&gt;=75000,2,1))))</x:f>
        <x:v>5</x:v>
      </x:c>
      <x:c r="P257" s="7" t="str">
        <x:f>M257&amp;N257&amp;O257</x:f>
        <x:v>555</x:v>
      </x:c>
      <x:c r="Q257" s="7" t="str">
        <x:f>IF(AND(L257&lt;=60,I257&gt;=5,J257&gt;=300000),"Champions",IF(AND(L257&lt;=120,I257&gt;=3),"Loyal Growth",IF(AND(L257&gt;180,J257&gt;=300000),"High Value At Risk",IF(DATE(2026,6,30)-G257&lt;=90,"New Accounts",IF(AND(L257&lt;=120,I257=1),"Promising",IF(L257&lt;=240,"Needs Nurture","Dormant"))))))</x:f>
        <x:v>Champions</x:v>
      </x:c>
      <x:c r="R257" s="7" t="str">
        <x:f>IF(DATE(2026,6,30)-G257&lt;=90,"New",IF(AND(L257&lt;=120,I257&gt;=2),"Active",IF(I257=1,"One-time",IF(L257&lt;=240,"At Risk","Lapsed"))))</x:f>
        <x:v>Active</x:v>
      </x:c>
      <x:c r="S257" s="15" t="str">
        <x:f>IF(Q257="Champions","Invite to advisory program and cross-sell service plans",IF(Q257="Loyal Growth","Prioritize expansion offer and product education",IF(Q257="High Value At Risk","Assign sales recovery outreach within 14 days",IF(Q257="New Accounts","Launch 90-day onboarding and adoption sequence",IF(Q257="Promising","Nurture second purchase with use-case content",IF(Q257="Needs Nurture","Run product-fit review and re-engagement sequence","Move to low-frequency win-back program"))))))</x:f>
        <x:v>Invite to advisory program and cross-sell service plans</x:v>
      </x:c>
      <x:c r="T257" s="1"/>
      <x:c r="U257" s="1"/>
      <x:c r="V257" s="1"/>
      <x:c r="W257" s="1"/>
      <x:c r="X257" s="1"/>
      <x:c r="Y257" s="1"/>
      <x:c r="Z257" s="1"/>
    </x:row>
    <x:row r="258">
      <x:c r="A258" s="7" t="str">
        <x:v>ACC-0257</x:v>
      </x:c>
      <x:c r="B258" s="7" t="str">
        <x:v>Frontier Industries 257</x:v>
      </x:c>
      <x:c r="C258" s="7" t="str">
        <x:v>Midwest</x:v>
      </x:c>
      <x:c r="D258" s="7" t="str">
        <x:v>Consumer Goods</x:v>
      </x:c>
      <x:c r="E258" s="7" t="str">
        <x:v>Enterprise</x:v>
      </x:c>
      <x:c r="F258" s="7" t="str">
        <x:v>Email</x:v>
      </x:c>
      <x:c r="G258" s="8" t="n">
        <x:v>45706</x:v>
      </x:c>
      <x:c r="H258" s="8" t="n">
        <x:v>46186</x:v>
      </x:c>
      <x:c r="I258" s="9" t="n">
        <x:v>7</x:v>
      </x:c>
      <x:c r="J258" s="10" t="n">
        <x:v>924700</x:v>
      </x:c>
      <x:c r="K258" s="10" t="n">
        <x:f>J258/I258</x:f>
        <x:v>132100</x:v>
      </x:c>
      <x:c r="L258" s="9" t="n">
        <x:f>DATE(2026,6,30)-H258</x:f>
        <x:v>17</x:v>
      </x:c>
      <x:c r="M258" s="9" t="n">
        <x:f>IF(L258&lt;=60,5,IF(L258&lt;=120,4,IF(L258&lt;=180,3,IF(L258&lt;=240,2,1))))</x:f>
        <x:v>5</x:v>
      </x:c>
      <x:c r="N258" s="9" t="n">
        <x:f>IF(I258&gt;=6,5,IF(I258&gt;=4,4,IF(I258=3,3,IF(I258=2,2,1))))</x:f>
        <x:v>5</x:v>
      </x:c>
      <x:c r="O258" s="9" t="n">
        <x:f>IF(J258&gt;=500000,5,IF(J258&gt;=300000,4,IF(J258&gt;=175000,3,IF(J258&gt;=75000,2,1))))</x:f>
        <x:v>5</x:v>
      </x:c>
      <x:c r="P258" s="7" t="str">
        <x:f>M258&amp;N258&amp;O258</x:f>
        <x:v>555</x:v>
      </x:c>
      <x:c r="Q258" s="7" t="str">
        <x:f>IF(AND(L258&lt;=60,I258&gt;=5,J258&gt;=300000),"Champions",IF(AND(L258&lt;=120,I258&gt;=3),"Loyal Growth",IF(AND(L258&gt;180,J258&gt;=300000),"High Value At Risk",IF(DATE(2026,6,30)-G258&lt;=90,"New Accounts",IF(AND(L258&lt;=120,I258=1),"Promising",IF(L258&lt;=240,"Needs Nurture","Dormant"))))))</x:f>
        <x:v>Champions</x:v>
      </x:c>
      <x:c r="R258" s="7" t="str">
        <x:f>IF(DATE(2026,6,30)-G258&lt;=90,"New",IF(AND(L258&lt;=120,I258&gt;=2),"Active",IF(I258=1,"One-time",IF(L258&lt;=240,"At Risk","Lapsed"))))</x:f>
        <x:v>Active</x:v>
      </x:c>
      <x:c r="S258" s="15" t="str">
        <x:f>IF(Q258="Champions","Invite to advisory program and cross-sell service plans",IF(Q258="Loyal Growth","Prioritize expansion offer and product education",IF(Q258="High Value At Risk","Assign sales recovery outreach within 14 days",IF(Q258="New Accounts","Launch 90-day onboarding and adoption sequence",IF(Q258="Promising","Nurture second purchase with use-case content",IF(Q258="Needs Nurture","Run product-fit review and re-engagement sequence","Move to low-frequency win-back program"))))))</x:f>
        <x:v>Invite to advisory program and cross-sell service plans</x:v>
      </x:c>
      <x:c r="T258" s="1"/>
      <x:c r="U258" s="1"/>
      <x:c r="V258" s="1"/>
      <x:c r="W258" s="1"/>
      <x:c r="X258" s="1"/>
      <x:c r="Y258" s="1"/>
      <x:c r="Z258" s="1"/>
    </x:row>
    <x:row r="259">
      <x:c r="A259" s="7" t="str">
        <x:v>ACC-0258</x:v>
      </x:c>
      <x:c r="B259" s="7" t="str">
        <x:v>Titan Solutions 258</x:v>
      </x:c>
      <x:c r="C259" s="7" t="str">
        <x:v>South</x:v>
      </x:c>
      <x:c r="D259" s="7" t="str">
        <x:v>Industrial Products</x:v>
      </x:c>
      <x:c r="E259" s="7" t="str">
        <x:v>Mid-market</x:v>
      </x:c>
      <x:c r="F259" s="7" t="str">
        <x:v>LinkedIn</x:v>
      </x:c>
      <x:c r="G259" s="8" t="n">
        <x:v>45680</x:v>
      </x:c>
      <x:c r="H259" s="8" t="n">
        <x:v>45954</x:v>
      </x:c>
      <x:c r="I259" s="9" t="n">
        <x:v>3</x:v>
      </x:c>
      <x:c r="J259" s="10" t="n">
        <x:v>367700</x:v>
      </x:c>
      <x:c r="K259" s="10" t="n">
        <x:f>J259/I259</x:f>
        <x:v>122566.66666666667</x:v>
      </x:c>
      <x:c r="L259" s="9" t="n">
        <x:f>DATE(2026,6,30)-H259</x:f>
        <x:v>249</x:v>
      </x:c>
      <x:c r="M259" s="9" t="n">
        <x:f>IF(L259&lt;=60,5,IF(L259&lt;=120,4,IF(L259&lt;=180,3,IF(L259&lt;=240,2,1))))</x:f>
        <x:v>1</x:v>
      </x:c>
      <x:c r="N259" s="9" t="n">
        <x:f>IF(I259&gt;=6,5,IF(I259&gt;=4,4,IF(I259=3,3,IF(I259=2,2,1))))</x:f>
        <x:v>3</x:v>
      </x:c>
      <x:c r="O259" s="9" t="n">
        <x:f>IF(J259&gt;=500000,5,IF(J259&gt;=300000,4,IF(J259&gt;=175000,3,IF(J259&gt;=75000,2,1))))</x:f>
        <x:v>4</x:v>
      </x:c>
      <x:c r="P259" s="7" t="str">
        <x:f>M259&amp;N259&amp;O259</x:f>
        <x:v>134</x:v>
      </x:c>
      <x:c r="Q259" s="7" t="str">
        <x:f>IF(AND(L259&lt;=60,I259&gt;=5,J259&gt;=300000),"Champions",IF(AND(L259&lt;=120,I259&gt;=3),"Loyal Growth",IF(AND(L259&gt;180,J259&gt;=300000),"High Value At Risk",IF(DATE(2026,6,30)-G259&lt;=90,"New Accounts",IF(AND(L259&lt;=120,I259=1),"Promising",IF(L259&lt;=240,"Needs Nurture","Dormant"))))))</x:f>
        <x:v>High Value At Risk</x:v>
      </x:c>
      <x:c r="R259" s="7" t="str">
        <x:f>IF(DATE(2026,6,30)-G259&lt;=90,"New",IF(AND(L259&lt;=120,I259&gt;=2),"Active",IF(I259=1,"One-time",IF(L259&lt;=240,"At Risk","Lapsed"))))</x:f>
        <x:v>Lapsed</x:v>
      </x:c>
      <x:c r="S259" s="15" t="str">
        <x:f>IF(Q259="Champions","Invite to advisory program and cross-sell service plans",IF(Q259="Loyal Growth","Prioritize expansion offer and product education",IF(Q259="High Value At Risk","Assign sales recovery outreach within 14 days",IF(Q259="New Accounts","Launch 90-day onboarding and adoption sequence",IF(Q259="Promising","Nurture second purchase with use-case content",IF(Q259="Needs Nurture","Run product-fit review and re-engagement sequence","Move to low-frequency win-back program"))))))</x:f>
        <x:v>Assign sales recovery outreach within 14 days</x:v>
      </x:c>
      <x:c r="T259" s="1"/>
      <x:c r="U259" s="1"/>
      <x:c r="V259" s="1"/>
      <x:c r="W259" s="1"/>
      <x:c r="X259" s="1"/>
      <x:c r="Y259" s="1"/>
      <x:c r="Z259" s="1"/>
    </x:row>
    <x:row r="260">
      <x:c r="A260" s="7" t="str">
        <x:v>ACC-0259</x:v>
      </x:c>
      <x:c r="B260" s="7" t="str">
        <x:v>Crest Solutions 259</x:v>
      </x:c>
      <x:c r="C260" s="7" t="str">
        <x:v>South</x:v>
      </x:c>
      <x:c r="D260" s="7" t="str">
        <x:v>Contract Packaging</x:v>
      </x:c>
      <x:c r="E260" s="7" t="str">
        <x:v>Enterprise</x:v>
      </x:c>
      <x:c r="F260" s="7" t="str">
        <x:v>Google Search</x:v>
      </x:c>
      <x:c r="G260" s="8" t="n">
        <x:v>46022</x:v>
      </x:c>
      <x:c r="H260" s="8" t="n">
        <x:v>46180</x:v>
      </x:c>
      <x:c r="I260" s="9" t="n">
        <x:v>3</x:v>
      </x:c>
      <x:c r="J260" s="10" t="n">
        <x:v>554200</x:v>
      </x:c>
      <x:c r="K260" s="10" t="n">
        <x:f>J260/I260</x:f>
        <x:v>184733.33333333334</x:v>
      </x:c>
      <x:c r="L260" s="9" t="n">
        <x:f>DATE(2026,6,30)-H260</x:f>
        <x:v>23</x:v>
      </x:c>
      <x:c r="M260" s="9" t="n">
        <x:f>IF(L260&lt;=60,5,IF(L260&lt;=120,4,IF(L260&lt;=180,3,IF(L260&lt;=240,2,1))))</x:f>
        <x:v>5</x:v>
      </x:c>
      <x:c r="N260" s="9" t="n">
        <x:f>IF(I260&gt;=6,5,IF(I260&gt;=4,4,IF(I260=3,3,IF(I260=2,2,1))))</x:f>
        <x:v>3</x:v>
      </x:c>
      <x:c r="O260" s="9" t="n">
        <x:f>IF(J260&gt;=500000,5,IF(J260&gt;=300000,4,IF(J260&gt;=175000,3,IF(J260&gt;=75000,2,1))))</x:f>
        <x:v>5</x:v>
      </x:c>
      <x:c r="P260" s="7" t="str">
        <x:f>M260&amp;N260&amp;O260</x:f>
        <x:v>535</x:v>
      </x:c>
      <x:c r="Q260" s="7" t="str">
        <x:f>IF(AND(L260&lt;=60,I260&gt;=5,J260&gt;=300000),"Champions",IF(AND(L260&lt;=120,I260&gt;=3),"Loyal Growth",IF(AND(L260&gt;180,J260&gt;=300000),"High Value At Risk",IF(DATE(2026,6,30)-G260&lt;=90,"New Accounts",IF(AND(L260&lt;=120,I260=1),"Promising",IF(L260&lt;=240,"Needs Nurture","Dormant"))))))</x:f>
        <x:v>Loyal Growth</x:v>
      </x:c>
      <x:c r="R260" s="7" t="str">
        <x:f>IF(DATE(2026,6,30)-G260&lt;=90,"New",IF(AND(L260&lt;=120,I260&gt;=2),"Active",IF(I260=1,"One-time",IF(L260&lt;=240,"At Risk","Lapsed"))))</x:f>
        <x:v>Active</x:v>
      </x:c>
      <x:c r="S260" s="15" t="str">
        <x:f>IF(Q260="Champions","Invite to advisory program and cross-sell service plans",IF(Q260="Loyal Growth","Prioritize expansion offer and product education",IF(Q260="High Value At Risk","Assign sales recovery outreach within 14 days",IF(Q260="New Accounts","Launch 90-day onboarding and adoption sequence",IF(Q260="Promising","Nurture second purchase with use-case content",IF(Q260="Needs Nurture","Run product-fit review and re-engagement sequence","Move to low-frequency win-back program"))))))</x:f>
        <x:v>Prioritize expansion offer and product education</x:v>
      </x:c>
      <x:c r="T260" s="1"/>
      <x:c r="U260" s="1"/>
      <x:c r="V260" s="1"/>
      <x:c r="W260" s="1"/>
      <x:c r="X260" s="1"/>
      <x:c r="Y260" s="1"/>
      <x:c r="Z260" s="1"/>
    </x:row>
    <x:row r="261">
      <x:c r="A261" s="7" t="str">
        <x:v>ACC-0260</x:v>
      </x:c>
      <x:c r="B261" s="7" t="str">
        <x:v>Evergreen Manufacturing 260</x:v>
      </x:c>
      <x:c r="C261" s="7" t="str">
        <x:v>South</x:v>
      </x:c>
      <x:c r="D261" s="7" t="str">
        <x:v>Industrial Products</x:v>
      </x:c>
      <x:c r="E261" s="7" t="str">
        <x:v>Enterprise</x:v>
      </x:c>
      <x:c r="F261" s="7" t="str">
        <x:v>Google Search</x:v>
      </x:c>
      <x:c r="G261" s="8" t="n">
        <x:v>46108</x:v>
      </x:c>
      <x:c r="H261" s="8" t="n">
        <x:v>46134</x:v>
      </x:c>
      <x:c r="I261" s="9" t="n">
        <x:v>2</x:v>
      </x:c>
      <x:c r="J261" s="10" t="n">
        <x:v>392000</x:v>
      </x:c>
      <x:c r="K261" s="10" t="n">
        <x:f>J261/I261</x:f>
        <x:v>196000</x:v>
      </x:c>
      <x:c r="L261" s="9" t="n">
        <x:f>DATE(2026,6,30)-H261</x:f>
        <x:v>69</x:v>
      </x:c>
      <x:c r="M261" s="9" t="n">
        <x:f>IF(L261&lt;=60,5,IF(L261&lt;=120,4,IF(L261&lt;=180,3,IF(L261&lt;=240,2,1))))</x:f>
        <x:v>4</x:v>
      </x:c>
      <x:c r="N261" s="9" t="n">
        <x:f>IF(I261&gt;=6,5,IF(I261&gt;=4,4,IF(I261=3,3,IF(I261=2,2,1))))</x:f>
        <x:v>2</x:v>
      </x:c>
      <x:c r="O261" s="9" t="n">
        <x:f>IF(J261&gt;=500000,5,IF(J261&gt;=300000,4,IF(J261&gt;=175000,3,IF(J261&gt;=75000,2,1))))</x:f>
        <x:v>4</x:v>
      </x:c>
      <x:c r="P261" s="7" t="str">
        <x:f>M261&amp;N261&amp;O261</x:f>
        <x:v>424</x:v>
      </x:c>
      <x:c r="Q261" s="7" t="str">
        <x:f>IF(AND(L261&lt;=60,I261&gt;=5,J261&gt;=300000),"Champions",IF(AND(L261&lt;=120,I261&gt;=3),"Loyal Growth",IF(AND(L261&gt;180,J261&gt;=300000),"High Value At Risk",IF(DATE(2026,6,30)-G261&lt;=90,"New Accounts",IF(AND(L261&lt;=120,I261=1),"Promising",IF(L261&lt;=240,"Needs Nurture","Dormant"))))))</x:f>
        <x:v>Needs Nurture</x:v>
      </x:c>
      <x:c r="R261" s="7" t="str">
        <x:f>IF(DATE(2026,6,30)-G261&lt;=90,"New",IF(AND(L261&lt;=120,I261&gt;=2),"Active",IF(I261=1,"One-time",IF(L261&lt;=240,"At Risk","Lapsed"))))</x:f>
        <x:v>Active</x:v>
      </x:c>
      <x:c r="S261" s="15" t="str">
        <x:f>IF(Q261="Champions","Invite to advisory program and cross-sell service plans",IF(Q261="Loyal Growth","Prioritize expansion offer and product education",IF(Q261="High Value At Risk","Assign sales recovery outreach within 14 days",IF(Q261="New Accounts","Launch 90-day onboarding and adoption sequence",IF(Q261="Promising","Nurture second purchase with use-case content",IF(Q261="Needs Nurture","Run product-fit review and re-engagement sequence","Move to low-frequency win-back program"))))))</x:f>
        <x:v>Run product-fit review and re-engagement sequence</x:v>
      </x:c>
      <x:c r="T261" s="1"/>
      <x:c r="U261" s="1"/>
      <x:c r="V261" s="1"/>
      <x:c r="W261" s="1"/>
      <x:c r="X261" s="1"/>
      <x:c r="Y261" s="1"/>
      <x:c r="Z261" s="1"/>
    </x:row>
    <x:row r="262">
      <x:c r="A262" s="7" t="str">
        <x:v>ACC-0261</x:v>
      </x:c>
      <x:c r="B262" s="7" t="str">
        <x:v>Beacon Manufacturing 261</x:v>
      </x:c>
      <x:c r="C262" s="7" t="str">
        <x:v>Northeast</x:v>
      </x:c>
      <x:c r="D262" s="7" t="str">
        <x:v>Contract Packaging</x:v>
      </x:c>
      <x:c r="E262" s="7" t="str">
        <x:v>Mid-market</x:v>
      </x:c>
      <x:c r="F262" s="7" t="str">
        <x:v>Trade Show</x:v>
      </x:c>
      <x:c r="G262" s="8" t="n">
        <x:v>46130</x:v>
      </x:c>
      <x:c r="H262" s="8" t="n">
        <x:v>46191</x:v>
      </x:c>
      <x:c r="I262" s="9" t="n">
        <x:v>2</x:v>
      </x:c>
      <x:c r="J262" s="10" t="n">
        <x:v>147500</x:v>
      </x:c>
      <x:c r="K262" s="10" t="n">
        <x:f>J262/I262</x:f>
        <x:v>73750</x:v>
      </x:c>
      <x:c r="L262" s="9" t="n">
        <x:f>DATE(2026,6,30)-H262</x:f>
        <x:v>12</x:v>
      </x:c>
      <x:c r="M262" s="9" t="n">
        <x:f>IF(L262&lt;=60,5,IF(L262&lt;=120,4,IF(L262&lt;=180,3,IF(L262&lt;=240,2,1))))</x:f>
        <x:v>5</x:v>
      </x:c>
      <x:c r="N262" s="9" t="n">
        <x:f>IF(I262&gt;=6,5,IF(I262&gt;=4,4,IF(I262=3,3,IF(I262=2,2,1))))</x:f>
        <x:v>2</x:v>
      </x:c>
      <x:c r="O262" s="9" t="n">
        <x:f>IF(J262&gt;=500000,5,IF(J262&gt;=300000,4,IF(J262&gt;=175000,3,IF(J262&gt;=75000,2,1))))</x:f>
        <x:v>2</x:v>
      </x:c>
      <x:c r="P262" s="7" t="str">
        <x:f>M262&amp;N262&amp;O262</x:f>
        <x:v>522</x:v>
      </x:c>
      <x:c r="Q262" s="7" t="str">
        <x:f>IF(AND(L262&lt;=60,I262&gt;=5,J262&gt;=300000),"Champions",IF(AND(L262&lt;=120,I262&gt;=3),"Loyal Growth",IF(AND(L262&gt;180,J262&gt;=300000),"High Value At Risk",IF(DATE(2026,6,30)-G262&lt;=90,"New Accounts",IF(AND(L262&lt;=120,I262=1),"Promising",IF(L262&lt;=240,"Needs Nurture","Dormant"))))))</x:f>
        <x:v>New Accounts</x:v>
      </x:c>
      <x:c r="R262" s="7" t="str">
        <x:f>IF(DATE(2026,6,30)-G262&lt;=90,"New",IF(AND(L262&lt;=120,I262&gt;=2),"Active",IF(I262=1,"One-time",IF(L262&lt;=240,"At Risk","Lapsed"))))</x:f>
        <x:v>New</x:v>
      </x:c>
      <x:c r="S262" s="15" t="str">
        <x:f>IF(Q262="Champions","Invite to advisory program and cross-sell service plans",IF(Q262="Loyal Growth","Prioritize expansion offer and product education",IF(Q262="High Value At Risk","Assign sales recovery outreach within 14 days",IF(Q262="New Accounts","Launch 90-day onboarding and adoption sequence",IF(Q262="Promising","Nurture second purchase with use-case content",IF(Q262="Needs Nurture","Run product-fit review and re-engagement sequence","Move to low-frequency win-back program"))))))</x:f>
        <x:v>Launch 90-day onboarding and adoption sequence</x:v>
      </x:c>
      <x:c r="T262" s="1"/>
      <x:c r="U262" s="1"/>
      <x:c r="V262" s="1"/>
      <x:c r="W262" s="1"/>
      <x:c r="X262" s="1"/>
      <x:c r="Y262" s="1"/>
      <x:c r="Z262" s="1"/>
    </x:row>
    <x:row r="263">
      <x:c r="A263" s="7" t="str">
        <x:v>ACC-0262</x:v>
      </x:c>
      <x:c r="B263" s="7" t="str">
        <x:v>Harbor Foods 262</x:v>
      </x:c>
      <x:c r="C263" s="7" t="str">
        <x:v>South</x:v>
      </x:c>
      <x:c r="D263" s="7" t="str">
        <x:v>Industrial Products</x:v>
      </x:c>
      <x:c r="E263" s="7" t="str">
        <x:v>Small</x:v>
      </x:c>
      <x:c r="F263" s="7" t="str">
        <x:v>Google Search</x:v>
      </x:c>
      <x:c r="G263" s="8" t="n">
        <x:v>45598</x:v>
      </x:c>
      <x:c r="H263" s="8" t="n">
        <x:v>45687</x:v>
      </x:c>
      <x:c r="I263" s="9" t="n">
        <x:v>2</x:v>
      </x:c>
      <x:c r="J263" s="10" t="n">
        <x:v>133200</x:v>
      </x:c>
      <x:c r="K263" s="10" t="n">
        <x:f>J263/I263</x:f>
        <x:v>66600</x:v>
      </x:c>
      <x:c r="L263" s="9" t="n">
        <x:f>DATE(2026,6,30)-H263</x:f>
        <x:v>516</x:v>
      </x:c>
      <x:c r="M263" s="9" t="n">
        <x:f>IF(L263&lt;=60,5,IF(L263&lt;=120,4,IF(L263&lt;=180,3,IF(L263&lt;=240,2,1))))</x:f>
        <x:v>1</x:v>
      </x:c>
      <x:c r="N263" s="9" t="n">
        <x:f>IF(I263&gt;=6,5,IF(I263&gt;=4,4,IF(I263=3,3,IF(I263=2,2,1))))</x:f>
        <x:v>2</x:v>
      </x:c>
      <x:c r="O263" s="9" t="n">
        <x:f>IF(J263&gt;=500000,5,IF(J263&gt;=300000,4,IF(J263&gt;=175000,3,IF(J263&gt;=75000,2,1))))</x:f>
        <x:v>2</x:v>
      </x:c>
      <x:c r="P263" s="7" t="str">
        <x:f>M263&amp;N263&amp;O263</x:f>
        <x:v>122</x:v>
      </x:c>
      <x:c r="Q263" s="7" t="str">
        <x:f>IF(AND(L263&lt;=60,I263&gt;=5,J263&gt;=300000),"Champions",IF(AND(L263&lt;=120,I263&gt;=3),"Loyal Growth",IF(AND(L263&gt;180,J263&gt;=300000),"High Value At Risk",IF(DATE(2026,6,30)-G263&lt;=90,"New Accounts",IF(AND(L263&lt;=120,I263=1),"Promising",IF(L263&lt;=240,"Needs Nurture","Dormant"))))))</x:f>
        <x:v>Dormant</x:v>
      </x:c>
      <x:c r="R263" s="7" t="str">
        <x:f>IF(DATE(2026,6,30)-G263&lt;=90,"New",IF(AND(L263&lt;=120,I263&gt;=2),"Active",IF(I263=1,"One-time",IF(L263&lt;=240,"At Risk","Lapsed"))))</x:f>
        <x:v>Lapsed</x:v>
      </x:c>
      <x:c r="S263" s="15" t="str">
        <x:f>IF(Q263="Champions","Invite to advisory program and cross-sell service plans",IF(Q263="Loyal Growth","Prioritize expansion offer and product education",IF(Q263="High Value At Risk","Assign sales recovery outreach within 14 days",IF(Q263="New Accounts","Launch 90-day onboarding and adoption sequence",IF(Q263="Promising","Nurture second purchase with use-case content",IF(Q263="Needs Nurture","Run product-fit review and re-engagement sequence","Move to low-frequency win-back program"))))))</x:f>
        <x:v>Move to low-frequency win-back program</x:v>
      </x:c>
      <x:c r="T263" s="1"/>
      <x:c r="U263" s="1"/>
      <x:c r="V263" s="1"/>
      <x:c r="W263" s="1"/>
      <x:c r="X263" s="1"/>
      <x:c r="Y263" s="1"/>
      <x:c r="Z263" s="1"/>
    </x:row>
    <x:row r="264">
      <x:c r="A264" s="7" t="str">
        <x:v>ACC-0263</x:v>
      </x:c>
      <x:c r="B264" s="7" t="str">
        <x:v>Northstar Manufacturing 263</x:v>
      </x:c>
      <x:c r="C264" s="7" t="str">
        <x:v>West</x:v>
      </x:c>
      <x:c r="D264" s="7" t="str">
        <x:v>Industrial Products</x:v>
      </x:c>
      <x:c r="E264" s="7" t="str">
        <x:v>Mid-market</x:v>
      </x:c>
      <x:c r="F264" s="7" t="str">
        <x:v>LinkedIn</x:v>
      </x:c>
      <x:c r="G264" s="8" t="n">
        <x:v>45777</x:v>
      </x:c>
      <x:c r="H264" s="8" t="n">
        <x:v>46058</x:v>
      </x:c>
      <x:c r="I264" s="9" t="n">
        <x:v>3</x:v>
      </x:c>
      <x:c r="J264" s="10" t="n">
        <x:v>308900</x:v>
      </x:c>
      <x:c r="K264" s="10" t="n">
        <x:f>J264/I264</x:f>
        <x:v>102966.66666666667</x:v>
      </x:c>
      <x:c r="L264" s="9" t="n">
        <x:f>DATE(2026,6,30)-H264</x:f>
        <x:v>145</x:v>
      </x:c>
      <x:c r="M264" s="9" t="n">
        <x:f>IF(L264&lt;=60,5,IF(L264&lt;=120,4,IF(L264&lt;=180,3,IF(L264&lt;=240,2,1))))</x:f>
        <x:v>3</x:v>
      </x:c>
      <x:c r="N264" s="9" t="n">
        <x:f>IF(I264&gt;=6,5,IF(I264&gt;=4,4,IF(I264=3,3,IF(I264=2,2,1))))</x:f>
        <x:v>3</x:v>
      </x:c>
      <x:c r="O264" s="9" t="n">
        <x:f>IF(J264&gt;=500000,5,IF(J264&gt;=300000,4,IF(J264&gt;=175000,3,IF(J264&gt;=75000,2,1))))</x:f>
        <x:v>4</x:v>
      </x:c>
      <x:c r="P264" s="7" t="str">
        <x:f>M264&amp;N264&amp;O264</x:f>
        <x:v>334</x:v>
      </x:c>
      <x:c r="Q264" s="7" t="str">
        <x:f>IF(AND(L264&lt;=60,I264&gt;=5,J264&gt;=300000),"Champions",IF(AND(L264&lt;=120,I264&gt;=3),"Loyal Growth",IF(AND(L264&gt;180,J264&gt;=300000),"High Value At Risk",IF(DATE(2026,6,30)-G264&lt;=90,"New Accounts",IF(AND(L264&lt;=120,I264=1),"Promising",IF(L264&lt;=240,"Needs Nurture","Dormant"))))))</x:f>
        <x:v>Needs Nurture</x:v>
      </x:c>
      <x:c r="R264" s="7" t="str">
        <x:f>IF(DATE(2026,6,30)-G264&lt;=90,"New",IF(AND(L264&lt;=120,I264&gt;=2),"Active",IF(I264=1,"One-time",IF(L264&lt;=240,"At Risk","Lapsed"))))</x:f>
        <x:v>At Risk</x:v>
      </x:c>
      <x:c r="S264" s="15" t="str">
        <x:f>IF(Q264="Champions","Invite to advisory program and cross-sell service plans",IF(Q264="Loyal Growth","Prioritize expansion offer and product education",IF(Q264="High Value At Risk","Assign sales recovery outreach within 14 days",IF(Q264="New Accounts","Launch 90-day onboarding and adoption sequence",IF(Q264="Promising","Nurture second purchase with use-case content",IF(Q264="Needs Nurture","Run product-fit review and re-engagement sequence","Move to low-frequency win-back program"))))))</x:f>
        <x:v>Run product-fit review and re-engagement sequence</x:v>
      </x:c>
      <x:c r="T264" s="1"/>
      <x:c r="U264" s="1"/>
      <x:c r="V264" s="1"/>
      <x:c r="W264" s="1"/>
      <x:c r="X264" s="1"/>
      <x:c r="Y264" s="1"/>
      <x:c r="Z264" s="1"/>
    </x:row>
    <x:row r="265">
      <x:c r="A265" s="7" t="str">
        <x:v>ACC-0264</x:v>
      </x:c>
      <x:c r="B265" s="7" t="str">
        <x:v>Evergreen Packaging 264</x:v>
      </x:c>
      <x:c r="C265" s="7" t="str">
        <x:v>West</x:v>
      </x:c>
      <x:c r="D265" s="7" t="str">
        <x:v>Contract Packaging</x:v>
      </x:c>
      <x:c r="E265" s="7" t="str">
        <x:v>Mid-market</x:v>
      </x:c>
      <x:c r="F265" s="7" t="str">
        <x:v>Partner Referral</x:v>
      </x:c>
      <x:c r="G265" s="8" t="n">
        <x:v>46109</x:v>
      </x:c>
      <x:c r="H265" s="8" t="n">
        <x:v>46141</x:v>
      </x:c>
      <x:c r="I265" s="9" t="n">
        <x:v>2</x:v>
      </x:c>
      <x:c r="J265" s="10" t="n">
        <x:v>345600</x:v>
      </x:c>
      <x:c r="K265" s="10" t="n">
        <x:f>J265/I265</x:f>
        <x:v>172800</x:v>
      </x:c>
      <x:c r="L265" s="9" t="n">
        <x:f>DATE(2026,6,30)-H265</x:f>
        <x:v>62</x:v>
      </x:c>
      <x:c r="M265" s="9" t="n">
        <x:f>IF(L265&lt;=60,5,IF(L265&lt;=120,4,IF(L265&lt;=180,3,IF(L265&lt;=240,2,1))))</x:f>
        <x:v>4</x:v>
      </x:c>
      <x:c r="N265" s="9" t="n">
        <x:f>IF(I265&gt;=6,5,IF(I265&gt;=4,4,IF(I265=3,3,IF(I265=2,2,1))))</x:f>
        <x:v>2</x:v>
      </x:c>
      <x:c r="O265" s="9" t="n">
        <x:f>IF(J265&gt;=500000,5,IF(J265&gt;=300000,4,IF(J265&gt;=175000,3,IF(J265&gt;=75000,2,1))))</x:f>
        <x:v>4</x:v>
      </x:c>
      <x:c r="P265" s="7" t="str">
        <x:f>M265&amp;N265&amp;O265</x:f>
        <x:v>424</x:v>
      </x:c>
      <x:c r="Q265" s="7" t="str">
        <x:f>IF(AND(L265&lt;=60,I265&gt;=5,J265&gt;=300000),"Champions",IF(AND(L265&lt;=120,I265&gt;=3),"Loyal Growth",IF(AND(L265&gt;180,J265&gt;=300000),"High Value At Risk",IF(DATE(2026,6,30)-G265&lt;=90,"New Accounts",IF(AND(L265&lt;=120,I265=1),"Promising",IF(L265&lt;=240,"Needs Nurture","Dormant"))))))</x:f>
        <x:v>Needs Nurture</x:v>
      </x:c>
      <x:c r="R265" s="7" t="str">
        <x:f>IF(DATE(2026,6,30)-G265&lt;=90,"New",IF(AND(L265&lt;=120,I265&gt;=2),"Active",IF(I265=1,"One-time",IF(L265&lt;=240,"At Risk","Lapsed"))))</x:f>
        <x:v>Active</x:v>
      </x:c>
      <x:c r="S265" s="15" t="str">
        <x:f>IF(Q265="Champions","Invite to advisory program and cross-sell service plans",IF(Q265="Loyal Growth","Prioritize expansion offer and product education",IF(Q265="High Value At Risk","Assign sales recovery outreach within 14 days",IF(Q265="New Accounts","Launch 90-day onboarding and adoption sequence",IF(Q265="Promising","Nurture second purchase with use-case content",IF(Q265="Needs Nurture","Run product-fit review and re-engagement sequence","Move to low-frequency win-back program"))))))</x:f>
        <x:v>Run product-fit review and re-engagement sequence</x:v>
      </x:c>
      <x:c r="T265" s="1"/>
      <x:c r="U265" s="1"/>
      <x:c r="V265" s="1"/>
      <x:c r="W265" s="1"/>
      <x:c r="X265" s="1"/>
      <x:c r="Y265" s="1"/>
      <x:c r="Z265" s="1"/>
    </x:row>
    <x:row r="266">
      <x:c r="A266" s="7" t="str">
        <x:v>ACC-0265</x:v>
      </x:c>
      <x:c r="B266" s="7" t="str">
        <x:v>Northstar Labs 265</x:v>
      </x:c>
      <x:c r="C266" s="7" t="str">
        <x:v>Northeast</x:v>
      </x:c>
      <x:c r="D266" s="7" t="str">
        <x:v>Consumer Goods</x:v>
      </x:c>
      <x:c r="E266" s="7" t="str">
        <x:v>Enterprise</x:v>
      </x:c>
      <x:c r="F266" s="7" t="str">
        <x:v>Google Search</x:v>
      </x:c>
      <x:c r="G266" s="8" t="n">
        <x:v>46046</x:v>
      </x:c>
      <x:c r="H266" s="8" t="n">
        <x:v>46128</x:v>
      </x:c>
      <x:c r="I266" s="9" t="n">
        <x:v>3</x:v>
      </x:c>
      <x:c r="J266" s="10" t="n">
        <x:v>538100</x:v>
      </x:c>
      <x:c r="K266" s="10" t="n">
        <x:f>J266/I266</x:f>
        <x:v>179366.66666666666</x:v>
      </x:c>
      <x:c r="L266" s="9" t="n">
        <x:f>DATE(2026,6,30)-H266</x:f>
        <x:v>75</x:v>
      </x:c>
      <x:c r="M266" s="9" t="n">
        <x:f>IF(L266&lt;=60,5,IF(L266&lt;=120,4,IF(L266&lt;=180,3,IF(L266&lt;=240,2,1))))</x:f>
        <x:v>4</x:v>
      </x:c>
      <x:c r="N266" s="9" t="n">
        <x:f>IF(I266&gt;=6,5,IF(I266&gt;=4,4,IF(I266=3,3,IF(I266=2,2,1))))</x:f>
        <x:v>3</x:v>
      </x:c>
      <x:c r="O266" s="9" t="n">
        <x:f>IF(J266&gt;=500000,5,IF(J266&gt;=300000,4,IF(J266&gt;=175000,3,IF(J266&gt;=75000,2,1))))</x:f>
        <x:v>5</x:v>
      </x:c>
      <x:c r="P266" s="7" t="str">
        <x:f>M266&amp;N266&amp;O266</x:f>
        <x:v>435</x:v>
      </x:c>
      <x:c r="Q266" s="7" t="str">
        <x:f>IF(AND(L266&lt;=60,I266&gt;=5,J266&gt;=300000),"Champions",IF(AND(L266&lt;=120,I266&gt;=3),"Loyal Growth",IF(AND(L266&gt;180,J266&gt;=300000),"High Value At Risk",IF(DATE(2026,6,30)-G266&lt;=90,"New Accounts",IF(AND(L266&lt;=120,I266=1),"Promising",IF(L266&lt;=240,"Needs Nurture","Dormant"))))))</x:f>
        <x:v>Loyal Growth</x:v>
      </x:c>
      <x:c r="R266" s="7" t="str">
        <x:f>IF(DATE(2026,6,30)-G266&lt;=90,"New",IF(AND(L266&lt;=120,I266&gt;=2),"Active",IF(I266=1,"One-time",IF(L266&lt;=240,"At Risk","Lapsed"))))</x:f>
        <x:v>Active</x:v>
      </x:c>
      <x:c r="S266" s="15" t="str">
        <x:f>IF(Q266="Champions","Invite to advisory program and cross-sell service plans",IF(Q266="Loyal Growth","Prioritize expansion offer and product education",IF(Q266="High Value At Risk","Assign sales recovery outreach within 14 days",IF(Q266="New Accounts","Launch 90-day onboarding and adoption sequence",IF(Q266="Promising","Nurture second purchase with use-case content",IF(Q266="Needs Nurture","Run product-fit review and re-engagement sequence","Move to low-frequency win-back program"))))))</x:f>
        <x:v>Prioritize expansion offer and product education</x:v>
      </x:c>
      <x:c r="T266" s="1"/>
      <x:c r="U266" s="1"/>
      <x:c r="V266" s="1"/>
      <x:c r="W266" s="1"/>
      <x:c r="X266" s="1"/>
      <x:c r="Y266" s="1"/>
      <x:c r="Z266" s="1"/>
    </x:row>
    <x:row r="267">
      <x:c r="A267" s="7" t="str">
        <x:v>ACC-0266</x:v>
      </x:c>
      <x:c r="B267" s="7" t="str">
        <x:v>Meridian Products 266</x:v>
      </x:c>
      <x:c r="C267" s="7" t="str">
        <x:v>West</x:v>
      </x:c>
      <x:c r="D267" s="7" t="str">
        <x:v>Contract Packaging</x:v>
      </x:c>
      <x:c r="E267" s="7" t="str">
        <x:v>Mid-market</x:v>
      </x:c>
      <x:c r="F267" s="7" t="str">
        <x:v>Email</x:v>
      </x:c>
      <x:c r="G267" s="8" t="n">
        <x:v>45393</x:v>
      </x:c>
      <x:c r="H267" s="8" t="n">
        <x:v>45913</x:v>
      </x:c>
      <x:c r="I267" s="9" t="n">
        <x:v>4</x:v>
      </x:c>
      <x:c r="J267" s="10" t="n">
        <x:v>395200</x:v>
      </x:c>
      <x:c r="K267" s="10" t="n">
        <x:f>J267/I267</x:f>
        <x:v>98800</x:v>
      </x:c>
      <x:c r="L267" s="9" t="n">
        <x:f>DATE(2026,6,30)-H267</x:f>
        <x:v>290</x:v>
      </x:c>
      <x:c r="M267" s="9" t="n">
        <x:f>IF(L267&lt;=60,5,IF(L267&lt;=120,4,IF(L267&lt;=180,3,IF(L267&lt;=240,2,1))))</x:f>
        <x:v>1</x:v>
      </x:c>
      <x:c r="N267" s="9" t="n">
        <x:f>IF(I267&gt;=6,5,IF(I267&gt;=4,4,IF(I267=3,3,IF(I267=2,2,1))))</x:f>
        <x:v>4</x:v>
      </x:c>
      <x:c r="O267" s="9" t="n">
        <x:f>IF(J267&gt;=500000,5,IF(J267&gt;=300000,4,IF(J267&gt;=175000,3,IF(J267&gt;=75000,2,1))))</x:f>
        <x:v>4</x:v>
      </x:c>
      <x:c r="P267" s="7" t="str">
        <x:f>M267&amp;N267&amp;O267</x:f>
        <x:v>144</x:v>
      </x:c>
      <x:c r="Q267" s="7" t="str">
        <x:f>IF(AND(L267&lt;=60,I267&gt;=5,J267&gt;=300000),"Champions",IF(AND(L267&lt;=120,I267&gt;=3),"Loyal Growth",IF(AND(L267&gt;180,J267&gt;=300000),"High Value At Risk",IF(DATE(2026,6,30)-G267&lt;=90,"New Accounts",IF(AND(L267&lt;=120,I267=1),"Promising",IF(L267&lt;=240,"Needs Nurture","Dormant"))))))</x:f>
        <x:v>High Value At Risk</x:v>
      </x:c>
      <x:c r="R267" s="7" t="str">
        <x:f>IF(DATE(2026,6,30)-G267&lt;=90,"New",IF(AND(L267&lt;=120,I267&gt;=2),"Active",IF(I267=1,"One-time",IF(L267&lt;=240,"At Risk","Lapsed"))))</x:f>
        <x:v>Lapsed</x:v>
      </x:c>
      <x:c r="S267" s="15" t="str">
        <x:f>IF(Q267="Champions","Invite to advisory program and cross-sell service plans",IF(Q267="Loyal Growth","Prioritize expansion offer and product education",IF(Q267="High Value At Risk","Assign sales recovery outreach within 14 days",IF(Q267="New Accounts","Launch 90-day onboarding and adoption sequence",IF(Q267="Promising","Nurture second purchase with use-case content",IF(Q267="Needs Nurture","Run product-fit review and re-engagement sequence","Move to low-frequency win-back program"))))))</x:f>
        <x:v>Assign sales recovery outreach within 14 days</x:v>
      </x:c>
      <x:c r="T267" s="1"/>
      <x:c r="U267" s="1"/>
      <x:c r="V267" s="1"/>
      <x:c r="W267" s="1"/>
      <x:c r="X267" s="1"/>
      <x:c r="Y267" s="1"/>
      <x:c r="Z267" s="1"/>
    </x:row>
    <x:row r="268">
      <x:c r="A268" s="7" t="str">
        <x:v>ACC-0267</x:v>
      </x:c>
      <x:c r="B268" s="7" t="str">
        <x:v>Beacon Industries 267</x:v>
      </x:c>
      <x:c r="C268" s="7" t="str">
        <x:v>Midwest</x:v>
      </x:c>
      <x:c r="D268" s="7" t="str">
        <x:v>Pharmaceuticals</x:v>
      </x:c>
      <x:c r="E268" s="7" t="str">
        <x:v>Mid-market</x:v>
      </x:c>
      <x:c r="F268" s="7" t="str">
        <x:v>Partner Referral</x:v>
      </x:c>
      <x:c r="G268" s="8" t="n">
        <x:v>45665</x:v>
      </x:c>
      <x:c r="H268" s="8" t="n">
        <x:v>46183</x:v>
      </x:c>
      <x:c r="I268" s="9" t="n">
        <x:v>6</x:v>
      </x:c>
      <x:c r="J268" s="10" t="n">
        <x:v>401700</x:v>
      </x:c>
      <x:c r="K268" s="10" t="n">
        <x:f>J268/I268</x:f>
        <x:v>66950</x:v>
      </x:c>
      <x:c r="L268" s="9" t="n">
        <x:f>DATE(2026,6,30)-H268</x:f>
        <x:v>20</x:v>
      </x:c>
      <x:c r="M268" s="9" t="n">
        <x:f>IF(L268&lt;=60,5,IF(L268&lt;=120,4,IF(L268&lt;=180,3,IF(L268&lt;=240,2,1))))</x:f>
        <x:v>5</x:v>
      </x:c>
      <x:c r="N268" s="9" t="n">
        <x:f>IF(I268&gt;=6,5,IF(I268&gt;=4,4,IF(I268=3,3,IF(I268=2,2,1))))</x:f>
        <x:v>5</x:v>
      </x:c>
      <x:c r="O268" s="9" t="n">
        <x:f>IF(J268&gt;=500000,5,IF(J268&gt;=300000,4,IF(J268&gt;=175000,3,IF(J268&gt;=75000,2,1))))</x:f>
        <x:v>4</x:v>
      </x:c>
      <x:c r="P268" s="7" t="str">
        <x:f>M268&amp;N268&amp;O268</x:f>
        <x:v>554</x:v>
      </x:c>
      <x:c r="Q268" s="7" t="str">
        <x:f>IF(AND(L268&lt;=60,I268&gt;=5,J268&gt;=300000),"Champions",IF(AND(L268&lt;=120,I268&gt;=3),"Loyal Growth",IF(AND(L268&gt;180,J268&gt;=300000),"High Value At Risk",IF(DATE(2026,6,30)-G268&lt;=90,"New Accounts",IF(AND(L268&lt;=120,I268=1),"Promising",IF(L268&lt;=240,"Needs Nurture","Dormant"))))))</x:f>
        <x:v>Champions</x:v>
      </x:c>
      <x:c r="R268" s="7" t="str">
        <x:f>IF(DATE(2026,6,30)-G268&lt;=90,"New",IF(AND(L268&lt;=120,I268&gt;=2),"Active",IF(I268=1,"One-time",IF(L268&lt;=240,"At Risk","Lapsed"))))</x:f>
        <x:v>Active</x:v>
      </x:c>
      <x:c r="S268" s="15" t="str">
        <x:f>IF(Q268="Champions","Invite to advisory program and cross-sell service plans",IF(Q268="Loyal Growth","Prioritize expansion offer and product education",IF(Q268="High Value At Risk","Assign sales recovery outreach within 14 days",IF(Q268="New Accounts","Launch 90-day onboarding and adoption sequence",IF(Q268="Promising","Nurture second purchase with use-case content",IF(Q268="Needs Nurture","Run product-fit review and re-engagement sequence","Move to low-frequency win-back program"))))))</x:f>
        <x:v>Invite to advisory program and cross-sell service plans</x:v>
      </x:c>
      <x:c r="T268" s="1"/>
      <x:c r="U268" s="1"/>
      <x:c r="V268" s="1"/>
      <x:c r="W268" s="1"/>
      <x:c r="X268" s="1"/>
      <x:c r="Y268" s="1"/>
      <x:c r="Z268" s="1"/>
    </x:row>
    <x:row r="269">
      <x:c r="A269" s="7" t="str">
        <x:v>ACC-0268</x:v>
      </x:c>
      <x:c r="B269" s="7" t="str">
        <x:v>Beacon Foods 268</x:v>
      </x:c>
      <x:c r="C269" s="7" t="str">
        <x:v>West</x:v>
      </x:c>
      <x:c r="D269" s="7" t="str">
        <x:v>Food &amp; Beverage</x:v>
      </x:c>
      <x:c r="E269" s="7" t="str">
        <x:v>Small</x:v>
      </x:c>
      <x:c r="F269" s="7" t="str">
        <x:v>Google Search</x:v>
      </x:c>
      <x:c r="G269" s="8" t="n">
        <x:v>46172</x:v>
      </x:c>
      <x:c r="H269" s="8" t="n">
        <x:v>46186</x:v>
      </x:c>
      <x:c r="I269" s="9" t="n">
        <x:v>2</x:v>
      </x:c>
      <x:c r="J269" s="10" t="n">
        <x:v>239400</x:v>
      </x:c>
      <x:c r="K269" s="10" t="n">
        <x:f>J269/I269</x:f>
        <x:v>119700</x:v>
      </x:c>
      <x:c r="L269" s="9" t="n">
        <x:f>DATE(2026,6,30)-H269</x:f>
        <x:v>17</x:v>
      </x:c>
      <x:c r="M269" s="9" t="n">
        <x:f>IF(L269&lt;=60,5,IF(L269&lt;=120,4,IF(L269&lt;=180,3,IF(L269&lt;=240,2,1))))</x:f>
        <x:v>5</x:v>
      </x:c>
      <x:c r="N269" s="9" t="n">
        <x:f>IF(I269&gt;=6,5,IF(I269&gt;=4,4,IF(I269=3,3,IF(I269=2,2,1))))</x:f>
        <x:v>2</x:v>
      </x:c>
      <x:c r="O269" s="9" t="n">
        <x:f>IF(J269&gt;=500000,5,IF(J269&gt;=300000,4,IF(J269&gt;=175000,3,IF(J269&gt;=75000,2,1))))</x:f>
        <x:v>3</x:v>
      </x:c>
      <x:c r="P269" s="7" t="str">
        <x:f>M269&amp;N269&amp;O269</x:f>
        <x:v>523</x:v>
      </x:c>
      <x:c r="Q269" s="7" t="str">
        <x:f>IF(AND(L269&lt;=60,I269&gt;=5,J269&gt;=300000),"Champions",IF(AND(L269&lt;=120,I269&gt;=3),"Loyal Growth",IF(AND(L269&gt;180,J269&gt;=300000),"High Value At Risk",IF(DATE(2026,6,30)-G269&lt;=90,"New Accounts",IF(AND(L269&lt;=120,I269=1),"Promising",IF(L269&lt;=240,"Needs Nurture","Dormant"))))))</x:f>
        <x:v>New Accounts</x:v>
      </x:c>
      <x:c r="R269" s="7" t="str">
        <x:f>IF(DATE(2026,6,30)-G269&lt;=90,"New",IF(AND(L269&lt;=120,I269&gt;=2),"Active",IF(I269=1,"One-time",IF(L269&lt;=240,"At Risk","Lapsed"))))</x:f>
        <x:v>New</x:v>
      </x:c>
      <x:c r="S269" s="15" t="str">
        <x:f>IF(Q269="Champions","Invite to advisory program and cross-sell service plans",IF(Q269="Loyal Growth","Prioritize expansion offer and product education",IF(Q269="High Value At Risk","Assign sales recovery outreach within 14 days",IF(Q269="New Accounts","Launch 90-day onboarding and adoption sequence",IF(Q269="Promising","Nurture second purchase with use-case content",IF(Q269="Needs Nurture","Run product-fit review and re-engagement sequence","Move to low-frequency win-back program"))))))</x:f>
        <x:v>Launch 90-day onboarding and adoption sequence</x:v>
      </x:c>
      <x:c r="T269" s="1"/>
      <x:c r="U269" s="1"/>
      <x:c r="V269" s="1"/>
      <x:c r="W269" s="1"/>
      <x:c r="X269" s="1"/>
      <x:c r="Y269" s="1"/>
      <x:c r="Z269" s="1"/>
    </x:row>
    <x:row r="270">
      <x:c r="A270" s="7" t="str">
        <x:v>ACC-0269</x:v>
      </x:c>
      <x:c r="B270" s="7" t="str">
        <x:v>Crest Packaging 269</x:v>
      </x:c>
      <x:c r="C270" s="7" t="str">
        <x:v>Midwest</x:v>
      </x:c>
      <x:c r="D270" s="7" t="str">
        <x:v>Consumer Goods</x:v>
      </x:c>
      <x:c r="E270" s="7" t="str">
        <x:v>Small</x:v>
      </x:c>
      <x:c r="F270" s="7" t="str">
        <x:v>Google Search</x:v>
      </x:c>
      <x:c r="G270" s="8" t="n">
        <x:v>45728</x:v>
      </x:c>
      <x:c r="H270" s="8" t="n">
        <x:v>46138</x:v>
      </x:c>
      <x:c r="I270" s="9" t="n">
        <x:v>3</x:v>
      </x:c>
      <x:c r="J270" s="10" t="n">
        <x:v>245000</x:v>
      </x:c>
      <x:c r="K270" s="10" t="n">
        <x:f>J270/I270</x:f>
        <x:v>81666.66666666667</x:v>
      </x:c>
      <x:c r="L270" s="9" t="n">
        <x:f>DATE(2026,6,30)-H270</x:f>
        <x:v>65</x:v>
      </x:c>
      <x:c r="M270" s="9" t="n">
        <x:f>IF(L270&lt;=60,5,IF(L270&lt;=120,4,IF(L270&lt;=180,3,IF(L270&lt;=240,2,1))))</x:f>
        <x:v>4</x:v>
      </x:c>
      <x:c r="N270" s="9" t="n">
        <x:f>IF(I270&gt;=6,5,IF(I270&gt;=4,4,IF(I270=3,3,IF(I270=2,2,1))))</x:f>
        <x:v>3</x:v>
      </x:c>
      <x:c r="O270" s="9" t="n">
        <x:f>IF(J270&gt;=500000,5,IF(J270&gt;=300000,4,IF(J270&gt;=175000,3,IF(J270&gt;=75000,2,1))))</x:f>
        <x:v>3</x:v>
      </x:c>
      <x:c r="P270" s="7" t="str">
        <x:f>M270&amp;N270&amp;O270</x:f>
        <x:v>433</x:v>
      </x:c>
      <x:c r="Q270" s="7" t="str">
        <x:f>IF(AND(L270&lt;=60,I270&gt;=5,J270&gt;=300000),"Champions",IF(AND(L270&lt;=120,I270&gt;=3),"Loyal Growth",IF(AND(L270&gt;180,J270&gt;=300000),"High Value At Risk",IF(DATE(2026,6,30)-G270&lt;=90,"New Accounts",IF(AND(L270&lt;=120,I270=1),"Promising",IF(L270&lt;=240,"Needs Nurture","Dormant"))))))</x:f>
        <x:v>Loyal Growth</x:v>
      </x:c>
      <x:c r="R270" s="7" t="str">
        <x:f>IF(DATE(2026,6,30)-G270&lt;=90,"New",IF(AND(L270&lt;=120,I270&gt;=2),"Active",IF(I270=1,"One-time",IF(L270&lt;=240,"At Risk","Lapsed"))))</x:f>
        <x:v>Active</x:v>
      </x:c>
      <x:c r="S270" s="15" t="str">
        <x:f>IF(Q270="Champions","Invite to advisory program and cross-sell service plans",IF(Q270="Loyal Growth","Prioritize expansion offer and product education",IF(Q270="High Value At Risk","Assign sales recovery outreach within 14 days",IF(Q270="New Accounts","Launch 90-day onboarding and adoption sequence",IF(Q270="Promising","Nurture second purchase with use-case content",IF(Q270="Needs Nurture","Run product-fit review and re-engagement sequence","Move to low-frequency win-back program"))))))</x:f>
        <x:v>Prioritize expansion offer and product education</x:v>
      </x:c>
      <x:c r="T270" s="1"/>
      <x:c r="U270" s="1"/>
      <x:c r="V270" s="1"/>
      <x:c r="W270" s="1"/>
      <x:c r="X270" s="1"/>
      <x:c r="Y270" s="1"/>
      <x:c r="Z270" s="1"/>
    </x:row>
    <x:row r="271">
      <x:c r="A271" s="7" t="str">
        <x:v>ACC-0270</x:v>
      </x:c>
      <x:c r="B271" s="7" t="str">
        <x:v>Pioneer Manufacturing 270</x:v>
      </x:c>
      <x:c r="C271" s="7" t="str">
        <x:v>South</x:v>
      </x:c>
      <x:c r="D271" s="7" t="str">
        <x:v>Food &amp; Beverage</x:v>
      </x:c>
      <x:c r="E271" s="7" t="str">
        <x:v>Small</x:v>
      </x:c>
      <x:c r="F271" s="7" t="str">
        <x:v>Email</x:v>
      </x:c>
      <x:c r="G271" s="8" t="n">
        <x:v>46152</x:v>
      </x:c>
      <x:c r="H271" s="8" t="n">
        <x:v>46166</x:v>
      </x:c>
      <x:c r="I271" s="9" t="n">
        <x:v>2</x:v>
      </x:c>
      <x:c r="J271" s="10" t="n">
        <x:v>141200</x:v>
      </x:c>
      <x:c r="K271" s="10" t="n">
        <x:f>J271/I271</x:f>
        <x:v>70600</x:v>
      </x:c>
      <x:c r="L271" s="9" t="n">
        <x:f>DATE(2026,6,30)-H271</x:f>
        <x:v>37</x:v>
      </x:c>
      <x:c r="M271" s="9" t="n">
        <x:f>IF(L271&lt;=60,5,IF(L271&lt;=120,4,IF(L271&lt;=180,3,IF(L271&lt;=240,2,1))))</x:f>
        <x:v>5</x:v>
      </x:c>
      <x:c r="N271" s="9" t="n">
        <x:f>IF(I271&gt;=6,5,IF(I271&gt;=4,4,IF(I271=3,3,IF(I271=2,2,1))))</x:f>
        <x:v>2</x:v>
      </x:c>
      <x:c r="O271" s="9" t="n">
        <x:f>IF(J271&gt;=500000,5,IF(J271&gt;=300000,4,IF(J271&gt;=175000,3,IF(J271&gt;=75000,2,1))))</x:f>
        <x:v>2</x:v>
      </x:c>
      <x:c r="P271" s="7" t="str">
        <x:f>M271&amp;N271&amp;O271</x:f>
        <x:v>522</x:v>
      </x:c>
      <x:c r="Q271" s="7" t="str">
        <x:f>IF(AND(L271&lt;=60,I271&gt;=5,J271&gt;=300000),"Champions",IF(AND(L271&lt;=120,I271&gt;=3),"Loyal Growth",IF(AND(L271&gt;180,J271&gt;=300000),"High Value At Risk",IF(DATE(2026,6,30)-G271&lt;=90,"New Accounts",IF(AND(L271&lt;=120,I271=1),"Promising",IF(L271&lt;=240,"Needs Nurture","Dormant"))))))</x:f>
        <x:v>New Accounts</x:v>
      </x:c>
      <x:c r="R271" s="7" t="str">
        <x:f>IF(DATE(2026,6,30)-G271&lt;=90,"New",IF(AND(L271&lt;=120,I271&gt;=2),"Active",IF(I271=1,"One-time",IF(L271&lt;=240,"At Risk","Lapsed"))))</x:f>
        <x:v>New</x:v>
      </x:c>
      <x:c r="S271" s="15" t="str">
        <x:f>IF(Q271="Champions","Invite to advisory program and cross-sell service plans",IF(Q271="Loyal Growth","Prioritize expansion offer and product education",IF(Q271="High Value At Risk","Assign sales recovery outreach within 14 days",IF(Q271="New Accounts","Launch 90-day onboarding and adoption sequence",IF(Q271="Promising","Nurture second purchase with use-case content",IF(Q271="Needs Nurture","Run product-fit review and re-engagement sequence","Move to low-frequency win-back program"))))))</x:f>
        <x:v>Launch 90-day onboarding and adoption sequence</x:v>
      </x:c>
      <x:c r="T271" s="1"/>
      <x:c r="U271" s="1"/>
      <x:c r="V271" s="1"/>
      <x:c r="W271" s="1"/>
      <x:c r="X271" s="1"/>
      <x:c r="Y271" s="1"/>
      <x:c r="Z271" s="1"/>
    </x:row>
    <x:row r="272">
      <x:c r="A272" s="7" t="str">
        <x:v>ACC-0271</x:v>
      </x:c>
      <x:c r="B272" s="7" t="str">
        <x:v>Evergreen Packaging 271</x:v>
      </x:c>
      <x:c r="C272" s="7" t="str">
        <x:v>South</x:v>
      </x:c>
      <x:c r="D272" s="7" t="str">
        <x:v>Contract Packaging</x:v>
      </x:c>
      <x:c r="E272" s="7" t="str">
        <x:v>Small</x:v>
      </x:c>
      <x:c r="F272" s="7" t="str">
        <x:v>Trade Show</x:v>
      </x:c>
      <x:c r="G272" s="8" t="n">
        <x:v>45351</x:v>
      </x:c>
      <x:c r="H272" s="8" t="n">
        <x:v>45665</x:v>
      </x:c>
      <x:c r="I272" s="9" t="n">
        <x:v>4</x:v>
      </x:c>
      <x:c r="J272" s="10" t="n">
        <x:v>217300</x:v>
      </x:c>
      <x:c r="K272" s="10" t="n">
        <x:f>J272/I272</x:f>
        <x:v>54325</x:v>
      </x:c>
      <x:c r="L272" s="9" t="n">
        <x:f>DATE(2026,6,30)-H272</x:f>
        <x:v>538</x:v>
      </x:c>
      <x:c r="M272" s="9" t="n">
        <x:f>IF(L272&lt;=60,5,IF(L272&lt;=120,4,IF(L272&lt;=180,3,IF(L272&lt;=240,2,1))))</x:f>
        <x:v>1</x:v>
      </x:c>
      <x:c r="N272" s="9" t="n">
        <x:f>IF(I272&gt;=6,5,IF(I272&gt;=4,4,IF(I272=3,3,IF(I272=2,2,1))))</x:f>
        <x:v>4</x:v>
      </x:c>
      <x:c r="O272" s="9" t="n">
        <x:f>IF(J272&gt;=500000,5,IF(J272&gt;=300000,4,IF(J272&gt;=175000,3,IF(J272&gt;=75000,2,1))))</x:f>
        <x:v>3</x:v>
      </x:c>
      <x:c r="P272" s="7" t="str">
        <x:f>M272&amp;N272&amp;O272</x:f>
        <x:v>143</x:v>
      </x:c>
      <x:c r="Q272" s="7" t="str">
        <x:f>IF(AND(L272&lt;=60,I272&gt;=5,J272&gt;=300000),"Champions",IF(AND(L272&lt;=120,I272&gt;=3),"Loyal Growth",IF(AND(L272&gt;180,J272&gt;=300000),"High Value At Risk",IF(DATE(2026,6,30)-G272&lt;=90,"New Accounts",IF(AND(L272&lt;=120,I272=1),"Promising",IF(L272&lt;=240,"Needs Nurture","Dormant"))))))</x:f>
        <x:v>Dormant</x:v>
      </x:c>
      <x:c r="R272" s="7" t="str">
        <x:f>IF(DATE(2026,6,30)-G272&lt;=90,"New",IF(AND(L272&lt;=120,I272&gt;=2),"Active",IF(I272=1,"One-time",IF(L272&lt;=240,"At Risk","Lapsed"))))</x:f>
        <x:v>Lapsed</x:v>
      </x:c>
      <x:c r="S272" s="15" t="str">
        <x:f>IF(Q272="Champions","Invite to advisory program and cross-sell service plans",IF(Q272="Loyal Growth","Prioritize expansion offer and product education",IF(Q272="High Value At Risk","Assign sales recovery outreach within 14 days",IF(Q272="New Accounts","Launch 90-day onboarding and adoption sequence",IF(Q272="Promising","Nurture second purchase with use-case content",IF(Q272="Needs Nurture","Run product-fit review and re-engagement sequence","Move to low-frequency win-back program"))))))</x:f>
        <x:v>Move to low-frequency win-back program</x:v>
      </x:c>
      <x:c r="T272" s="1"/>
      <x:c r="U272" s="1"/>
      <x:c r="V272" s="1"/>
      <x:c r="W272" s="1"/>
      <x:c r="X272" s="1"/>
      <x:c r="Y272" s="1"/>
      <x:c r="Z272" s="1"/>
    </x:row>
    <x:row r="273">
      <x:c r="A273" s="7" t="str">
        <x:v>ACC-0272</x:v>
      </x:c>
      <x:c r="B273" s="7" t="str">
        <x:v>Apex Packaging 272</x:v>
      </x:c>
      <x:c r="C273" s="7" t="str">
        <x:v>West</x:v>
      </x:c>
      <x:c r="D273" s="7" t="str">
        <x:v>Pharmaceuticals</x:v>
      </x:c>
      <x:c r="E273" s="7" t="str">
        <x:v>Mid-market</x:v>
      </x:c>
      <x:c r="F273" s="7" t="str">
        <x:v>Email</x:v>
      </x:c>
      <x:c r="G273" s="8" t="n">
        <x:v>45969</x:v>
      </x:c>
      <x:c r="H273" s="8" t="n">
        <x:v>46179</x:v>
      </x:c>
      <x:c r="I273" s="9" t="n">
        <x:v>3</x:v>
      </x:c>
      <x:c r="J273" s="10" t="n">
        <x:v>314300</x:v>
      </x:c>
      <x:c r="K273" s="10" t="n">
        <x:f>J273/I273</x:f>
        <x:v>104766.66666666667</x:v>
      </x:c>
      <x:c r="L273" s="9" t="n">
        <x:f>DATE(2026,6,30)-H273</x:f>
        <x:v>24</x:v>
      </x:c>
      <x:c r="M273" s="9" t="n">
        <x:f>IF(L273&lt;=60,5,IF(L273&lt;=120,4,IF(L273&lt;=180,3,IF(L273&lt;=240,2,1))))</x:f>
        <x:v>5</x:v>
      </x:c>
      <x:c r="N273" s="9" t="n">
        <x:f>IF(I273&gt;=6,5,IF(I273&gt;=4,4,IF(I273=3,3,IF(I273=2,2,1))))</x:f>
        <x:v>3</x:v>
      </x:c>
      <x:c r="O273" s="9" t="n">
        <x:f>IF(J273&gt;=500000,5,IF(J273&gt;=300000,4,IF(J273&gt;=175000,3,IF(J273&gt;=75000,2,1))))</x:f>
        <x:v>4</x:v>
      </x:c>
      <x:c r="P273" s="7" t="str">
        <x:f>M273&amp;N273&amp;O273</x:f>
        <x:v>534</x:v>
      </x:c>
      <x:c r="Q273" s="7" t="str">
        <x:f>IF(AND(L273&lt;=60,I273&gt;=5,J273&gt;=300000),"Champions",IF(AND(L273&lt;=120,I273&gt;=3),"Loyal Growth",IF(AND(L273&gt;180,J273&gt;=300000),"High Value At Risk",IF(DATE(2026,6,30)-G273&lt;=90,"New Accounts",IF(AND(L273&lt;=120,I273=1),"Promising",IF(L273&lt;=240,"Needs Nurture","Dormant"))))))</x:f>
        <x:v>Loyal Growth</x:v>
      </x:c>
      <x:c r="R273" s="7" t="str">
        <x:f>IF(DATE(2026,6,30)-G273&lt;=90,"New",IF(AND(L273&lt;=120,I273&gt;=2),"Active",IF(I273=1,"One-time",IF(L273&lt;=240,"At Risk","Lapsed"))))</x:f>
        <x:v>Active</x:v>
      </x:c>
      <x:c r="S273" s="15" t="str">
        <x:f>IF(Q273="Champions","Invite to advisory program and cross-sell service plans",IF(Q273="Loyal Growth","Prioritize expansion offer and product education",IF(Q273="High Value At Risk","Assign sales recovery outreach within 14 days",IF(Q273="New Accounts","Launch 90-day onboarding and adoption sequence",IF(Q273="Promising","Nurture second purchase with use-case content",IF(Q273="Needs Nurture","Run product-fit review and re-engagement sequence","Move to low-frequency win-back program"))))))</x:f>
        <x:v>Prioritize expansion offer and product education</x:v>
      </x:c>
      <x:c r="T273" s="1"/>
      <x:c r="U273" s="1"/>
      <x:c r="V273" s="1"/>
      <x:c r="W273" s="1"/>
      <x:c r="X273" s="1"/>
      <x:c r="Y273" s="1"/>
      <x:c r="Z273" s="1"/>
    </x:row>
    <x:row r="274">
      <x:c r="A274" s="7" t="str">
        <x:v>ACC-0273</x:v>
      </x:c>
      <x:c r="B274" s="7" t="str">
        <x:v>BlueRiver Manufacturing 273</x:v>
      </x:c>
      <x:c r="C274" s="7" t="str">
        <x:v>South</x:v>
      </x:c>
      <x:c r="D274" s="7" t="str">
        <x:v>Contract Packaging</x:v>
      </x:c>
      <x:c r="E274" s="7" t="str">
        <x:v>Enterprise</x:v>
      </x:c>
      <x:c r="F274" s="7" t="str">
        <x:v>Email</x:v>
      </x:c>
      <x:c r="G274" s="8" t="n">
        <x:v>45930</x:v>
      </x:c>
      <x:c r="H274" s="8" t="n">
        <x:v>46007</x:v>
      </x:c>
      <x:c r="I274" s="9" t="n">
        <x:v>4</x:v>
      </x:c>
      <x:c r="J274" s="10" t="n">
        <x:v>726300</x:v>
      </x:c>
      <x:c r="K274" s="10" t="n">
        <x:f>J274/I274</x:f>
        <x:v>181575</x:v>
      </x:c>
      <x:c r="L274" s="9" t="n">
        <x:f>DATE(2026,6,30)-H274</x:f>
        <x:v>196</x:v>
      </x:c>
      <x:c r="M274" s="9" t="n">
        <x:f>IF(L274&lt;=60,5,IF(L274&lt;=120,4,IF(L274&lt;=180,3,IF(L274&lt;=240,2,1))))</x:f>
        <x:v>2</x:v>
      </x:c>
      <x:c r="N274" s="9" t="n">
        <x:f>IF(I274&gt;=6,5,IF(I274&gt;=4,4,IF(I274=3,3,IF(I274=2,2,1))))</x:f>
        <x:v>4</x:v>
      </x:c>
      <x:c r="O274" s="9" t="n">
        <x:f>IF(J274&gt;=500000,5,IF(J274&gt;=300000,4,IF(J274&gt;=175000,3,IF(J274&gt;=75000,2,1))))</x:f>
        <x:v>5</x:v>
      </x:c>
      <x:c r="P274" s="7" t="str">
        <x:f>M274&amp;N274&amp;O274</x:f>
        <x:v>245</x:v>
      </x:c>
      <x:c r="Q274" s="7" t="str">
        <x:f>IF(AND(L274&lt;=60,I274&gt;=5,J274&gt;=300000),"Champions",IF(AND(L274&lt;=120,I274&gt;=3),"Loyal Growth",IF(AND(L274&gt;180,J274&gt;=300000),"High Value At Risk",IF(DATE(2026,6,30)-G274&lt;=90,"New Accounts",IF(AND(L274&lt;=120,I274=1),"Promising",IF(L274&lt;=240,"Needs Nurture","Dormant"))))))</x:f>
        <x:v>High Value At Risk</x:v>
      </x:c>
      <x:c r="R274" s="7" t="str">
        <x:f>IF(DATE(2026,6,30)-G274&lt;=90,"New",IF(AND(L274&lt;=120,I274&gt;=2),"Active",IF(I274=1,"One-time",IF(L274&lt;=240,"At Risk","Lapsed"))))</x:f>
        <x:v>At Risk</x:v>
      </x:c>
      <x:c r="S274" s="15" t="str">
        <x:f>IF(Q274="Champions","Invite to advisory program and cross-sell service plans",IF(Q274="Loyal Growth","Prioritize expansion offer and product education",IF(Q274="High Value At Risk","Assign sales recovery outreach within 14 days",IF(Q274="New Accounts","Launch 90-day onboarding and adoption sequence",IF(Q274="Promising","Nurture second purchase with use-case content",IF(Q274="Needs Nurture","Run product-fit review and re-engagement sequence","Move to low-frequency win-back program"))))))</x:f>
        <x:v>Assign sales recovery outreach within 14 days</x:v>
      </x:c>
      <x:c r="T274" s="1"/>
      <x:c r="U274" s="1"/>
      <x:c r="V274" s="1"/>
      <x:c r="W274" s="1"/>
      <x:c r="X274" s="1"/>
      <x:c r="Y274" s="1"/>
      <x:c r="Z274" s="1"/>
    </x:row>
    <x:row r="275">
      <x:c r="A275" s="7" t="str">
        <x:v>ACC-0274</x:v>
      </x:c>
      <x:c r="B275" s="7" t="str">
        <x:v>Pioneer Foods 274</x:v>
      </x:c>
      <x:c r="C275" s="7" t="str">
        <x:v>West</x:v>
      </x:c>
      <x:c r="D275" s="7" t="str">
        <x:v>Pharmaceuticals</x:v>
      </x:c>
      <x:c r="E275" s="7" t="str">
        <x:v>Enterprise</x:v>
      </x:c>
      <x:c r="F275" s="7" t="str">
        <x:v>Partner Referral</x:v>
      </x:c>
      <x:c r="G275" s="8" t="n">
        <x:v>45412</x:v>
      </x:c>
      <x:c r="H275" s="8" t="n">
        <x:v>46190</x:v>
      </x:c>
      <x:c r="I275" s="9" t="n">
        <x:v>5</x:v>
      </x:c>
      <x:c r="J275" s="10" t="n">
        <x:v>623300</x:v>
      </x:c>
      <x:c r="K275" s="10" t="n">
        <x:f>J275/I275</x:f>
        <x:v>124660</x:v>
      </x:c>
      <x:c r="L275" s="9" t="n">
        <x:f>DATE(2026,6,30)-H275</x:f>
        <x:v>13</x:v>
      </x:c>
      <x:c r="M275" s="9" t="n">
        <x:f>IF(L275&lt;=60,5,IF(L275&lt;=120,4,IF(L275&lt;=180,3,IF(L275&lt;=240,2,1))))</x:f>
        <x:v>5</x:v>
      </x:c>
      <x:c r="N275" s="9" t="n">
        <x:f>IF(I275&gt;=6,5,IF(I275&gt;=4,4,IF(I275=3,3,IF(I275=2,2,1))))</x:f>
        <x:v>4</x:v>
      </x:c>
      <x:c r="O275" s="9" t="n">
        <x:f>IF(J275&gt;=500000,5,IF(J275&gt;=300000,4,IF(J275&gt;=175000,3,IF(J275&gt;=75000,2,1))))</x:f>
        <x:v>5</x:v>
      </x:c>
      <x:c r="P275" s="7" t="str">
        <x:f>M275&amp;N275&amp;O275</x:f>
        <x:v>545</x:v>
      </x:c>
      <x:c r="Q275" s="7" t="str">
        <x:f>IF(AND(L275&lt;=60,I275&gt;=5,J275&gt;=300000),"Champions",IF(AND(L275&lt;=120,I275&gt;=3),"Loyal Growth",IF(AND(L275&gt;180,J275&gt;=300000),"High Value At Risk",IF(DATE(2026,6,30)-G275&lt;=90,"New Accounts",IF(AND(L275&lt;=120,I275=1),"Promising",IF(L275&lt;=240,"Needs Nurture","Dormant"))))))</x:f>
        <x:v>Champions</x:v>
      </x:c>
      <x:c r="R275" s="7" t="str">
        <x:f>IF(DATE(2026,6,30)-G275&lt;=90,"New",IF(AND(L275&lt;=120,I275&gt;=2),"Active",IF(I275=1,"One-time",IF(L275&lt;=240,"At Risk","Lapsed"))))</x:f>
        <x:v>Active</x:v>
      </x:c>
      <x:c r="S275" s="15" t="str">
        <x:f>IF(Q275="Champions","Invite to advisory program and cross-sell service plans",IF(Q275="Loyal Growth","Prioritize expansion offer and product education",IF(Q275="High Value At Risk","Assign sales recovery outreach within 14 days",IF(Q275="New Accounts","Launch 90-day onboarding and adoption sequence",IF(Q275="Promising","Nurture second purchase with use-case content",IF(Q275="Needs Nurture","Run product-fit review and re-engagement sequence","Move to low-frequency win-back program"))))))</x:f>
        <x:v>Invite to advisory program and cross-sell service plans</x:v>
      </x:c>
      <x:c r="T275" s="1"/>
      <x:c r="U275" s="1"/>
      <x:c r="V275" s="1"/>
      <x:c r="W275" s="1"/>
      <x:c r="X275" s="1"/>
      <x:c r="Y275" s="1"/>
      <x:c r="Z275" s="1"/>
    </x:row>
    <x:row r="276">
      <x:c r="A276" s="7" t="str">
        <x:v>ACC-0275</x:v>
      </x:c>
      <x:c r="B276" s="7" t="str">
        <x:v>Northstar Products 275</x:v>
      </x:c>
      <x:c r="C276" s="7" t="str">
        <x:v>South</x:v>
      </x:c>
      <x:c r="D276" s="7" t="str">
        <x:v>Consumer Goods</x:v>
      </x:c>
      <x:c r="E276" s="7" t="str">
        <x:v>Small</x:v>
      </x:c>
      <x:c r="F276" s="7" t="str">
        <x:v>Email</x:v>
      </x:c>
      <x:c r="G276" s="8" t="n">
        <x:v>45938</x:v>
      </x:c>
      <x:c r="H276" s="8" t="n">
        <x:v>45938</x:v>
      </x:c>
      <x:c r="I276" s="9" t="n">
        <x:v>1</x:v>
      </x:c>
      <x:c r="J276" s="10" t="n">
        <x:v>94600</x:v>
      </x:c>
      <x:c r="K276" s="10" t="n">
        <x:f>J276/I276</x:f>
        <x:v>94600</x:v>
      </x:c>
      <x:c r="L276" s="9" t="n">
        <x:f>DATE(2026,6,30)-H276</x:f>
        <x:v>265</x:v>
      </x:c>
      <x:c r="M276" s="9" t="n">
        <x:f>IF(L276&lt;=60,5,IF(L276&lt;=120,4,IF(L276&lt;=180,3,IF(L276&lt;=240,2,1))))</x:f>
        <x:v>1</x:v>
      </x:c>
      <x:c r="N276" s="9" t="n">
        <x:f>IF(I276&gt;=6,5,IF(I276&gt;=4,4,IF(I276=3,3,IF(I276=2,2,1))))</x:f>
        <x:v>1</x:v>
      </x:c>
      <x:c r="O276" s="9" t="n">
        <x:f>IF(J276&gt;=500000,5,IF(J276&gt;=300000,4,IF(J276&gt;=175000,3,IF(J276&gt;=75000,2,1))))</x:f>
        <x:v>2</x:v>
      </x:c>
      <x:c r="P276" s="7" t="str">
        <x:f>M276&amp;N276&amp;O276</x:f>
        <x:v>112</x:v>
      </x:c>
      <x:c r="Q276" s="7" t="str">
        <x:f>IF(AND(L276&lt;=60,I276&gt;=5,J276&gt;=300000),"Champions",IF(AND(L276&lt;=120,I276&gt;=3),"Loyal Growth",IF(AND(L276&gt;180,J276&gt;=300000),"High Value At Risk",IF(DATE(2026,6,30)-G276&lt;=90,"New Accounts",IF(AND(L276&lt;=120,I276=1),"Promising",IF(L276&lt;=240,"Needs Nurture","Dormant"))))))</x:f>
        <x:v>Dormant</x:v>
      </x:c>
      <x:c r="R276" s="7" t="str">
        <x:f>IF(DATE(2026,6,30)-G276&lt;=90,"New",IF(AND(L276&lt;=120,I276&gt;=2),"Active",IF(I276=1,"One-time",IF(L276&lt;=240,"At Risk","Lapsed"))))</x:f>
        <x:v>One-time</x:v>
      </x:c>
      <x:c r="S276" s="15" t="str">
        <x:f>IF(Q276="Champions","Invite to advisory program and cross-sell service plans",IF(Q276="Loyal Growth","Prioritize expansion offer and product education",IF(Q276="High Value At Risk","Assign sales recovery outreach within 14 days",IF(Q276="New Accounts","Launch 90-day onboarding and adoption sequence",IF(Q276="Promising","Nurture second purchase with use-case content",IF(Q276="Needs Nurture","Run product-fit review and re-engagement sequence","Move to low-frequency win-back program"))))))</x:f>
        <x:v>Move to low-frequency win-back program</x:v>
      </x:c>
      <x:c r="T276" s="1"/>
      <x:c r="U276" s="1"/>
      <x:c r="V276" s="1"/>
      <x:c r="W276" s="1"/>
      <x:c r="X276" s="1"/>
      <x:c r="Y276" s="1"/>
      <x:c r="Z276" s="1"/>
    </x:row>
    <x:row r="277">
      <x:c r="A277" s="7" t="str">
        <x:v>ACC-0276</x:v>
      </x:c>
      <x:c r="B277" s="7" t="str">
        <x:v>BlueRiver Products 276</x:v>
      </x:c>
      <x:c r="C277" s="7" t="str">
        <x:v>West</x:v>
      </x:c>
      <x:c r="D277" s="7" t="str">
        <x:v>Consumer Goods</x:v>
      </x:c>
      <x:c r="E277" s="7" t="str">
        <x:v>Enterprise</x:v>
      </x:c>
      <x:c r="F277" s="7" t="str">
        <x:v>Trade Show</x:v>
      </x:c>
      <x:c r="G277" s="8" t="n">
        <x:v>45643</x:v>
      </x:c>
      <x:c r="H277" s="8" t="n">
        <x:v>46165</x:v>
      </x:c>
      <x:c r="I277" s="9" t="n">
        <x:v>5</x:v>
      </x:c>
      <x:c r="J277" s="10" t="n">
        <x:v>585700</x:v>
      </x:c>
      <x:c r="K277" s="10" t="n">
        <x:f>J277/I277</x:f>
        <x:v>117140</x:v>
      </x:c>
      <x:c r="L277" s="9" t="n">
        <x:f>DATE(2026,6,30)-H277</x:f>
        <x:v>38</x:v>
      </x:c>
      <x:c r="M277" s="9" t="n">
        <x:f>IF(L277&lt;=60,5,IF(L277&lt;=120,4,IF(L277&lt;=180,3,IF(L277&lt;=240,2,1))))</x:f>
        <x:v>5</x:v>
      </x:c>
      <x:c r="N277" s="9" t="n">
        <x:f>IF(I277&gt;=6,5,IF(I277&gt;=4,4,IF(I277=3,3,IF(I277=2,2,1))))</x:f>
        <x:v>4</x:v>
      </x:c>
      <x:c r="O277" s="9" t="n">
        <x:f>IF(J277&gt;=500000,5,IF(J277&gt;=300000,4,IF(J277&gt;=175000,3,IF(J277&gt;=75000,2,1))))</x:f>
        <x:v>5</x:v>
      </x:c>
      <x:c r="P277" s="7" t="str">
        <x:f>M277&amp;N277&amp;O277</x:f>
        <x:v>545</x:v>
      </x:c>
      <x:c r="Q277" s="7" t="str">
        <x:f>IF(AND(L277&lt;=60,I277&gt;=5,J277&gt;=300000),"Champions",IF(AND(L277&lt;=120,I277&gt;=3),"Loyal Growth",IF(AND(L277&gt;180,J277&gt;=300000),"High Value At Risk",IF(DATE(2026,6,30)-G277&lt;=90,"New Accounts",IF(AND(L277&lt;=120,I277=1),"Promising",IF(L277&lt;=240,"Needs Nurture","Dormant"))))))</x:f>
        <x:v>Champions</x:v>
      </x:c>
      <x:c r="R277" s="7" t="str">
        <x:f>IF(DATE(2026,6,30)-G277&lt;=90,"New",IF(AND(L277&lt;=120,I277&gt;=2),"Active",IF(I277=1,"One-time",IF(L277&lt;=240,"At Risk","Lapsed"))))</x:f>
        <x:v>Active</x:v>
      </x:c>
      <x:c r="S277" s="15" t="str">
        <x:f>IF(Q277="Champions","Invite to advisory program and cross-sell service plans",IF(Q277="Loyal Growth","Prioritize expansion offer and product education",IF(Q277="High Value At Risk","Assign sales recovery outreach within 14 days",IF(Q277="New Accounts","Launch 90-day onboarding and adoption sequence",IF(Q277="Promising","Nurture second purchase with use-case content",IF(Q277="Needs Nurture","Run product-fit review and re-engagement sequence","Move to low-frequency win-back program"))))))</x:f>
        <x:v>Invite to advisory program and cross-sell service plans</x:v>
      </x:c>
      <x:c r="T277" s="1"/>
      <x:c r="U277" s="1"/>
      <x:c r="V277" s="1"/>
      <x:c r="W277" s="1"/>
      <x:c r="X277" s="1"/>
      <x:c r="Y277" s="1"/>
      <x:c r="Z277" s="1"/>
    </x:row>
    <x:row r="278">
      <x:c r="A278" s="7" t="str">
        <x:v>ACC-0277</x:v>
      </x:c>
      <x:c r="B278" s="7" t="str">
        <x:v>BlueRiver Industries 277</x:v>
      </x:c>
      <x:c r="C278" s="7" t="str">
        <x:v>South</x:v>
      </x:c>
      <x:c r="D278" s="7" t="str">
        <x:v>Food &amp; Beverage</x:v>
      </x:c>
      <x:c r="E278" s="7" t="str">
        <x:v>Small</x:v>
      </x:c>
      <x:c r="F278" s="7" t="str">
        <x:v>LinkedIn</x:v>
      </x:c>
      <x:c r="G278" s="8" t="n">
        <x:v>46026</x:v>
      </x:c>
      <x:c r="H278" s="8" t="n">
        <x:v>46079</x:v>
      </x:c>
      <x:c r="I278" s="9" t="n">
        <x:v>2</x:v>
      </x:c>
      <x:c r="J278" s="10" t="n">
        <x:v>114600</x:v>
      </x:c>
      <x:c r="K278" s="10" t="n">
        <x:f>J278/I278</x:f>
        <x:v>57300</x:v>
      </x:c>
      <x:c r="L278" s="9" t="n">
        <x:f>DATE(2026,6,30)-H278</x:f>
        <x:v>124</x:v>
      </x:c>
      <x:c r="M278" s="9" t="n">
        <x:f>IF(L278&lt;=60,5,IF(L278&lt;=120,4,IF(L278&lt;=180,3,IF(L278&lt;=240,2,1))))</x:f>
        <x:v>3</x:v>
      </x:c>
      <x:c r="N278" s="9" t="n">
        <x:f>IF(I278&gt;=6,5,IF(I278&gt;=4,4,IF(I278=3,3,IF(I278=2,2,1))))</x:f>
        <x:v>2</x:v>
      </x:c>
      <x:c r="O278" s="9" t="n">
        <x:f>IF(J278&gt;=500000,5,IF(J278&gt;=300000,4,IF(J278&gt;=175000,3,IF(J278&gt;=75000,2,1))))</x:f>
        <x:v>2</x:v>
      </x:c>
      <x:c r="P278" s="7" t="str">
        <x:f>M278&amp;N278&amp;O278</x:f>
        <x:v>322</x:v>
      </x:c>
      <x:c r="Q278" s="7" t="str">
        <x:f>IF(AND(L278&lt;=60,I278&gt;=5,J278&gt;=300000),"Champions",IF(AND(L278&lt;=120,I278&gt;=3),"Loyal Growth",IF(AND(L278&gt;180,J278&gt;=300000),"High Value At Risk",IF(DATE(2026,6,30)-G278&lt;=90,"New Accounts",IF(AND(L278&lt;=120,I278=1),"Promising",IF(L278&lt;=240,"Needs Nurture","Dormant"))))))</x:f>
        <x:v>Needs Nurture</x:v>
      </x:c>
      <x:c r="R278" s="7" t="str">
        <x:f>IF(DATE(2026,6,30)-G278&lt;=90,"New",IF(AND(L278&lt;=120,I278&gt;=2),"Active",IF(I278=1,"One-time",IF(L278&lt;=240,"At Risk","Lapsed"))))</x:f>
        <x:v>At Risk</x:v>
      </x:c>
      <x:c r="S278" s="15" t="str">
        <x:f>IF(Q278="Champions","Invite to advisory program and cross-sell service plans",IF(Q278="Loyal Growth","Prioritize expansion offer and product education",IF(Q278="High Value At Risk","Assign sales recovery outreach within 14 days",IF(Q278="New Accounts","Launch 90-day onboarding and adoption sequence",IF(Q278="Promising","Nurture second purchase with use-case content",IF(Q278="Needs Nurture","Run product-fit review and re-engagement sequence","Move to low-frequency win-back program"))))))</x:f>
        <x:v>Run product-fit review and re-engagement sequence</x:v>
      </x:c>
      <x:c r="T278" s="1"/>
      <x:c r="U278" s="1"/>
      <x:c r="V278" s="1"/>
      <x:c r="W278" s="1"/>
      <x:c r="X278" s="1"/>
      <x:c r="Y278" s="1"/>
      <x:c r="Z278" s="1"/>
    </x:row>
    <x:row r="279">
      <x:c r="A279" s="7" t="str">
        <x:v>ACC-0278</x:v>
      </x:c>
      <x:c r="B279" s="7" t="str">
        <x:v>Crest Foods 278</x:v>
      </x:c>
      <x:c r="C279" s="7" t="str">
        <x:v>Midwest</x:v>
      </x:c>
      <x:c r="D279" s="7" t="str">
        <x:v>Contract Packaging</x:v>
      </x:c>
      <x:c r="E279" s="7" t="str">
        <x:v>Mid-market</x:v>
      </x:c>
      <x:c r="F279" s="7" t="str">
        <x:v>Google Search</x:v>
      </x:c>
      <x:c r="G279" s="8" t="n">
        <x:v>45294</x:v>
      </x:c>
      <x:c r="H279" s="8" t="n">
        <x:v>45916</x:v>
      </x:c>
      <x:c r="I279" s="9" t="n">
        <x:v>6</x:v>
      </x:c>
      <x:c r="J279" s="10" t="n">
        <x:v>716000</x:v>
      </x:c>
      <x:c r="K279" s="10" t="n">
        <x:f>J279/I279</x:f>
        <x:v>119333.33333333333</x:v>
      </x:c>
      <x:c r="L279" s="9" t="n">
        <x:f>DATE(2026,6,30)-H279</x:f>
        <x:v>287</x:v>
      </x:c>
      <x:c r="M279" s="9" t="n">
        <x:f>IF(L279&lt;=60,5,IF(L279&lt;=120,4,IF(L279&lt;=180,3,IF(L279&lt;=240,2,1))))</x:f>
        <x:v>1</x:v>
      </x:c>
      <x:c r="N279" s="9" t="n">
        <x:f>IF(I279&gt;=6,5,IF(I279&gt;=4,4,IF(I279=3,3,IF(I279=2,2,1))))</x:f>
        <x:v>5</x:v>
      </x:c>
      <x:c r="O279" s="9" t="n">
        <x:f>IF(J279&gt;=500000,5,IF(J279&gt;=300000,4,IF(J279&gt;=175000,3,IF(J279&gt;=75000,2,1))))</x:f>
        <x:v>5</x:v>
      </x:c>
      <x:c r="P279" s="7" t="str">
        <x:f>M279&amp;N279&amp;O279</x:f>
        <x:v>155</x:v>
      </x:c>
      <x:c r="Q279" s="7" t="str">
        <x:f>IF(AND(L279&lt;=60,I279&gt;=5,J279&gt;=300000),"Champions",IF(AND(L279&lt;=120,I279&gt;=3),"Loyal Growth",IF(AND(L279&gt;180,J279&gt;=300000),"High Value At Risk",IF(DATE(2026,6,30)-G279&lt;=90,"New Accounts",IF(AND(L279&lt;=120,I279=1),"Promising",IF(L279&lt;=240,"Needs Nurture","Dormant"))))))</x:f>
        <x:v>High Value At Risk</x:v>
      </x:c>
      <x:c r="R279" s="7" t="str">
        <x:f>IF(DATE(2026,6,30)-G279&lt;=90,"New",IF(AND(L279&lt;=120,I279&gt;=2),"Active",IF(I279=1,"One-time",IF(L279&lt;=240,"At Risk","Lapsed"))))</x:f>
        <x:v>Lapsed</x:v>
      </x:c>
      <x:c r="S279" s="15" t="str">
        <x:f>IF(Q279="Champions","Invite to advisory program and cross-sell service plans",IF(Q279="Loyal Growth","Prioritize expansion offer and product education",IF(Q279="High Value At Risk","Assign sales recovery outreach within 14 days",IF(Q279="New Accounts","Launch 90-day onboarding and adoption sequence",IF(Q279="Promising","Nurture second purchase with use-case content",IF(Q279="Needs Nurture","Run product-fit review and re-engagement sequence","Move to low-frequency win-back program"))))))</x:f>
        <x:v>Assign sales recovery outreach within 14 days</x:v>
      </x:c>
      <x:c r="T279" s="1"/>
      <x:c r="U279" s="1"/>
      <x:c r="V279" s="1"/>
      <x:c r="W279" s="1"/>
      <x:c r="X279" s="1"/>
      <x:c r="Y279" s="1"/>
      <x:c r="Z279" s="1"/>
    </x:row>
    <x:row r="280">
      <x:c r="A280" s="7" t="str">
        <x:v>ACC-0279</x:v>
      </x:c>
      <x:c r="B280" s="7" t="str">
        <x:v>Titan Solutions 279</x:v>
      </x:c>
      <x:c r="C280" s="7" t="str">
        <x:v>Midwest</x:v>
      </x:c>
      <x:c r="D280" s="7" t="str">
        <x:v>Pharmaceuticals</x:v>
      </x:c>
      <x:c r="E280" s="7" t="str">
        <x:v>Mid-market</x:v>
      </x:c>
      <x:c r="F280" s="7" t="str">
        <x:v>Google Search</x:v>
      </x:c>
      <x:c r="G280" s="8" t="n">
        <x:v>45788</x:v>
      </x:c>
      <x:c r="H280" s="8" t="n">
        <x:v>46091</x:v>
      </x:c>
      <x:c r="I280" s="9" t="n">
        <x:v>4</x:v>
      </x:c>
      <x:c r="J280" s="10" t="n">
        <x:v>476500</x:v>
      </x:c>
      <x:c r="K280" s="10" t="n">
        <x:f>J280/I280</x:f>
        <x:v>119125</x:v>
      </x:c>
      <x:c r="L280" s="9" t="n">
        <x:f>DATE(2026,6,30)-H280</x:f>
        <x:v>112</x:v>
      </x:c>
      <x:c r="M280" s="9" t="n">
        <x:f>IF(L280&lt;=60,5,IF(L280&lt;=120,4,IF(L280&lt;=180,3,IF(L280&lt;=240,2,1))))</x:f>
        <x:v>4</x:v>
      </x:c>
      <x:c r="N280" s="9" t="n">
        <x:f>IF(I280&gt;=6,5,IF(I280&gt;=4,4,IF(I280=3,3,IF(I280=2,2,1))))</x:f>
        <x:v>4</x:v>
      </x:c>
      <x:c r="O280" s="9" t="n">
        <x:f>IF(J280&gt;=500000,5,IF(J280&gt;=300000,4,IF(J280&gt;=175000,3,IF(J280&gt;=75000,2,1))))</x:f>
        <x:v>4</x:v>
      </x:c>
      <x:c r="P280" s="7" t="str">
        <x:f>M280&amp;N280&amp;O280</x:f>
        <x:v>444</x:v>
      </x:c>
      <x:c r="Q280" s="7" t="str">
        <x:f>IF(AND(L280&lt;=60,I280&gt;=5,J280&gt;=300000),"Champions",IF(AND(L280&lt;=120,I280&gt;=3),"Loyal Growth",IF(AND(L280&gt;180,J280&gt;=300000),"High Value At Risk",IF(DATE(2026,6,30)-G280&lt;=90,"New Accounts",IF(AND(L280&lt;=120,I280=1),"Promising",IF(L280&lt;=240,"Needs Nurture","Dormant"))))))</x:f>
        <x:v>Loyal Growth</x:v>
      </x:c>
      <x:c r="R280" s="7" t="str">
        <x:f>IF(DATE(2026,6,30)-G280&lt;=90,"New",IF(AND(L280&lt;=120,I280&gt;=2),"Active",IF(I280=1,"One-time",IF(L280&lt;=240,"At Risk","Lapsed"))))</x:f>
        <x:v>Active</x:v>
      </x:c>
      <x:c r="S280" s="15" t="str">
        <x:f>IF(Q280="Champions","Invite to advisory program and cross-sell service plans",IF(Q280="Loyal Growth","Prioritize expansion offer and product education",IF(Q280="High Value At Risk","Assign sales recovery outreach within 14 days",IF(Q280="New Accounts","Launch 90-day onboarding and adoption sequence",IF(Q280="Promising","Nurture second purchase with use-case content",IF(Q280="Needs Nurture","Run product-fit review and re-engagement sequence","Move to low-frequency win-back program"))))))</x:f>
        <x:v>Prioritize expansion offer and product education</x:v>
      </x:c>
      <x:c r="T280" s="1"/>
      <x:c r="U280" s="1"/>
      <x:c r="V280" s="1"/>
      <x:c r="W280" s="1"/>
      <x:c r="X280" s="1"/>
      <x:c r="Y280" s="1"/>
      <x:c r="Z280" s="1"/>
    </x:row>
    <x:row r="281">
      <x:c r="A281" s="7" t="str">
        <x:v>ACC-0280</x:v>
      </x:c>
      <x:c r="B281" s="7" t="str">
        <x:v>Vertex Solutions 280</x:v>
      </x:c>
      <x:c r="C281" s="7" t="str">
        <x:v>West</x:v>
      </x:c>
      <x:c r="D281" s="7" t="str">
        <x:v>Contract Packaging</x:v>
      </x:c>
      <x:c r="E281" s="7" t="str">
        <x:v>Mid-market</x:v>
      </x:c>
      <x:c r="F281" s="7" t="str">
        <x:v>LinkedIn</x:v>
      </x:c>
      <x:c r="G281" s="8" t="n">
        <x:v>45796</x:v>
      </x:c>
      <x:c r="H281" s="8" t="n">
        <x:v>46156</x:v>
      </x:c>
      <x:c r="I281" s="9" t="n">
        <x:v>4</x:v>
      </x:c>
      <x:c r="J281" s="10" t="n">
        <x:v>503200</x:v>
      </x:c>
      <x:c r="K281" s="10" t="n">
        <x:f>J281/I281</x:f>
        <x:v>125800</x:v>
      </x:c>
      <x:c r="L281" s="9" t="n">
        <x:f>DATE(2026,6,30)-H281</x:f>
        <x:v>47</x:v>
      </x:c>
      <x:c r="M281" s="9" t="n">
        <x:f>IF(L281&lt;=60,5,IF(L281&lt;=120,4,IF(L281&lt;=180,3,IF(L281&lt;=240,2,1))))</x:f>
        <x:v>5</x:v>
      </x:c>
      <x:c r="N281" s="9" t="n">
        <x:f>IF(I281&gt;=6,5,IF(I281&gt;=4,4,IF(I281=3,3,IF(I281=2,2,1))))</x:f>
        <x:v>4</x:v>
      </x:c>
      <x:c r="O281" s="9" t="n">
        <x:f>IF(J281&gt;=500000,5,IF(J281&gt;=300000,4,IF(J281&gt;=175000,3,IF(J281&gt;=75000,2,1))))</x:f>
        <x:v>5</x:v>
      </x:c>
      <x:c r="P281" s="7" t="str">
        <x:f>M281&amp;N281&amp;O281</x:f>
        <x:v>545</x:v>
      </x:c>
      <x:c r="Q281" s="7" t="str">
        <x:f>IF(AND(L281&lt;=60,I281&gt;=5,J281&gt;=300000),"Champions",IF(AND(L281&lt;=120,I281&gt;=3),"Loyal Growth",IF(AND(L281&gt;180,J281&gt;=300000),"High Value At Risk",IF(DATE(2026,6,30)-G281&lt;=90,"New Accounts",IF(AND(L281&lt;=120,I281=1),"Promising",IF(L281&lt;=240,"Needs Nurture","Dormant"))))))</x:f>
        <x:v>Loyal Growth</x:v>
      </x:c>
      <x:c r="R281" s="7" t="str">
        <x:f>IF(DATE(2026,6,30)-G281&lt;=90,"New",IF(AND(L281&lt;=120,I281&gt;=2),"Active",IF(I281=1,"One-time",IF(L281&lt;=240,"At Risk","Lapsed"))))</x:f>
        <x:v>Active</x:v>
      </x:c>
      <x:c r="S281" s="15" t="str">
        <x:f>IF(Q281="Champions","Invite to advisory program and cross-sell service plans",IF(Q281="Loyal Growth","Prioritize expansion offer and product education",IF(Q281="High Value At Risk","Assign sales recovery outreach within 14 days",IF(Q281="New Accounts","Launch 90-day onboarding and adoption sequence",IF(Q281="Promising","Nurture second purchase with use-case content",IF(Q281="Needs Nurture","Run product-fit review and re-engagement sequence","Move to low-frequency win-back program"))))))</x:f>
        <x:v>Prioritize expansion offer and product education</x:v>
      </x:c>
      <x:c r="T281" s="1"/>
      <x:c r="U281" s="1"/>
      <x:c r="V281" s="1"/>
      <x:c r="W281" s="1"/>
      <x:c r="X281" s="1"/>
      <x:c r="Y281" s="1"/>
      <x:c r="Z281" s="1"/>
    </x:row>
    <x:row r="282">
      <x:c r="A282" s="7" t="str">
        <x:v>ACC-0281</x:v>
      </x:c>
      <x:c r="B282" s="7" t="str">
        <x:v>Granite Packaging 281</x:v>
      </x:c>
      <x:c r="C282" s="7" t="str">
        <x:v>West</x:v>
      </x:c>
      <x:c r="D282" s="7" t="str">
        <x:v>Pharmaceuticals</x:v>
      </x:c>
      <x:c r="E282" s="7" t="str">
        <x:v>Small</x:v>
      </x:c>
      <x:c r="F282" s="7" t="str">
        <x:v>Google Search</x:v>
      </x:c>
      <x:c r="G282" s="8" t="n">
        <x:v>45800</x:v>
      </x:c>
      <x:c r="H282" s="8" t="n">
        <x:v>45800</x:v>
      </x:c>
      <x:c r="I282" s="9" t="n">
        <x:v>1</x:v>
      </x:c>
      <x:c r="J282" s="10" t="n">
        <x:v>146900</x:v>
      </x:c>
      <x:c r="K282" s="10" t="n">
        <x:f>J282/I282</x:f>
        <x:v>146900</x:v>
      </x:c>
      <x:c r="L282" s="9" t="n">
        <x:f>DATE(2026,6,30)-H282</x:f>
        <x:v>403</x:v>
      </x:c>
      <x:c r="M282" s="9" t="n">
        <x:f>IF(L282&lt;=60,5,IF(L282&lt;=120,4,IF(L282&lt;=180,3,IF(L282&lt;=240,2,1))))</x:f>
        <x:v>1</x:v>
      </x:c>
      <x:c r="N282" s="9" t="n">
        <x:f>IF(I282&gt;=6,5,IF(I282&gt;=4,4,IF(I282=3,3,IF(I282=2,2,1))))</x:f>
        <x:v>1</x:v>
      </x:c>
      <x:c r="O282" s="9" t="n">
        <x:f>IF(J282&gt;=500000,5,IF(J282&gt;=300000,4,IF(J282&gt;=175000,3,IF(J282&gt;=75000,2,1))))</x:f>
        <x:v>2</x:v>
      </x:c>
      <x:c r="P282" s="7" t="str">
        <x:f>M282&amp;N282&amp;O282</x:f>
        <x:v>112</x:v>
      </x:c>
      <x:c r="Q282" s="7" t="str">
        <x:f>IF(AND(L282&lt;=60,I282&gt;=5,J282&gt;=300000),"Champions",IF(AND(L282&lt;=120,I282&gt;=3),"Loyal Growth",IF(AND(L282&gt;180,J282&gt;=300000),"High Value At Risk",IF(DATE(2026,6,30)-G282&lt;=90,"New Accounts",IF(AND(L282&lt;=120,I282=1),"Promising",IF(L282&lt;=240,"Needs Nurture","Dormant"))))))</x:f>
        <x:v>Dormant</x:v>
      </x:c>
      <x:c r="R282" s="7" t="str">
        <x:f>IF(DATE(2026,6,30)-G282&lt;=90,"New",IF(AND(L282&lt;=120,I282&gt;=2),"Active",IF(I282=1,"One-time",IF(L282&lt;=240,"At Risk","Lapsed"))))</x:f>
        <x:v>One-time</x:v>
      </x:c>
      <x:c r="S282" s="15" t="str">
        <x:f>IF(Q282="Champions","Invite to advisory program and cross-sell service plans",IF(Q282="Loyal Growth","Prioritize expansion offer and product education",IF(Q282="High Value At Risk","Assign sales recovery outreach within 14 days",IF(Q282="New Accounts","Launch 90-day onboarding and adoption sequence",IF(Q282="Promising","Nurture second purchase with use-case content",IF(Q282="Needs Nurture","Run product-fit review and re-engagement sequence","Move to low-frequency win-back program"))))))</x:f>
        <x:v>Move to low-frequency win-back program</x:v>
      </x:c>
      <x:c r="T282" s="1"/>
      <x:c r="U282" s="1"/>
      <x:c r="V282" s="1"/>
      <x:c r="W282" s="1"/>
      <x:c r="X282" s="1"/>
      <x:c r="Y282" s="1"/>
      <x:c r="Z282" s="1"/>
    </x:row>
    <x:row r="283">
      <x:c r="A283" s="7" t="str">
        <x:v>ACC-0282</x:v>
      </x:c>
      <x:c r="B283" s="7" t="str">
        <x:v>Frontier Industries 282</x:v>
      </x:c>
      <x:c r="C283" s="7" t="str">
        <x:v>South</x:v>
      </x:c>
      <x:c r="D283" s="7" t="str">
        <x:v>Industrial Products</x:v>
      </x:c>
      <x:c r="E283" s="7" t="str">
        <x:v>Small</x:v>
      </x:c>
      <x:c r="F283" s="7" t="str">
        <x:v>Partner Referral</x:v>
      </x:c>
      <x:c r="G283" s="8" t="n">
        <x:v>45437</x:v>
      </x:c>
      <x:c r="H283" s="8" t="n">
        <x:v>45437</x:v>
      </x:c>
      <x:c r="I283" s="9" t="n">
        <x:v>1</x:v>
      </x:c>
      <x:c r="J283" s="10" t="n">
        <x:v>6800</x:v>
      </x:c>
      <x:c r="K283" s="10" t="n">
        <x:f>J283/I283</x:f>
        <x:v>6800</x:v>
      </x:c>
      <x:c r="L283" s="9" t="n">
        <x:f>DATE(2026,6,30)-H283</x:f>
        <x:v>766</x:v>
      </x:c>
      <x:c r="M283" s="9" t="n">
        <x:f>IF(L283&lt;=60,5,IF(L283&lt;=120,4,IF(L283&lt;=180,3,IF(L283&lt;=240,2,1))))</x:f>
        <x:v>1</x:v>
      </x:c>
      <x:c r="N283" s="9" t="n">
        <x:f>IF(I283&gt;=6,5,IF(I283&gt;=4,4,IF(I283=3,3,IF(I283=2,2,1))))</x:f>
        <x:v>1</x:v>
      </x:c>
      <x:c r="O283" s="9" t="n">
        <x:f>IF(J283&gt;=500000,5,IF(J283&gt;=300000,4,IF(J283&gt;=175000,3,IF(J283&gt;=75000,2,1))))</x:f>
        <x:v>1</x:v>
      </x:c>
      <x:c r="P283" s="7" t="str">
        <x:f>M283&amp;N283&amp;O283</x:f>
        <x:v>111</x:v>
      </x:c>
      <x:c r="Q283" s="7" t="str">
        <x:f>IF(AND(L283&lt;=60,I283&gt;=5,J283&gt;=300000),"Champions",IF(AND(L283&lt;=120,I283&gt;=3),"Loyal Growth",IF(AND(L283&gt;180,J283&gt;=300000),"High Value At Risk",IF(DATE(2026,6,30)-G283&lt;=90,"New Accounts",IF(AND(L283&lt;=120,I283=1),"Promising",IF(L283&lt;=240,"Needs Nurture","Dormant"))))))</x:f>
        <x:v>Dormant</x:v>
      </x:c>
      <x:c r="R283" s="7" t="str">
        <x:f>IF(DATE(2026,6,30)-G283&lt;=90,"New",IF(AND(L283&lt;=120,I283&gt;=2),"Active",IF(I283=1,"One-time",IF(L283&lt;=240,"At Risk","Lapsed"))))</x:f>
        <x:v>One-time</x:v>
      </x:c>
      <x:c r="S283" s="15" t="str">
        <x:f>IF(Q283="Champions","Invite to advisory program and cross-sell service plans",IF(Q283="Loyal Growth","Prioritize expansion offer and product education",IF(Q283="High Value At Risk","Assign sales recovery outreach within 14 days",IF(Q283="New Accounts","Launch 90-day onboarding and adoption sequence",IF(Q283="Promising","Nurture second purchase with use-case content",IF(Q283="Needs Nurture","Run product-fit review and re-engagement sequence","Move to low-frequency win-back program"))))))</x:f>
        <x:v>Move to low-frequency win-back program</x:v>
      </x:c>
      <x:c r="T283" s="1"/>
      <x:c r="U283" s="1"/>
      <x:c r="V283" s="1"/>
      <x:c r="W283" s="1"/>
      <x:c r="X283" s="1"/>
      <x:c r="Y283" s="1"/>
      <x:c r="Z283" s="1"/>
    </x:row>
    <x:row r="284">
      <x:c r="A284" s="7" t="str">
        <x:v>ACC-0283</x:v>
      </x:c>
      <x:c r="B284" s="7" t="str">
        <x:v>Frontier Foods 283</x:v>
      </x:c>
      <x:c r="C284" s="7" t="str">
        <x:v>Midwest</x:v>
      </x:c>
      <x:c r="D284" s="7" t="str">
        <x:v>Consumer Goods</x:v>
      </x:c>
      <x:c r="E284" s="7" t="str">
        <x:v>Small</x:v>
      </x:c>
      <x:c r="F284" s="7" t="str">
        <x:v>Email</x:v>
      </x:c>
      <x:c r="G284" s="8" t="n">
        <x:v>45361</x:v>
      </x:c>
      <x:c r="H284" s="8" t="n">
        <x:v>45361</x:v>
      </x:c>
      <x:c r="I284" s="9" t="n">
        <x:v>1</x:v>
      </x:c>
      <x:c r="J284" s="10" t="n">
        <x:v>73300</x:v>
      </x:c>
      <x:c r="K284" s="10" t="n">
        <x:f>J284/I284</x:f>
        <x:v>73300</x:v>
      </x:c>
      <x:c r="L284" s="9" t="n">
        <x:f>DATE(2026,6,30)-H284</x:f>
        <x:v>842</x:v>
      </x:c>
      <x:c r="M284" s="9" t="n">
        <x:f>IF(L284&lt;=60,5,IF(L284&lt;=120,4,IF(L284&lt;=180,3,IF(L284&lt;=240,2,1))))</x:f>
        <x:v>1</x:v>
      </x:c>
      <x:c r="N284" s="9" t="n">
        <x:f>IF(I284&gt;=6,5,IF(I284&gt;=4,4,IF(I284=3,3,IF(I284=2,2,1))))</x:f>
        <x:v>1</x:v>
      </x:c>
      <x:c r="O284" s="9" t="n">
        <x:f>IF(J284&gt;=500000,5,IF(J284&gt;=300000,4,IF(J284&gt;=175000,3,IF(J284&gt;=75000,2,1))))</x:f>
        <x:v>1</x:v>
      </x:c>
      <x:c r="P284" s="7" t="str">
        <x:f>M284&amp;N284&amp;O284</x:f>
        <x:v>111</x:v>
      </x:c>
      <x:c r="Q284" s="7" t="str">
        <x:f>IF(AND(L284&lt;=60,I284&gt;=5,J284&gt;=300000),"Champions",IF(AND(L284&lt;=120,I284&gt;=3),"Loyal Growth",IF(AND(L284&gt;180,J284&gt;=300000),"High Value At Risk",IF(DATE(2026,6,30)-G284&lt;=90,"New Accounts",IF(AND(L284&lt;=120,I284=1),"Promising",IF(L284&lt;=240,"Needs Nurture","Dormant"))))))</x:f>
        <x:v>Dormant</x:v>
      </x:c>
      <x:c r="R284" s="7" t="str">
        <x:f>IF(DATE(2026,6,30)-G284&lt;=90,"New",IF(AND(L284&lt;=120,I284&gt;=2),"Active",IF(I284=1,"One-time",IF(L284&lt;=240,"At Risk","Lapsed"))))</x:f>
        <x:v>One-time</x:v>
      </x:c>
      <x:c r="S284" s="15" t="str">
        <x:f>IF(Q284="Champions","Invite to advisory program and cross-sell service plans",IF(Q284="Loyal Growth","Prioritize expansion offer and product education",IF(Q284="High Value At Risk","Assign sales recovery outreach within 14 days",IF(Q284="New Accounts","Launch 90-day onboarding and adoption sequence",IF(Q284="Promising","Nurture second purchase with use-case content",IF(Q284="Needs Nurture","Run product-fit review and re-engagement sequence","Move to low-frequency win-back program"))))))</x:f>
        <x:v>Move to low-frequency win-back program</x:v>
      </x:c>
      <x:c r="T284" s="1"/>
      <x:c r="U284" s="1"/>
      <x:c r="V284" s="1"/>
      <x:c r="W284" s="1"/>
      <x:c r="X284" s="1"/>
      <x:c r="Y284" s="1"/>
      <x:c r="Z284" s="1"/>
    </x:row>
    <x:row r="285">
      <x:c r="A285" s="7" t="str">
        <x:v>ACC-0284</x:v>
      </x:c>
      <x:c r="B285" s="7" t="str">
        <x:v>Crest Packaging 284</x:v>
      </x:c>
      <x:c r="C285" s="7" t="str">
        <x:v>Midwest</x:v>
      </x:c>
      <x:c r="D285" s="7" t="str">
        <x:v>Food &amp; Beverage</x:v>
      </x:c>
      <x:c r="E285" s="7" t="str">
        <x:v>Enterprise</x:v>
      </x:c>
      <x:c r="F285" s="7" t="str">
        <x:v>Google Search</x:v>
      </x:c>
      <x:c r="G285" s="8" t="n">
        <x:v>45597</x:v>
      </x:c>
      <x:c r="H285" s="8" t="n">
        <x:v>46172</x:v>
      </x:c>
      <x:c r="I285" s="9" t="n">
        <x:v>6</x:v>
      </x:c>
      <x:c r="J285" s="10" t="n">
        <x:v>767100</x:v>
      </x:c>
      <x:c r="K285" s="10" t="n">
        <x:f>J285/I285</x:f>
        <x:v>127850</x:v>
      </x:c>
      <x:c r="L285" s="9" t="n">
        <x:f>DATE(2026,6,30)-H285</x:f>
        <x:v>31</x:v>
      </x:c>
      <x:c r="M285" s="9" t="n">
        <x:f>IF(L285&lt;=60,5,IF(L285&lt;=120,4,IF(L285&lt;=180,3,IF(L285&lt;=240,2,1))))</x:f>
        <x:v>5</x:v>
      </x:c>
      <x:c r="N285" s="9" t="n">
        <x:f>IF(I285&gt;=6,5,IF(I285&gt;=4,4,IF(I285=3,3,IF(I285=2,2,1))))</x:f>
        <x:v>5</x:v>
      </x:c>
      <x:c r="O285" s="9" t="n">
        <x:f>IF(J285&gt;=500000,5,IF(J285&gt;=300000,4,IF(J285&gt;=175000,3,IF(J285&gt;=75000,2,1))))</x:f>
        <x:v>5</x:v>
      </x:c>
      <x:c r="P285" s="7" t="str">
        <x:f>M285&amp;N285&amp;O285</x:f>
        <x:v>555</x:v>
      </x:c>
      <x:c r="Q285" s="7" t="str">
        <x:f>IF(AND(L285&lt;=60,I285&gt;=5,J285&gt;=300000),"Champions",IF(AND(L285&lt;=120,I285&gt;=3),"Loyal Growth",IF(AND(L285&gt;180,J285&gt;=300000),"High Value At Risk",IF(DATE(2026,6,30)-G285&lt;=90,"New Accounts",IF(AND(L285&lt;=120,I285=1),"Promising",IF(L285&lt;=240,"Needs Nurture","Dormant"))))))</x:f>
        <x:v>Champions</x:v>
      </x:c>
      <x:c r="R285" s="7" t="str">
        <x:f>IF(DATE(2026,6,30)-G285&lt;=90,"New",IF(AND(L285&lt;=120,I285&gt;=2),"Active",IF(I285=1,"One-time",IF(L285&lt;=240,"At Risk","Lapsed"))))</x:f>
        <x:v>Active</x:v>
      </x:c>
      <x:c r="S285" s="15" t="str">
        <x:f>IF(Q285="Champions","Invite to advisory program and cross-sell service plans",IF(Q285="Loyal Growth","Prioritize expansion offer and product education",IF(Q285="High Value At Risk","Assign sales recovery outreach within 14 days",IF(Q285="New Accounts","Launch 90-day onboarding and adoption sequence",IF(Q285="Promising","Nurture second purchase with use-case content",IF(Q285="Needs Nurture","Run product-fit review and re-engagement sequence","Move to low-frequency win-back program"))))))</x:f>
        <x:v>Invite to advisory program and cross-sell service plans</x:v>
      </x:c>
      <x:c r="T285" s="1"/>
      <x:c r="U285" s="1"/>
      <x:c r="V285" s="1"/>
      <x:c r="W285" s="1"/>
      <x:c r="X285" s="1"/>
      <x:c r="Y285" s="1"/>
      <x:c r="Z285" s="1"/>
    </x:row>
    <x:row r="286">
      <x:c r="A286" s="7" t="str">
        <x:v>ACC-0285</x:v>
      </x:c>
      <x:c r="B286" s="7" t="str">
        <x:v>Crest Labs 285</x:v>
      </x:c>
      <x:c r="C286" s="7" t="str">
        <x:v>West</x:v>
      </x:c>
      <x:c r="D286" s="7" t="str">
        <x:v>Consumer Goods</x:v>
      </x:c>
      <x:c r="E286" s="7" t="str">
        <x:v>Enterprise</x:v>
      </x:c>
      <x:c r="F286" s="7" t="str">
        <x:v>Partner Referral</x:v>
      </x:c>
      <x:c r="G286" s="8" t="n">
        <x:v>46082</x:v>
      </x:c>
      <x:c r="H286" s="8" t="n">
        <x:v>46122</x:v>
      </x:c>
      <x:c r="I286" s="9" t="n">
        <x:v>2</x:v>
      </x:c>
      <x:c r="J286" s="10" t="n">
        <x:v>222400</x:v>
      </x:c>
      <x:c r="K286" s="10" t="n">
        <x:f>J286/I286</x:f>
        <x:v>111200</x:v>
      </x:c>
      <x:c r="L286" s="9" t="n">
        <x:f>DATE(2026,6,30)-H286</x:f>
        <x:v>81</x:v>
      </x:c>
      <x:c r="M286" s="9" t="n">
        <x:f>IF(L286&lt;=60,5,IF(L286&lt;=120,4,IF(L286&lt;=180,3,IF(L286&lt;=240,2,1))))</x:f>
        <x:v>4</x:v>
      </x:c>
      <x:c r="N286" s="9" t="n">
        <x:f>IF(I286&gt;=6,5,IF(I286&gt;=4,4,IF(I286=3,3,IF(I286=2,2,1))))</x:f>
        <x:v>2</x:v>
      </x:c>
      <x:c r="O286" s="9" t="n">
        <x:f>IF(J286&gt;=500000,5,IF(J286&gt;=300000,4,IF(J286&gt;=175000,3,IF(J286&gt;=75000,2,1))))</x:f>
        <x:v>3</x:v>
      </x:c>
      <x:c r="P286" s="7" t="str">
        <x:f>M286&amp;N286&amp;O286</x:f>
        <x:v>423</x:v>
      </x:c>
      <x:c r="Q286" s="7" t="str">
        <x:f>IF(AND(L286&lt;=60,I286&gt;=5,J286&gt;=300000),"Champions",IF(AND(L286&lt;=120,I286&gt;=3),"Loyal Growth",IF(AND(L286&gt;180,J286&gt;=300000),"High Value At Risk",IF(DATE(2026,6,30)-G286&lt;=90,"New Accounts",IF(AND(L286&lt;=120,I286=1),"Promising",IF(L286&lt;=240,"Needs Nurture","Dormant"))))))</x:f>
        <x:v>Needs Nurture</x:v>
      </x:c>
      <x:c r="R286" s="7" t="str">
        <x:f>IF(DATE(2026,6,30)-G286&lt;=90,"New",IF(AND(L286&lt;=120,I286&gt;=2),"Active",IF(I286=1,"One-time",IF(L286&lt;=240,"At Risk","Lapsed"))))</x:f>
        <x:v>Active</x:v>
      </x:c>
      <x:c r="S286" s="15" t="str">
        <x:f>IF(Q286="Champions","Invite to advisory program and cross-sell service plans",IF(Q286="Loyal Growth","Prioritize expansion offer and product education",IF(Q286="High Value At Risk","Assign sales recovery outreach within 14 days",IF(Q286="New Accounts","Launch 90-day onboarding and adoption sequence",IF(Q286="Promising","Nurture second purchase with use-case content",IF(Q286="Needs Nurture","Run product-fit review and re-engagement sequence","Move to low-frequency win-back program"))))))</x:f>
        <x:v>Run product-fit review and re-engagement sequence</x:v>
      </x:c>
      <x:c r="T286" s="1"/>
      <x:c r="U286" s="1"/>
      <x:c r="V286" s="1"/>
      <x:c r="W286" s="1"/>
      <x:c r="X286" s="1"/>
      <x:c r="Y286" s="1"/>
      <x:c r="Z286" s="1"/>
    </x:row>
    <x:row r="287">
      <x:c r="A287" s="7" t="str">
        <x:v>ACC-0286</x:v>
      </x:c>
      <x:c r="B287" s="7" t="str">
        <x:v>Harbor Products 286</x:v>
      </x:c>
      <x:c r="C287" s="7" t="str">
        <x:v>South</x:v>
      </x:c>
      <x:c r="D287" s="7" t="str">
        <x:v>Consumer Goods</x:v>
      </x:c>
      <x:c r="E287" s="7" t="str">
        <x:v>Small</x:v>
      </x:c>
      <x:c r="F287" s="7" t="str">
        <x:v>Email</x:v>
      </x:c>
      <x:c r="G287" s="8" t="n">
        <x:v>46166</x:v>
      </x:c>
      <x:c r="H287" s="8" t="n">
        <x:v>46183</x:v>
      </x:c>
      <x:c r="I287" s="9" t="n">
        <x:v>2</x:v>
      </x:c>
      <x:c r="J287" s="10" t="n">
        <x:v>139100</x:v>
      </x:c>
      <x:c r="K287" s="10" t="n">
        <x:f>J287/I287</x:f>
        <x:v>69550</x:v>
      </x:c>
      <x:c r="L287" s="9" t="n">
        <x:f>DATE(2026,6,30)-H287</x:f>
        <x:v>20</x:v>
      </x:c>
      <x:c r="M287" s="9" t="n">
        <x:f>IF(L287&lt;=60,5,IF(L287&lt;=120,4,IF(L287&lt;=180,3,IF(L287&lt;=240,2,1))))</x:f>
        <x:v>5</x:v>
      </x:c>
      <x:c r="N287" s="9" t="n">
        <x:f>IF(I287&gt;=6,5,IF(I287&gt;=4,4,IF(I287=3,3,IF(I287=2,2,1))))</x:f>
        <x:v>2</x:v>
      </x:c>
      <x:c r="O287" s="9" t="n">
        <x:f>IF(J287&gt;=500000,5,IF(J287&gt;=300000,4,IF(J287&gt;=175000,3,IF(J287&gt;=75000,2,1))))</x:f>
        <x:v>2</x:v>
      </x:c>
      <x:c r="P287" s="7" t="str">
        <x:f>M287&amp;N287&amp;O287</x:f>
        <x:v>522</x:v>
      </x:c>
      <x:c r="Q287" s="7" t="str">
        <x:f>IF(AND(L287&lt;=60,I287&gt;=5,J287&gt;=300000),"Champions",IF(AND(L287&lt;=120,I287&gt;=3),"Loyal Growth",IF(AND(L287&gt;180,J287&gt;=300000),"High Value At Risk",IF(DATE(2026,6,30)-G287&lt;=90,"New Accounts",IF(AND(L287&lt;=120,I287=1),"Promising",IF(L287&lt;=240,"Needs Nurture","Dormant"))))))</x:f>
        <x:v>New Accounts</x:v>
      </x:c>
      <x:c r="R287" s="7" t="str">
        <x:f>IF(DATE(2026,6,30)-G287&lt;=90,"New",IF(AND(L287&lt;=120,I287&gt;=2),"Active",IF(I287=1,"One-time",IF(L287&lt;=240,"At Risk","Lapsed"))))</x:f>
        <x:v>New</x:v>
      </x:c>
      <x:c r="S287" s="15" t="str">
        <x:f>IF(Q287="Champions","Invite to advisory program and cross-sell service plans",IF(Q287="Loyal Growth","Prioritize expansion offer and product education",IF(Q287="High Value At Risk","Assign sales recovery outreach within 14 days",IF(Q287="New Accounts","Launch 90-day onboarding and adoption sequence",IF(Q287="Promising","Nurture second purchase with use-case content",IF(Q287="Needs Nurture","Run product-fit review and re-engagement sequence","Move to low-frequency win-back program"))))))</x:f>
        <x:v>Launch 90-day onboarding and adoption sequence</x:v>
      </x:c>
      <x:c r="T287" s="1"/>
      <x:c r="U287" s="1"/>
      <x:c r="V287" s="1"/>
      <x:c r="W287" s="1"/>
      <x:c r="X287" s="1"/>
      <x:c r="Y287" s="1"/>
      <x:c r="Z287" s="1"/>
    </x:row>
    <x:row r="288">
      <x:c r="A288" s="7" t="str">
        <x:v>ACC-0287</x:v>
      </x:c>
      <x:c r="B288" s="7" t="str">
        <x:v>Apex Packaging 287</x:v>
      </x:c>
      <x:c r="C288" s="7" t="str">
        <x:v>South</x:v>
      </x:c>
      <x:c r="D288" s="7" t="str">
        <x:v>Contract Packaging</x:v>
      </x:c>
      <x:c r="E288" s="7" t="str">
        <x:v>Small</x:v>
      </x:c>
      <x:c r="F288" s="7" t="str">
        <x:v>Trade Show</x:v>
      </x:c>
      <x:c r="G288" s="8" t="n">
        <x:v>45773</x:v>
      </x:c>
      <x:c r="H288" s="8" t="n">
        <x:v>46010</x:v>
      </x:c>
      <x:c r="I288" s="9" t="n">
        <x:v>4</x:v>
      </x:c>
      <x:c r="J288" s="10" t="n">
        <x:v>384600</x:v>
      </x:c>
      <x:c r="K288" s="10" t="n">
        <x:f>J288/I288</x:f>
        <x:v>96150</x:v>
      </x:c>
      <x:c r="L288" s="9" t="n">
        <x:f>DATE(2026,6,30)-H288</x:f>
        <x:v>193</x:v>
      </x:c>
      <x:c r="M288" s="9" t="n">
        <x:f>IF(L288&lt;=60,5,IF(L288&lt;=120,4,IF(L288&lt;=180,3,IF(L288&lt;=240,2,1))))</x:f>
        <x:v>2</x:v>
      </x:c>
      <x:c r="N288" s="9" t="n">
        <x:f>IF(I288&gt;=6,5,IF(I288&gt;=4,4,IF(I288=3,3,IF(I288=2,2,1))))</x:f>
        <x:v>4</x:v>
      </x:c>
      <x:c r="O288" s="9" t="n">
        <x:f>IF(J288&gt;=500000,5,IF(J288&gt;=300000,4,IF(J288&gt;=175000,3,IF(J288&gt;=75000,2,1))))</x:f>
        <x:v>4</x:v>
      </x:c>
      <x:c r="P288" s="7" t="str">
        <x:f>M288&amp;N288&amp;O288</x:f>
        <x:v>244</x:v>
      </x:c>
      <x:c r="Q288" s="7" t="str">
        <x:f>IF(AND(L288&lt;=60,I288&gt;=5,J288&gt;=300000),"Champions",IF(AND(L288&lt;=120,I288&gt;=3),"Loyal Growth",IF(AND(L288&gt;180,J288&gt;=300000),"High Value At Risk",IF(DATE(2026,6,30)-G288&lt;=90,"New Accounts",IF(AND(L288&lt;=120,I288=1),"Promising",IF(L288&lt;=240,"Needs Nurture","Dormant"))))))</x:f>
        <x:v>High Value At Risk</x:v>
      </x:c>
      <x:c r="R288" s="7" t="str">
        <x:f>IF(DATE(2026,6,30)-G288&lt;=90,"New",IF(AND(L288&lt;=120,I288&gt;=2),"Active",IF(I288=1,"One-time",IF(L288&lt;=240,"At Risk","Lapsed"))))</x:f>
        <x:v>At Risk</x:v>
      </x:c>
      <x:c r="S288" s="15" t="str">
        <x:f>IF(Q288="Champions","Invite to advisory program and cross-sell service plans",IF(Q288="Loyal Growth","Prioritize expansion offer and product education",IF(Q288="High Value At Risk","Assign sales recovery outreach within 14 days",IF(Q288="New Accounts","Launch 90-day onboarding and adoption sequence",IF(Q288="Promising","Nurture second purchase with use-case content",IF(Q288="Needs Nurture","Run product-fit review and re-engagement sequence","Move to low-frequency win-back program"))))))</x:f>
        <x:v>Assign sales recovery outreach within 14 days</x:v>
      </x:c>
      <x:c r="T288" s="1"/>
      <x:c r="U288" s="1"/>
      <x:c r="V288" s="1"/>
      <x:c r="W288" s="1"/>
      <x:c r="X288" s="1"/>
      <x:c r="Y288" s="1"/>
      <x:c r="Z288" s="1"/>
    </x:row>
    <x:row r="289">
      <x:c r="A289" s="7" t="str">
        <x:v>ACC-0288</x:v>
      </x:c>
      <x:c r="B289" s="7" t="str">
        <x:v>Harbor Labs 288</x:v>
      </x:c>
      <x:c r="C289" s="7" t="str">
        <x:v>South</x:v>
      </x:c>
      <x:c r="D289" s="7" t="str">
        <x:v>Pharmaceuticals</x:v>
      </x:c>
      <x:c r="E289" s="7" t="str">
        <x:v>Small</x:v>
      </x:c>
      <x:c r="F289" s="7" t="str">
        <x:v>Partner Referral</x:v>
      </x:c>
      <x:c r="G289" s="8" t="n">
        <x:v>45758</x:v>
      </x:c>
      <x:c r="H289" s="8" t="n">
        <x:v>46131</x:v>
      </x:c>
      <x:c r="I289" s="9" t="n">
        <x:v>4</x:v>
      </x:c>
      <x:c r="J289" s="10" t="n">
        <x:v>331800</x:v>
      </x:c>
      <x:c r="K289" s="10" t="n">
        <x:f>J289/I289</x:f>
        <x:v>82950</x:v>
      </x:c>
      <x:c r="L289" s="9" t="n">
        <x:f>DATE(2026,6,30)-H289</x:f>
        <x:v>72</x:v>
      </x:c>
      <x:c r="M289" s="9" t="n">
        <x:f>IF(L289&lt;=60,5,IF(L289&lt;=120,4,IF(L289&lt;=180,3,IF(L289&lt;=240,2,1))))</x:f>
        <x:v>4</x:v>
      </x:c>
      <x:c r="N289" s="9" t="n">
        <x:f>IF(I289&gt;=6,5,IF(I289&gt;=4,4,IF(I289=3,3,IF(I289=2,2,1))))</x:f>
        <x:v>4</x:v>
      </x:c>
      <x:c r="O289" s="9" t="n">
        <x:f>IF(J289&gt;=500000,5,IF(J289&gt;=300000,4,IF(J289&gt;=175000,3,IF(J289&gt;=75000,2,1))))</x:f>
        <x:v>4</x:v>
      </x:c>
      <x:c r="P289" s="7" t="str">
        <x:f>M289&amp;N289&amp;O289</x:f>
        <x:v>444</x:v>
      </x:c>
      <x:c r="Q289" s="7" t="str">
        <x:f>IF(AND(L289&lt;=60,I289&gt;=5,J289&gt;=300000),"Champions",IF(AND(L289&lt;=120,I289&gt;=3),"Loyal Growth",IF(AND(L289&gt;180,J289&gt;=300000),"High Value At Risk",IF(DATE(2026,6,30)-G289&lt;=90,"New Accounts",IF(AND(L289&lt;=120,I289=1),"Promising",IF(L289&lt;=240,"Needs Nurture","Dormant"))))))</x:f>
        <x:v>Loyal Growth</x:v>
      </x:c>
      <x:c r="R289" s="7" t="str">
        <x:f>IF(DATE(2026,6,30)-G289&lt;=90,"New",IF(AND(L289&lt;=120,I289&gt;=2),"Active",IF(I289=1,"One-time",IF(L289&lt;=240,"At Risk","Lapsed"))))</x:f>
        <x:v>Active</x:v>
      </x:c>
      <x:c r="S289" s="15" t="str">
        <x:f>IF(Q289="Champions","Invite to advisory program and cross-sell service plans",IF(Q289="Loyal Growth","Prioritize expansion offer and product education",IF(Q289="High Value At Risk","Assign sales recovery outreach within 14 days",IF(Q289="New Accounts","Launch 90-day onboarding and adoption sequence",IF(Q289="Promising","Nurture second purchase with use-case content",IF(Q289="Needs Nurture","Run product-fit review and re-engagement sequence","Move to low-frequency win-back program"))))))</x:f>
        <x:v>Prioritize expansion offer and product education</x:v>
      </x:c>
      <x:c r="T289" s="1"/>
      <x:c r="U289" s="1"/>
      <x:c r="V289" s="1"/>
      <x:c r="W289" s="1"/>
      <x:c r="X289" s="1"/>
      <x:c r="Y289" s="1"/>
      <x:c r="Z289" s="1"/>
    </x:row>
    <x:row r="290">
      <x:c r="A290" s="7" t="str">
        <x:v>ACC-0289</x:v>
      </x:c>
      <x:c r="B290" s="7" t="str">
        <x:v>Crest Solutions 289</x:v>
      </x:c>
      <x:c r="C290" s="7" t="str">
        <x:v>West</x:v>
      </x:c>
      <x:c r="D290" s="7" t="str">
        <x:v>Consumer Goods</x:v>
      </x:c>
      <x:c r="E290" s="7" t="str">
        <x:v>Mid-market</x:v>
      </x:c>
      <x:c r="F290" s="7" t="str">
        <x:v>Google Search</x:v>
      </x:c>
      <x:c r="G290" s="8" t="n">
        <x:v>45618</x:v>
      </x:c>
      <x:c r="H290" s="8" t="n">
        <x:v>46100</x:v>
      </x:c>
      <x:c r="I290" s="9" t="n">
        <x:v>2</x:v>
      </x:c>
      <x:c r="J290" s="10" t="n">
        <x:v>195800</x:v>
      </x:c>
      <x:c r="K290" s="10" t="n">
        <x:f>J290/I290</x:f>
        <x:v>97900</x:v>
      </x:c>
      <x:c r="L290" s="9" t="n">
        <x:f>DATE(2026,6,30)-H290</x:f>
        <x:v>103</x:v>
      </x:c>
      <x:c r="M290" s="9" t="n">
        <x:f>IF(L290&lt;=60,5,IF(L290&lt;=120,4,IF(L290&lt;=180,3,IF(L290&lt;=240,2,1))))</x:f>
        <x:v>4</x:v>
      </x:c>
      <x:c r="N290" s="9" t="n">
        <x:f>IF(I290&gt;=6,5,IF(I290&gt;=4,4,IF(I290=3,3,IF(I290=2,2,1))))</x:f>
        <x:v>2</x:v>
      </x:c>
      <x:c r="O290" s="9" t="n">
        <x:f>IF(J290&gt;=500000,5,IF(J290&gt;=300000,4,IF(J290&gt;=175000,3,IF(J290&gt;=75000,2,1))))</x:f>
        <x:v>3</x:v>
      </x:c>
      <x:c r="P290" s="7" t="str">
        <x:f>M290&amp;N290&amp;O290</x:f>
        <x:v>423</x:v>
      </x:c>
      <x:c r="Q290" s="7" t="str">
        <x:f>IF(AND(L290&lt;=60,I290&gt;=5,J290&gt;=300000),"Champions",IF(AND(L290&lt;=120,I290&gt;=3),"Loyal Growth",IF(AND(L290&gt;180,J290&gt;=300000),"High Value At Risk",IF(DATE(2026,6,30)-G290&lt;=90,"New Accounts",IF(AND(L290&lt;=120,I290=1),"Promising",IF(L290&lt;=240,"Needs Nurture","Dormant"))))))</x:f>
        <x:v>Needs Nurture</x:v>
      </x:c>
      <x:c r="R290" s="7" t="str">
        <x:f>IF(DATE(2026,6,30)-G290&lt;=90,"New",IF(AND(L290&lt;=120,I290&gt;=2),"Active",IF(I290=1,"One-time",IF(L290&lt;=240,"At Risk","Lapsed"))))</x:f>
        <x:v>Active</x:v>
      </x:c>
      <x:c r="S290" s="15" t="str">
        <x:f>IF(Q290="Champions","Invite to advisory program and cross-sell service plans",IF(Q290="Loyal Growth","Prioritize expansion offer and product education",IF(Q290="High Value At Risk","Assign sales recovery outreach within 14 days",IF(Q290="New Accounts","Launch 90-day onboarding and adoption sequence",IF(Q290="Promising","Nurture second purchase with use-case content",IF(Q290="Needs Nurture","Run product-fit review and re-engagement sequence","Move to low-frequency win-back program"))))))</x:f>
        <x:v>Run product-fit review and re-engagement sequence</x:v>
      </x:c>
      <x:c r="T290" s="1"/>
      <x:c r="U290" s="1"/>
      <x:c r="V290" s="1"/>
      <x:c r="W290" s="1"/>
      <x:c r="X290" s="1"/>
      <x:c r="Y290" s="1"/>
      <x:c r="Z290" s="1"/>
    </x:row>
    <x:row r="291">
      <x:c r="A291" s="7" t="str">
        <x:v>ACC-0290</x:v>
      </x:c>
      <x:c r="B291" s="7" t="str">
        <x:v>Meridian Industries 290</x:v>
      </x:c>
      <x:c r="C291" s="7" t="str">
        <x:v>South</x:v>
      </x:c>
      <x:c r="D291" s="7" t="str">
        <x:v>Food &amp; Beverage</x:v>
      </x:c>
      <x:c r="E291" s="7" t="str">
        <x:v>Small</x:v>
      </x:c>
      <x:c r="F291" s="7" t="str">
        <x:v>Email</x:v>
      </x:c>
      <x:c r="G291" s="8" t="n">
        <x:v>45972</x:v>
      </x:c>
      <x:c r="H291" s="8" t="n">
        <x:v>46181</x:v>
      </x:c>
      <x:c r="I291" s="9" t="n">
        <x:v>3</x:v>
      </x:c>
      <x:c r="J291" s="10" t="n">
        <x:v>274000</x:v>
      </x:c>
      <x:c r="K291" s="10" t="n">
        <x:f>J291/I291</x:f>
        <x:v>91333.33333333333</x:v>
      </x:c>
      <x:c r="L291" s="9" t="n">
        <x:f>DATE(2026,6,30)-H291</x:f>
        <x:v>22</x:v>
      </x:c>
      <x:c r="M291" s="9" t="n">
        <x:f>IF(L291&lt;=60,5,IF(L291&lt;=120,4,IF(L291&lt;=180,3,IF(L291&lt;=240,2,1))))</x:f>
        <x:v>5</x:v>
      </x:c>
      <x:c r="N291" s="9" t="n">
        <x:f>IF(I291&gt;=6,5,IF(I291&gt;=4,4,IF(I291=3,3,IF(I291=2,2,1))))</x:f>
        <x:v>3</x:v>
      </x:c>
      <x:c r="O291" s="9" t="n">
        <x:f>IF(J291&gt;=500000,5,IF(J291&gt;=300000,4,IF(J291&gt;=175000,3,IF(J291&gt;=75000,2,1))))</x:f>
        <x:v>3</x:v>
      </x:c>
      <x:c r="P291" s="7" t="str">
        <x:f>M291&amp;N291&amp;O291</x:f>
        <x:v>533</x:v>
      </x:c>
      <x:c r="Q291" s="7" t="str">
        <x:f>IF(AND(L291&lt;=60,I291&gt;=5,J291&gt;=300000),"Champions",IF(AND(L291&lt;=120,I291&gt;=3),"Loyal Growth",IF(AND(L291&gt;180,J291&gt;=300000),"High Value At Risk",IF(DATE(2026,6,30)-G291&lt;=90,"New Accounts",IF(AND(L291&lt;=120,I291=1),"Promising",IF(L291&lt;=240,"Needs Nurture","Dormant"))))))</x:f>
        <x:v>Loyal Growth</x:v>
      </x:c>
      <x:c r="R291" s="7" t="str">
        <x:f>IF(DATE(2026,6,30)-G291&lt;=90,"New",IF(AND(L291&lt;=120,I291&gt;=2),"Active",IF(I291=1,"One-time",IF(L291&lt;=240,"At Risk","Lapsed"))))</x:f>
        <x:v>Active</x:v>
      </x:c>
      <x:c r="S291" s="15" t="str">
        <x:f>IF(Q291="Champions","Invite to advisory program and cross-sell service plans",IF(Q291="Loyal Growth","Prioritize expansion offer and product education",IF(Q291="High Value At Risk","Assign sales recovery outreach within 14 days",IF(Q291="New Accounts","Launch 90-day onboarding and adoption sequence",IF(Q291="Promising","Nurture second purchase with use-case content",IF(Q291="Needs Nurture","Run product-fit review and re-engagement sequence","Move to low-frequency win-back program"))))))</x:f>
        <x:v>Prioritize expansion offer and product education</x:v>
      </x:c>
      <x:c r="T291" s="1"/>
      <x:c r="U291" s="1"/>
      <x:c r="V291" s="1"/>
      <x:c r="W291" s="1"/>
      <x:c r="X291" s="1"/>
      <x:c r="Y291" s="1"/>
      <x:c r="Z291" s="1"/>
    </x:row>
    <x:row r="292">
      <x:c r="A292" s="7" t="str">
        <x:v>ACC-0291</x:v>
      </x:c>
      <x:c r="B292" s="7" t="str">
        <x:v>Granite Packaging 291</x:v>
      </x:c>
      <x:c r="C292" s="7" t="str">
        <x:v>Northeast</x:v>
      </x:c>
      <x:c r="D292" s="7" t="str">
        <x:v>Food &amp; Beverage</x:v>
      </x:c>
      <x:c r="E292" s="7" t="str">
        <x:v>Small</x:v>
      </x:c>
      <x:c r="F292" s="7" t="str">
        <x:v>Trade Show</x:v>
      </x:c>
      <x:c r="G292" s="8" t="n">
        <x:v>45849</x:v>
      </x:c>
      <x:c r="H292" s="8" t="n">
        <x:v>45909</x:v>
      </x:c>
      <x:c r="I292" s="9" t="n">
        <x:v>2</x:v>
      </x:c>
      <x:c r="J292" s="10" t="n">
        <x:v>143900</x:v>
      </x:c>
      <x:c r="K292" s="10" t="n">
        <x:f>J292/I292</x:f>
        <x:v>71950</x:v>
      </x:c>
      <x:c r="L292" s="9" t="n">
        <x:f>DATE(2026,6,30)-H292</x:f>
        <x:v>294</x:v>
      </x:c>
      <x:c r="M292" s="9" t="n">
        <x:f>IF(L292&lt;=60,5,IF(L292&lt;=120,4,IF(L292&lt;=180,3,IF(L292&lt;=240,2,1))))</x:f>
        <x:v>1</x:v>
      </x:c>
      <x:c r="N292" s="9" t="n">
        <x:f>IF(I292&gt;=6,5,IF(I292&gt;=4,4,IF(I292=3,3,IF(I292=2,2,1))))</x:f>
        <x:v>2</x:v>
      </x:c>
      <x:c r="O292" s="9" t="n">
        <x:f>IF(J292&gt;=500000,5,IF(J292&gt;=300000,4,IF(J292&gt;=175000,3,IF(J292&gt;=75000,2,1))))</x:f>
        <x:v>2</x:v>
      </x:c>
      <x:c r="P292" s="7" t="str">
        <x:f>M292&amp;N292&amp;O292</x:f>
        <x:v>122</x:v>
      </x:c>
      <x:c r="Q292" s="7" t="str">
        <x:f>IF(AND(L292&lt;=60,I292&gt;=5,J292&gt;=300000),"Champions",IF(AND(L292&lt;=120,I292&gt;=3),"Loyal Growth",IF(AND(L292&gt;180,J292&gt;=300000),"High Value At Risk",IF(DATE(2026,6,30)-G292&lt;=90,"New Accounts",IF(AND(L292&lt;=120,I292=1),"Promising",IF(L292&lt;=240,"Needs Nurture","Dormant"))))))</x:f>
        <x:v>Dormant</x:v>
      </x:c>
      <x:c r="R292" s="7" t="str">
        <x:f>IF(DATE(2026,6,30)-G292&lt;=90,"New",IF(AND(L292&lt;=120,I292&gt;=2),"Active",IF(I292=1,"One-time",IF(L292&lt;=240,"At Risk","Lapsed"))))</x:f>
        <x:v>Lapsed</x:v>
      </x:c>
      <x:c r="S292" s="15" t="str">
        <x:f>IF(Q292="Champions","Invite to advisory program and cross-sell service plans",IF(Q292="Loyal Growth","Prioritize expansion offer and product education",IF(Q292="High Value At Risk","Assign sales recovery outreach within 14 days",IF(Q292="New Accounts","Launch 90-day onboarding and adoption sequence",IF(Q292="Promising","Nurture second purchase with use-case content",IF(Q292="Needs Nurture","Run product-fit review and re-engagement sequence","Move to low-frequency win-back program"))))))</x:f>
        <x:v>Move to low-frequency win-back program</x:v>
      </x:c>
      <x:c r="T292" s="1"/>
      <x:c r="U292" s="1"/>
      <x:c r="V292" s="1"/>
      <x:c r="W292" s="1"/>
      <x:c r="X292" s="1"/>
      <x:c r="Y292" s="1"/>
      <x:c r="Z292" s="1"/>
    </x:row>
    <x:row r="293">
      <x:c r="A293" s="7" t="str">
        <x:v>ACC-0292</x:v>
      </x:c>
      <x:c r="B293" s="7" t="str">
        <x:v>Pioneer Industries 292</x:v>
      </x:c>
      <x:c r="C293" s="7" t="str">
        <x:v>Midwest</x:v>
      </x:c>
      <x:c r="D293" s="7" t="str">
        <x:v>Contract Packaging</x:v>
      </x:c>
      <x:c r="E293" s="7" t="str">
        <x:v>Mid-market</x:v>
      </x:c>
      <x:c r="F293" s="7" t="str">
        <x:v>Google Search</x:v>
      </x:c>
      <x:c r="G293" s="8" t="n">
        <x:v>45789</x:v>
      </x:c>
      <x:c r="H293" s="8" t="n">
        <x:v>46147</x:v>
      </x:c>
      <x:c r="I293" s="9" t="n">
        <x:v>4</x:v>
      </x:c>
      <x:c r="J293" s="10" t="n">
        <x:v>593900</x:v>
      </x:c>
      <x:c r="K293" s="10" t="n">
        <x:f>J293/I293</x:f>
        <x:v>148475</x:v>
      </x:c>
      <x:c r="L293" s="9" t="n">
        <x:f>DATE(2026,6,30)-H293</x:f>
        <x:v>56</x:v>
      </x:c>
      <x:c r="M293" s="9" t="n">
        <x:f>IF(L293&lt;=60,5,IF(L293&lt;=120,4,IF(L293&lt;=180,3,IF(L293&lt;=240,2,1))))</x:f>
        <x:v>5</x:v>
      </x:c>
      <x:c r="N293" s="9" t="n">
        <x:f>IF(I293&gt;=6,5,IF(I293&gt;=4,4,IF(I293=3,3,IF(I293=2,2,1))))</x:f>
        <x:v>4</x:v>
      </x:c>
      <x:c r="O293" s="9" t="n">
        <x:f>IF(J293&gt;=500000,5,IF(J293&gt;=300000,4,IF(J293&gt;=175000,3,IF(J293&gt;=75000,2,1))))</x:f>
        <x:v>5</x:v>
      </x:c>
      <x:c r="P293" s="7" t="str">
        <x:f>M293&amp;N293&amp;O293</x:f>
        <x:v>545</x:v>
      </x:c>
      <x:c r="Q293" s="7" t="str">
        <x:f>IF(AND(L293&lt;=60,I293&gt;=5,J293&gt;=300000),"Champions",IF(AND(L293&lt;=120,I293&gt;=3),"Loyal Growth",IF(AND(L293&gt;180,J293&gt;=300000),"High Value At Risk",IF(DATE(2026,6,30)-G293&lt;=90,"New Accounts",IF(AND(L293&lt;=120,I293=1),"Promising",IF(L293&lt;=240,"Needs Nurture","Dormant"))))))</x:f>
        <x:v>Loyal Growth</x:v>
      </x:c>
      <x:c r="R293" s="7" t="str">
        <x:f>IF(DATE(2026,6,30)-G293&lt;=90,"New",IF(AND(L293&lt;=120,I293&gt;=2),"Active",IF(I293=1,"One-time",IF(L293&lt;=240,"At Risk","Lapsed"))))</x:f>
        <x:v>Active</x:v>
      </x:c>
      <x:c r="S293" s="15" t="str">
        <x:f>IF(Q293="Champions","Invite to advisory program and cross-sell service plans",IF(Q293="Loyal Growth","Prioritize expansion offer and product education",IF(Q293="High Value At Risk","Assign sales recovery outreach within 14 days",IF(Q293="New Accounts","Launch 90-day onboarding and adoption sequence",IF(Q293="Promising","Nurture second purchase with use-case content",IF(Q293="Needs Nurture","Run product-fit review and re-engagement sequence","Move to low-frequency win-back program"))))))</x:f>
        <x:v>Prioritize expansion offer and product education</x:v>
      </x:c>
      <x:c r="T293" s="1"/>
      <x:c r="U293" s="1"/>
      <x:c r="V293" s="1"/>
      <x:c r="W293" s="1"/>
      <x:c r="X293" s="1"/>
      <x:c r="Y293" s="1"/>
      <x:c r="Z293" s="1"/>
    </x:row>
    <x:row r="294">
      <x:c r="A294" s="7" t="str">
        <x:v>ACC-0293</x:v>
      </x:c>
      <x:c r="B294" s="7" t="str">
        <x:v>Northstar Labs 293</x:v>
      </x:c>
      <x:c r="C294" s="7" t="str">
        <x:v>South</x:v>
      </x:c>
      <x:c r="D294" s="7" t="str">
        <x:v>Consumer Goods</x:v>
      </x:c>
      <x:c r="E294" s="7" t="str">
        <x:v>Small</x:v>
      </x:c>
      <x:c r="F294" s="7" t="str">
        <x:v>Email</x:v>
      </x:c>
      <x:c r="G294" s="8" t="n">
        <x:v>45322</x:v>
      </x:c>
      <x:c r="H294" s="8" t="n">
        <x:v>45930</x:v>
      </x:c>
      <x:c r="I294" s="9" t="n">
        <x:v>3</x:v>
      </x:c>
      <x:c r="J294" s="10" t="n">
        <x:v>203600</x:v>
      </x:c>
      <x:c r="K294" s="10" t="n">
        <x:f>J294/I294</x:f>
        <x:v>67866.66666666667</x:v>
      </x:c>
      <x:c r="L294" s="9" t="n">
        <x:f>DATE(2026,6,30)-H294</x:f>
        <x:v>273</x:v>
      </x:c>
      <x:c r="M294" s="9" t="n">
        <x:f>IF(L294&lt;=60,5,IF(L294&lt;=120,4,IF(L294&lt;=180,3,IF(L294&lt;=240,2,1))))</x:f>
        <x:v>1</x:v>
      </x:c>
      <x:c r="N294" s="9" t="n">
        <x:f>IF(I294&gt;=6,5,IF(I294&gt;=4,4,IF(I294=3,3,IF(I294=2,2,1))))</x:f>
        <x:v>3</x:v>
      </x:c>
      <x:c r="O294" s="9" t="n">
        <x:f>IF(J294&gt;=500000,5,IF(J294&gt;=300000,4,IF(J294&gt;=175000,3,IF(J294&gt;=75000,2,1))))</x:f>
        <x:v>3</x:v>
      </x:c>
      <x:c r="P294" s="7" t="str">
        <x:f>M294&amp;N294&amp;O294</x:f>
        <x:v>133</x:v>
      </x:c>
      <x:c r="Q294" s="7" t="str">
        <x:f>IF(AND(L294&lt;=60,I294&gt;=5,J294&gt;=300000),"Champions",IF(AND(L294&lt;=120,I294&gt;=3),"Loyal Growth",IF(AND(L294&gt;180,J294&gt;=300000),"High Value At Risk",IF(DATE(2026,6,30)-G294&lt;=90,"New Accounts",IF(AND(L294&lt;=120,I294=1),"Promising",IF(L294&lt;=240,"Needs Nurture","Dormant"))))))</x:f>
        <x:v>Dormant</x:v>
      </x:c>
      <x:c r="R294" s="7" t="str">
        <x:f>IF(DATE(2026,6,30)-G294&lt;=90,"New",IF(AND(L294&lt;=120,I294&gt;=2),"Active",IF(I294=1,"One-time",IF(L294&lt;=240,"At Risk","Lapsed"))))</x:f>
        <x:v>Lapsed</x:v>
      </x:c>
      <x:c r="S294" s="15" t="str">
        <x:f>IF(Q294="Champions","Invite to advisory program and cross-sell service plans",IF(Q294="Loyal Growth","Prioritize expansion offer and product education",IF(Q294="High Value At Risk","Assign sales recovery outreach within 14 days",IF(Q294="New Accounts","Launch 90-day onboarding and adoption sequence",IF(Q294="Promising","Nurture second purchase with use-case content",IF(Q294="Needs Nurture","Run product-fit review and re-engagement sequence","Move to low-frequency win-back program"))))))</x:f>
        <x:v>Move to low-frequency win-back program</x:v>
      </x:c>
      <x:c r="T294" s="1"/>
      <x:c r="U294" s="1"/>
      <x:c r="V294" s="1"/>
      <x:c r="W294" s="1"/>
      <x:c r="X294" s="1"/>
      <x:c r="Y294" s="1"/>
      <x:c r="Z294" s="1"/>
    </x:row>
    <x:row r="295">
      <x:c r="A295" s="7" t="str">
        <x:v>ACC-0294</x:v>
      </x:c>
      <x:c r="B295" s="7" t="str">
        <x:v>Beacon Industries 294</x:v>
      </x:c>
      <x:c r="C295" s="7" t="str">
        <x:v>Northeast</x:v>
      </x:c>
      <x:c r="D295" s="7" t="str">
        <x:v>Industrial Products</x:v>
      </x:c>
      <x:c r="E295" s="7" t="str">
        <x:v>Small</x:v>
      </x:c>
      <x:c r="F295" s="7" t="str">
        <x:v>LinkedIn</x:v>
      </x:c>
      <x:c r="G295" s="8" t="n">
        <x:v>45331</x:v>
      </x:c>
      <x:c r="H295" s="8" t="n">
        <x:v>45756</x:v>
      </x:c>
      <x:c r="I295" s="9" t="n">
        <x:v>2</x:v>
      </x:c>
      <x:c r="J295" s="10" t="n">
        <x:v>259800</x:v>
      </x:c>
      <x:c r="K295" s="10" t="n">
        <x:f>J295/I295</x:f>
        <x:v>129900</x:v>
      </x:c>
      <x:c r="L295" s="9" t="n">
        <x:f>DATE(2026,6,30)-H295</x:f>
        <x:v>447</x:v>
      </x:c>
      <x:c r="M295" s="9" t="n">
        <x:f>IF(L295&lt;=60,5,IF(L295&lt;=120,4,IF(L295&lt;=180,3,IF(L295&lt;=240,2,1))))</x:f>
        <x:v>1</x:v>
      </x:c>
      <x:c r="N295" s="9" t="n">
        <x:f>IF(I295&gt;=6,5,IF(I295&gt;=4,4,IF(I295=3,3,IF(I295=2,2,1))))</x:f>
        <x:v>2</x:v>
      </x:c>
      <x:c r="O295" s="9" t="n">
        <x:f>IF(J295&gt;=500000,5,IF(J295&gt;=300000,4,IF(J295&gt;=175000,3,IF(J295&gt;=75000,2,1))))</x:f>
        <x:v>3</x:v>
      </x:c>
      <x:c r="P295" s="7" t="str">
        <x:f>M295&amp;N295&amp;O295</x:f>
        <x:v>123</x:v>
      </x:c>
      <x:c r="Q295" s="7" t="str">
        <x:f>IF(AND(L295&lt;=60,I295&gt;=5,J295&gt;=300000),"Champions",IF(AND(L295&lt;=120,I295&gt;=3),"Loyal Growth",IF(AND(L295&gt;180,J295&gt;=300000),"High Value At Risk",IF(DATE(2026,6,30)-G295&lt;=90,"New Accounts",IF(AND(L295&lt;=120,I295=1),"Promising",IF(L295&lt;=240,"Needs Nurture","Dormant"))))))</x:f>
        <x:v>Dormant</x:v>
      </x:c>
      <x:c r="R295" s="7" t="str">
        <x:f>IF(DATE(2026,6,30)-G295&lt;=90,"New",IF(AND(L295&lt;=120,I295&gt;=2),"Active",IF(I295=1,"One-time",IF(L295&lt;=240,"At Risk","Lapsed"))))</x:f>
        <x:v>Lapsed</x:v>
      </x:c>
      <x:c r="S295" s="15" t="str">
        <x:f>IF(Q295="Champions","Invite to advisory program and cross-sell service plans",IF(Q295="Loyal Growth","Prioritize expansion offer and product education",IF(Q295="High Value At Risk","Assign sales recovery outreach within 14 days",IF(Q295="New Accounts","Launch 90-day onboarding and adoption sequence",IF(Q295="Promising","Nurture second purchase with use-case content",IF(Q295="Needs Nurture","Run product-fit review and re-engagement sequence","Move to low-frequency win-back program"))))))</x:f>
        <x:v>Move to low-frequency win-back program</x:v>
      </x:c>
      <x:c r="T295" s="1"/>
      <x:c r="U295" s="1"/>
      <x:c r="V295" s="1"/>
      <x:c r="W295" s="1"/>
      <x:c r="X295" s="1"/>
      <x:c r="Y295" s="1"/>
      <x:c r="Z295" s="1"/>
    </x:row>
    <x:row r="296">
      <x:c r="A296" s="7" t="str">
        <x:v>ACC-0295</x:v>
      </x:c>
      <x:c r="B296" s="7" t="str">
        <x:v>Meridian Packaging 295</x:v>
      </x:c>
      <x:c r="C296" s="7" t="str">
        <x:v>South</x:v>
      </x:c>
      <x:c r="D296" s="7" t="str">
        <x:v>Consumer Goods</x:v>
      </x:c>
      <x:c r="E296" s="7" t="str">
        <x:v>Mid-market</x:v>
      </x:c>
      <x:c r="F296" s="7" t="str">
        <x:v>Partner Referral</x:v>
      </x:c>
      <x:c r="G296" s="8" t="n">
        <x:v>45567</x:v>
      </x:c>
      <x:c r="H296" s="8" t="n">
        <x:v>45986</x:v>
      </x:c>
      <x:c r="I296" s="9" t="n">
        <x:v>4</x:v>
      </x:c>
      <x:c r="J296" s="10" t="n">
        <x:v>208600</x:v>
      </x:c>
      <x:c r="K296" s="10" t="n">
        <x:f>J296/I296</x:f>
        <x:v>52150</x:v>
      </x:c>
      <x:c r="L296" s="9" t="n">
        <x:f>DATE(2026,6,30)-H296</x:f>
        <x:v>217</x:v>
      </x:c>
      <x:c r="M296" s="9" t="n">
        <x:f>IF(L296&lt;=60,5,IF(L296&lt;=120,4,IF(L296&lt;=180,3,IF(L296&lt;=240,2,1))))</x:f>
        <x:v>2</x:v>
      </x:c>
      <x:c r="N296" s="9" t="n">
        <x:f>IF(I296&gt;=6,5,IF(I296&gt;=4,4,IF(I296=3,3,IF(I296=2,2,1))))</x:f>
        <x:v>4</x:v>
      </x:c>
      <x:c r="O296" s="9" t="n">
        <x:f>IF(J296&gt;=500000,5,IF(J296&gt;=300000,4,IF(J296&gt;=175000,3,IF(J296&gt;=75000,2,1))))</x:f>
        <x:v>3</x:v>
      </x:c>
      <x:c r="P296" s="7" t="str">
        <x:f>M296&amp;N296&amp;O296</x:f>
        <x:v>243</x:v>
      </x:c>
      <x:c r="Q296" s="7" t="str">
        <x:f>IF(AND(L296&lt;=60,I296&gt;=5,J296&gt;=300000),"Champions",IF(AND(L296&lt;=120,I296&gt;=3),"Loyal Growth",IF(AND(L296&gt;180,J296&gt;=300000),"High Value At Risk",IF(DATE(2026,6,30)-G296&lt;=90,"New Accounts",IF(AND(L296&lt;=120,I296=1),"Promising",IF(L296&lt;=240,"Needs Nurture","Dormant"))))))</x:f>
        <x:v>Needs Nurture</x:v>
      </x:c>
      <x:c r="R296" s="7" t="str">
        <x:f>IF(DATE(2026,6,30)-G296&lt;=90,"New",IF(AND(L296&lt;=120,I296&gt;=2),"Active",IF(I296=1,"One-time",IF(L296&lt;=240,"At Risk","Lapsed"))))</x:f>
        <x:v>At Risk</x:v>
      </x:c>
      <x:c r="S296" s="15" t="str">
        <x:f>IF(Q296="Champions","Invite to advisory program and cross-sell service plans",IF(Q296="Loyal Growth","Prioritize expansion offer and product education",IF(Q296="High Value At Risk","Assign sales recovery outreach within 14 days",IF(Q296="New Accounts","Launch 90-day onboarding and adoption sequence",IF(Q296="Promising","Nurture second purchase with use-case content",IF(Q296="Needs Nurture","Run product-fit review and re-engagement sequence","Move to low-frequency win-back program"))))))</x:f>
        <x:v>Run product-fit review and re-engagement sequence</x:v>
      </x:c>
      <x:c r="T296" s="1"/>
      <x:c r="U296" s="1"/>
      <x:c r="V296" s="1"/>
      <x:c r="W296" s="1"/>
      <x:c r="X296" s="1"/>
      <x:c r="Y296" s="1"/>
      <x:c r="Z296" s="1"/>
    </x:row>
    <x:row r="297">
      <x:c r="A297" s="7" t="str">
        <x:v>ACC-0296</x:v>
      </x:c>
      <x:c r="B297" s="7" t="str">
        <x:v>Keystone Industries 296</x:v>
      </x:c>
      <x:c r="C297" s="7" t="str">
        <x:v>Northeast</x:v>
      </x:c>
      <x:c r="D297" s="7" t="str">
        <x:v>Contract Packaging</x:v>
      </x:c>
      <x:c r="E297" s="7" t="str">
        <x:v>Small</x:v>
      </x:c>
      <x:c r="F297" s="7" t="str">
        <x:v>Google Search</x:v>
      </x:c>
      <x:c r="G297" s="8" t="n">
        <x:v>45747</x:v>
      </x:c>
      <x:c r="H297" s="8" t="n">
        <x:v>45747</x:v>
      </x:c>
      <x:c r="I297" s="9" t="n">
        <x:v>1</x:v>
      </x:c>
      <x:c r="J297" s="10" t="n">
        <x:v>13100</x:v>
      </x:c>
      <x:c r="K297" s="10" t="n">
        <x:f>J297/I297</x:f>
        <x:v>13100</x:v>
      </x:c>
      <x:c r="L297" s="9" t="n">
        <x:f>DATE(2026,6,30)-H297</x:f>
        <x:v>456</x:v>
      </x:c>
      <x:c r="M297" s="9" t="n">
        <x:f>IF(L297&lt;=60,5,IF(L297&lt;=120,4,IF(L297&lt;=180,3,IF(L297&lt;=240,2,1))))</x:f>
        <x:v>1</x:v>
      </x:c>
      <x:c r="N297" s="9" t="n">
        <x:f>IF(I297&gt;=6,5,IF(I297&gt;=4,4,IF(I297=3,3,IF(I297=2,2,1))))</x:f>
        <x:v>1</x:v>
      </x:c>
      <x:c r="O297" s="9" t="n">
        <x:f>IF(J297&gt;=500000,5,IF(J297&gt;=300000,4,IF(J297&gt;=175000,3,IF(J297&gt;=75000,2,1))))</x:f>
        <x:v>1</x:v>
      </x:c>
      <x:c r="P297" s="7" t="str">
        <x:f>M297&amp;N297&amp;O297</x:f>
        <x:v>111</x:v>
      </x:c>
      <x:c r="Q297" s="7" t="str">
        <x:f>IF(AND(L297&lt;=60,I297&gt;=5,J297&gt;=300000),"Champions",IF(AND(L297&lt;=120,I297&gt;=3),"Loyal Growth",IF(AND(L297&gt;180,J297&gt;=300000),"High Value At Risk",IF(DATE(2026,6,30)-G297&lt;=90,"New Accounts",IF(AND(L297&lt;=120,I297=1),"Promising",IF(L297&lt;=240,"Needs Nurture","Dormant"))))))</x:f>
        <x:v>Dormant</x:v>
      </x:c>
      <x:c r="R297" s="7" t="str">
        <x:f>IF(DATE(2026,6,30)-G297&lt;=90,"New",IF(AND(L297&lt;=120,I297&gt;=2),"Active",IF(I297=1,"One-time",IF(L297&lt;=240,"At Risk","Lapsed"))))</x:f>
        <x:v>One-time</x:v>
      </x:c>
      <x:c r="S297" s="15" t="str">
        <x:f>IF(Q297="Champions","Invite to advisory program and cross-sell service plans",IF(Q297="Loyal Growth","Prioritize expansion offer and product education",IF(Q297="High Value At Risk","Assign sales recovery outreach within 14 days",IF(Q297="New Accounts","Launch 90-day onboarding and adoption sequence",IF(Q297="Promising","Nurture second purchase with use-case content",IF(Q297="Needs Nurture","Run product-fit review and re-engagement sequence","Move to low-frequency win-back program"))))))</x:f>
        <x:v>Move to low-frequency win-back program</x:v>
      </x:c>
      <x:c r="T297" s="1"/>
      <x:c r="U297" s="1"/>
      <x:c r="V297" s="1"/>
      <x:c r="W297" s="1"/>
      <x:c r="X297" s="1"/>
      <x:c r="Y297" s="1"/>
      <x:c r="Z297" s="1"/>
    </x:row>
    <x:row r="298">
      <x:c r="A298" s="7" t="str">
        <x:v>ACC-0297</x:v>
      </x:c>
      <x:c r="B298" s="7" t="str">
        <x:v>Beacon Foods 297</x:v>
      </x:c>
      <x:c r="C298" s="7" t="str">
        <x:v>South</x:v>
      </x:c>
      <x:c r="D298" s="7" t="str">
        <x:v>Industrial Products</x:v>
      </x:c>
      <x:c r="E298" s="7" t="str">
        <x:v>Enterprise</x:v>
      </x:c>
      <x:c r="F298" s="7" t="str">
        <x:v>LinkedIn</x:v>
      </x:c>
      <x:c r="G298" s="8" t="n">
        <x:v>45657</x:v>
      </x:c>
      <x:c r="H298" s="8" t="n">
        <x:v>46080</x:v>
      </x:c>
      <x:c r="I298" s="9" t="n">
        <x:v>8</x:v>
      </x:c>
      <x:c r="J298" s="10" t="n">
        <x:v>1067800</x:v>
      </x:c>
      <x:c r="K298" s="10" t="n">
        <x:f>J298/I298</x:f>
        <x:v>133475</x:v>
      </x:c>
      <x:c r="L298" s="9" t="n">
        <x:f>DATE(2026,6,30)-H298</x:f>
        <x:v>123</x:v>
      </x:c>
      <x:c r="M298" s="9" t="n">
        <x:f>IF(L298&lt;=60,5,IF(L298&lt;=120,4,IF(L298&lt;=180,3,IF(L298&lt;=240,2,1))))</x:f>
        <x:v>3</x:v>
      </x:c>
      <x:c r="N298" s="9" t="n">
        <x:f>IF(I298&gt;=6,5,IF(I298&gt;=4,4,IF(I298=3,3,IF(I298=2,2,1))))</x:f>
        <x:v>5</x:v>
      </x:c>
      <x:c r="O298" s="9" t="n">
        <x:f>IF(J298&gt;=500000,5,IF(J298&gt;=300000,4,IF(J298&gt;=175000,3,IF(J298&gt;=75000,2,1))))</x:f>
        <x:v>5</x:v>
      </x:c>
      <x:c r="P298" s="7" t="str">
        <x:f>M298&amp;N298&amp;O298</x:f>
        <x:v>355</x:v>
      </x:c>
      <x:c r="Q298" s="7" t="str">
        <x:f>IF(AND(L298&lt;=60,I298&gt;=5,J298&gt;=300000),"Champions",IF(AND(L298&lt;=120,I298&gt;=3),"Loyal Growth",IF(AND(L298&gt;180,J298&gt;=300000),"High Value At Risk",IF(DATE(2026,6,30)-G298&lt;=90,"New Accounts",IF(AND(L298&lt;=120,I298=1),"Promising",IF(L298&lt;=240,"Needs Nurture","Dormant"))))))</x:f>
        <x:v>Needs Nurture</x:v>
      </x:c>
      <x:c r="R298" s="7" t="str">
        <x:f>IF(DATE(2026,6,30)-G298&lt;=90,"New",IF(AND(L298&lt;=120,I298&gt;=2),"Active",IF(I298=1,"One-time",IF(L298&lt;=240,"At Risk","Lapsed"))))</x:f>
        <x:v>At Risk</x:v>
      </x:c>
      <x:c r="S298" s="15" t="str">
        <x:f>IF(Q298="Champions","Invite to advisory program and cross-sell service plans",IF(Q298="Loyal Growth","Prioritize expansion offer and product education",IF(Q298="High Value At Risk","Assign sales recovery outreach within 14 days",IF(Q298="New Accounts","Launch 90-day onboarding and adoption sequence",IF(Q298="Promising","Nurture second purchase with use-case content",IF(Q298="Needs Nurture","Run product-fit review and re-engagement sequence","Move to low-frequency win-back program"))))))</x:f>
        <x:v>Run product-fit review and re-engagement sequence</x:v>
      </x:c>
      <x:c r="T298" s="1"/>
      <x:c r="U298" s="1"/>
      <x:c r="V298" s="1"/>
      <x:c r="W298" s="1"/>
      <x:c r="X298" s="1"/>
      <x:c r="Y298" s="1"/>
      <x:c r="Z298" s="1"/>
    </x:row>
    <x:row r="299">
      <x:c r="A299" s="7" t="str">
        <x:v>ACC-0298</x:v>
      </x:c>
      <x:c r="B299" s="7" t="str">
        <x:v>Apex Solutions 298</x:v>
      </x:c>
      <x:c r="C299" s="7" t="str">
        <x:v>Northeast</x:v>
      </x:c>
      <x:c r="D299" s="7" t="str">
        <x:v>Pharmaceuticals</x:v>
      </x:c>
      <x:c r="E299" s="7" t="str">
        <x:v>Mid-market</x:v>
      </x:c>
      <x:c r="F299" s="7" t="str">
        <x:v>LinkedIn</x:v>
      </x:c>
      <x:c r="G299" s="8" t="n">
        <x:v>45724</x:v>
      </x:c>
      <x:c r="H299" s="8" t="n">
        <x:v>46191</x:v>
      </x:c>
      <x:c r="I299" s="9" t="n">
        <x:v>6</x:v>
      </x:c>
      <x:c r="J299" s="10" t="n">
        <x:v>472000</x:v>
      </x:c>
      <x:c r="K299" s="10" t="n">
        <x:f>J299/I299</x:f>
        <x:v>78666.66666666667</x:v>
      </x:c>
      <x:c r="L299" s="9" t="n">
        <x:f>DATE(2026,6,30)-H299</x:f>
        <x:v>12</x:v>
      </x:c>
      <x:c r="M299" s="9" t="n">
        <x:f>IF(L299&lt;=60,5,IF(L299&lt;=120,4,IF(L299&lt;=180,3,IF(L299&lt;=240,2,1))))</x:f>
        <x:v>5</x:v>
      </x:c>
      <x:c r="N299" s="9" t="n">
        <x:f>IF(I299&gt;=6,5,IF(I299&gt;=4,4,IF(I299=3,3,IF(I299=2,2,1))))</x:f>
        <x:v>5</x:v>
      </x:c>
      <x:c r="O299" s="9" t="n">
        <x:f>IF(J299&gt;=500000,5,IF(J299&gt;=300000,4,IF(J299&gt;=175000,3,IF(J299&gt;=75000,2,1))))</x:f>
        <x:v>4</x:v>
      </x:c>
      <x:c r="P299" s="7" t="str">
        <x:f>M299&amp;N299&amp;O299</x:f>
        <x:v>554</x:v>
      </x:c>
      <x:c r="Q299" s="7" t="str">
        <x:f>IF(AND(L299&lt;=60,I299&gt;=5,J299&gt;=300000),"Champions",IF(AND(L299&lt;=120,I299&gt;=3),"Loyal Growth",IF(AND(L299&gt;180,J299&gt;=300000),"High Value At Risk",IF(DATE(2026,6,30)-G299&lt;=90,"New Accounts",IF(AND(L299&lt;=120,I299=1),"Promising",IF(L299&lt;=240,"Needs Nurture","Dormant"))))))</x:f>
        <x:v>Champions</x:v>
      </x:c>
      <x:c r="R299" s="7" t="str">
        <x:f>IF(DATE(2026,6,30)-G299&lt;=90,"New",IF(AND(L299&lt;=120,I299&gt;=2),"Active",IF(I299=1,"One-time",IF(L299&lt;=240,"At Risk","Lapsed"))))</x:f>
        <x:v>Active</x:v>
      </x:c>
      <x:c r="S299" s="15" t="str">
        <x:f>IF(Q299="Champions","Invite to advisory program and cross-sell service plans",IF(Q299="Loyal Growth","Prioritize expansion offer and product education",IF(Q299="High Value At Risk","Assign sales recovery outreach within 14 days",IF(Q299="New Accounts","Launch 90-day onboarding and adoption sequence",IF(Q299="Promising","Nurture second purchase with use-case content",IF(Q299="Needs Nurture","Run product-fit review and re-engagement sequence","Move to low-frequency win-back program"))))))</x:f>
        <x:v>Invite to advisory program and cross-sell service plans</x:v>
      </x:c>
      <x:c r="T299" s="1"/>
      <x:c r="U299" s="1"/>
      <x:c r="V299" s="1"/>
      <x:c r="W299" s="1"/>
      <x:c r="X299" s="1"/>
      <x:c r="Y299" s="1"/>
      <x:c r="Z299" s="1"/>
    </x:row>
    <x:row r="300">
      <x:c r="A300" s="7" t="str">
        <x:v>ACC-0299</x:v>
      </x:c>
      <x:c r="B300" s="7" t="str">
        <x:v>Keystone Products 299</x:v>
      </x:c>
      <x:c r="C300" s="7" t="str">
        <x:v>South</x:v>
      </x:c>
      <x:c r="D300" s="7" t="str">
        <x:v>Pharmaceuticals</x:v>
      </x:c>
      <x:c r="E300" s="7" t="str">
        <x:v>Small</x:v>
      </x:c>
      <x:c r="F300" s="7" t="str">
        <x:v>LinkedIn</x:v>
      </x:c>
      <x:c r="G300" s="8" t="n">
        <x:v>45362</x:v>
      </x:c>
      <x:c r="H300" s="8" t="n">
        <x:v>45963</x:v>
      </x:c>
      <x:c r="I300" s="9" t="n">
        <x:v>3</x:v>
      </x:c>
      <x:c r="J300" s="10" t="n">
        <x:v>248800</x:v>
      </x:c>
      <x:c r="K300" s="10" t="n">
        <x:f>J300/I300</x:f>
        <x:v>82933.33333333333</x:v>
      </x:c>
      <x:c r="L300" s="9" t="n">
        <x:f>DATE(2026,6,30)-H300</x:f>
        <x:v>240</x:v>
      </x:c>
      <x:c r="M300" s="9" t="n">
        <x:f>IF(L300&lt;=60,5,IF(L300&lt;=120,4,IF(L300&lt;=180,3,IF(L300&lt;=240,2,1))))</x:f>
        <x:v>2</x:v>
      </x:c>
      <x:c r="N300" s="9" t="n">
        <x:f>IF(I300&gt;=6,5,IF(I300&gt;=4,4,IF(I300=3,3,IF(I300=2,2,1))))</x:f>
        <x:v>3</x:v>
      </x:c>
      <x:c r="O300" s="9" t="n">
        <x:f>IF(J300&gt;=500000,5,IF(J300&gt;=300000,4,IF(J300&gt;=175000,3,IF(J300&gt;=75000,2,1))))</x:f>
        <x:v>3</x:v>
      </x:c>
      <x:c r="P300" s="7" t="str">
        <x:f>M300&amp;N300&amp;O300</x:f>
        <x:v>233</x:v>
      </x:c>
      <x:c r="Q300" s="7" t="str">
        <x:f>IF(AND(L300&lt;=60,I300&gt;=5,J300&gt;=300000),"Champions",IF(AND(L300&lt;=120,I300&gt;=3),"Loyal Growth",IF(AND(L300&gt;180,J300&gt;=300000),"High Value At Risk",IF(DATE(2026,6,30)-G300&lt;=90,"New Accounts",IF(AND(L300&lt;=120,I300=1),"Promising",IF(L300&lt;=240,"Needs Nurture","Dormant"))))))</x:f>
        <x:v>Needs Nurture</x:v>
      </x:c>
      <x:c r="R300" s="7" t="str">
        <x:f>IF(DATE(2026,6,30)-G300&lt;=90,"New",IF(AND(L300&lt;=120,I300&gt;=2),"Active",IF(I300=1,"One-time",IF(L300&lt;=240,"At Risk","Lapsed"))))</x:f>
        <x:v>At Risk</x:v>
      </x:c>
      <x:c r="S300" s="15" t="str">
        <x:f>IF(Q300="Champions","Invite to advisory program and cross-sell service plans",IF(Q300="Loyal Growth","Prioritize expansion offer and product education",IF(Q300="High Value At Risk","Assign sales recovery outreach within 14 days",IF(Q300="New Accounts","Launch 90-day onboarding and adoption sequence",IF(Q300="Promising","Nurture second purchase with use-case content",IF(Q300="Needs Nurture","Run product-fit review and re-engagement sequence","Move to low-frequency win-back program"))))))</x:f>
        <x:v>Run product-fit review and re-engagement sequence</x:v>
      </x:c>
      <x:c r="T300" s="1"/>
      <x:c r="U300" s="1"/>
      <x:c r="V300" s="1"/>
      <x:c r="W300" s="1"/>
      <x:c r="X300" s="1"/>
      <x:c r="Y300" s="1"/>
      <x:c r="Z300" s="1"/>
    </x:row>
    <x:row r="301">
      <x:c r="A301" s="7" t="str">
        <x:v>ACC-0300</x:v>
      </x:c>
      <x:c r="B301" s="7" t="str">
        <x:v>Vertex Labs 300</x:v>
      </x:c>
      <x:c r="C301" s="7" t="str">
        <x:v>South</x:v>
      </x:c>
      <x:c r="D301" s="7" t="str">
        <x:v>Consumer Goods</x:v>
      </x:c>
      <x:c r="E301" s="7" t="str">
        <x:v>Enterprise</x:v>
      </x:c>
      <x:c r="F301" s="7" t="str">
        <x:v>Trade Show</x:v>
      </x:c>
      <x:c r="G301" s="8" t="n">
        <x:v>45763</x:v>
      </x:c>
      <x:c r="H301" s="8" t="n">
        <x:v>46184</x:v>
      </x:c>
      <x:c r="I301" s="9" t="n">
        <x:v>4</x:v>
      </x:c>
      <x:c r="J301" s="10" t="n">
        <x:v>491100</x:v>
      </x:c>
      <x:c r="K301" s="10" t="n">
        <x:f>J301/I301</x:f>
        <x:v>122775</x:v>
      </x:c>
      <x:c r="L301" s="9" t="n">
        <x:f>DATE(2026,6,30)-H301</x:f>
        <x:v>19</x:v>
      </x:c>
      <x:c r="M301" s="9" t="n">
        <x:f>IF(L301&lt;=60,5,IF(L301&lt;=120,4,IF(L301&lt;=180,3,IF(L301&lt;=240,2,1))))</x:f>
        <x:v>5</x:v>
      </x:c>
      <x:c r="N301" s="9" t="n">
        <x:f>IF(I301&gt;=6,5,IF(I301&gt;=4,4,IF(I301=3,3,IF(I301=2,2,1))))</x:f>
        <x:v>4</x:v>
      </x:c>
      <x:c r="O301" s="9" t="n">
        <x:f>IF(J301&gt;=500000,5,IF(J301&gt;=300000,4,IF(J301&gt;=175000,3,IF(J301&gt;=75000,2,1))))</x:f>
        <x:v>4</x:v>
      </x:c>
      <x:c r="P301" s="7" t="str">
        <x:f>M301&amp;N301&amp;O301</x:f>
        <x:v>544</x:v>
      </x:c>
      <x:c r="Q301" s="7" t="str">
        <x:f>IF(AND(L301&lt;=60,I301&gt;=5,J301&gt;=300000),"Champions",IF(AND(L301&lt;=120,I301&gt;=3),"Loyal Growth",IF(AND(L301&gt;180,J301&gt;=300000),"High Value At Risk",IF(DATE(2026,6,30)-G301&lt;=90,"New Accounts",IF(AND(L301&lt;=120,I301=1),"Promising",IF(L301&lt;=240,"Needs Nurture","Dormant"))))))</x:f>
        <x:v>Loyal Growth</x:v>
      </x:c>
      <x:c r="R301" s="7" t="str">
        <x:f>IF(DATE(2026,6,30)-G301&lt;=90,"New",IF(AND(L301&lt;=120,I301&gt;=2),"Active",IF(I301=1,"One-time",IF(L301&lt;=240,"At Risk","Lapsed"))))</x:f>
        <x:v>Active</x:v>
      </x:c>
      <x:c r="S301" s="15" t="str">
        <x:f>IF(Q301="Champions","Invite to advisory program and cross-sell service plans",IF(Q301="Loyal Growth","Prioritize expansion offer and product education",IF(Q301="High Value At Risk","Assign sales recovery outreach within 14 days",IF(Q301="New Accounts","Launch 90-day onboarding and adoption sequence",IF(Q301="Promising","Nurture second purchase with use-case content",IF(Q301="Needs Nurture","Run product-fit review and re-engagement sequence","Move to low-frequency win-back program"))))))</x:f>
        <x:v>Prioritize expansion offer and product education</x:v>
      </x:c>
      <x:c r="T301" s="1"/>
      <x:c r="U301" s="1"/>
      <x:c r="V301" s="1"/>
      <x:c r="W301" s="1"/>
      <x:c r="X301" s="1"/>
      <x:c r="Y301" s="1"/>
      <x:c r="Z301" s="1"/>
    </x:row>
    <x:row r="302">
      <x:c r="A302" s="7" t="str">
        <x:v>ACC-0301</x:v>
      </x:c>
      <x:c r="B302" s="7" t="str">
        <x:v>Pioneer Solutions 301</x:v>
      </x:c>
      <x:c r="C302" s="7" t="str">
        <x:v>West</x:v>
      </x:c>
      <x:c r="D302" s="7" t="str">
        <x:v>Food &amp; Beverage</x:v>
      </x:c>
      <x:c r="E302" s="7" t="str">
        <x:v>Enterprise</x:v>
      </x:c>
      <x:c r="F302" s="7" t="str">
        <x:v>Email</x:v>
      </x:c>
      <x:c r="G302" s="8" t="n">
        <x:v>45294</x:v>
      </x:c>
      <x:c r="H302" s="8" t="n">
        <x:v>45645</x:v>
      </x:c>
      <x:c r="I302" s="9" t="n">
        <x:v>4</x:v>
      </x:c>
      <x:c r="J302" s="10" t="n">
        <x:v>788200</x:v>
      </x:c>
      <x:c r="K302" s="10" t="n">
        <x:f>J302/I302</x:f>
        <x:v>197050</x:v>
      </x:c>
      <x:c r="L302" s="9" t="n">
        <x:f>DATE(2026,6,30)-H302</x:f>
        <x:v>558</x:v>
      </x:c>
      <x:c r="M302" s="9" t="n">
        <x:f>IF(L302&lt;=60,5,IF(L302&lt;=120,4,IF(L302&lt;=180,3,IF(L302&lt;=240,2,1))))</x:f>
        <x:v>1</x:v>
      </x:c>
      <x:c r="N302" s="9" t="n">
        <x:f>IF(I302&gt;=6,5,IF(I302&gt;=4,4,IF(I302=3,3,IF(I302=2,2,1))))</x:f>
        <x:v>4</x:v>
      </x:c>
      <x:c r="O302" s="9" t="n">
        <x:f>IF(J302&gt;=500000,5,IF(J302&gt;=300000,4,IF(J302&gt;=175000,3,IF(J302&gt;=75000,2,1))))</x:f>
        <x:v>5</x:v>
      </x:c>
      <x:c r="P302" s="7" t="str">
        <x:f>M302&amp;N302&amp;O302</x:f>
        <x:v>145</x:v>
      </x:c>
      <x:c r="Q302" s="7" t="str">
        <x:f>IF(AND(L302&lt;=60,I302&gt;=5,J302&gt;=300000),"Champions",IF(AND(L302&lt;=120,I302&gt;=3),"Loyal Growth",IF(AND(L302&gt;180,J302&gt;=300000),"High Value At Risk",IF(DATE(2026,6,30)-G302&lt;=90,"New Accounts",IF(AND(L302&lt;=120,I302=1),"Promising",IF(L302&lt;=240,"Needs Nurture","Dormant"))))))</x:f>
        <x:v>High Value At Risk</x:v>
      </x:c>
      <x:c r="R302" s="7" t="str">
        <x:f>IF(DATE(2026,6,30)-G302&lt;=90,"New",IF(AND(L302&lt;=120,I302&gt;=2),"Active",IF(I302=1,"One-time",IF(L302&lt;=240,"At Risk","Lapsed"))))</x:f>
        <x:v>Lapsed</x:v>
      </x:c>
      <x:c r="S302" s="15" t="str">
        <x:f>IF(Q302="Champions","Invite to advisory program and cross-sell service plans",IF(Q302="Loyal Growth","Prioritize expansion offer and product education",IF(Q302="High Value At Risk","Assign sales recovery outreach within 14 days",IF(Q302="New Accounts","Launch 90-day onboarding and adoption sequence",IF(Q302="Promising","Nurture second purchase with use-case content",IF(Q302="Needs Nurture","Run product-fit review and re-engagement sequence","Move to low-frequency win-back program"))))))</x:f>
        <x:v>Assign sales recovery outreach within 14 days</x:v>
      </x:c>
      <x:c r="T302" s="1"/>
      <x:c r="U302" s="1"/>
      <x:c r="V302" s="1"/>
      <x:c r="W302" s="1"/>
      <x:c r="X302" s="1"/>
      <x:c r="Y302" s="1"/>
      <x:c r="Z302" s="1"/>
    </x:row>
    <x:row r="303">
      <x:c r="A303" s="7" t="str">
        <x:v>ACC-0302</x:v>
      </x:c>
      <x:c r="B303" s="7" t="str">
        <x:v>Beacon Products 302</x:v>
      </x:c>
      <x:c r="C303" s="7" t="str">
        <x:v>Midwest</x:v>
      </x:c>
      <x:c r="D303" s="7" t="str">
        <x:v>Contract Packaging</x:v>
      </x:c>
      <x:c r="E303" s="7" t="str">
        <x:v>Mid-market</x:v>
      </x:c>
      <x:c r="F303" s="7" t="str">
        <x:v>Google Search</x:v>
      </x:c>
      <x:c r="G303" s="8" t="n">
        <x:v>45988</x:v>
      </x:c>
      <x:c r="H303" s="8" t="n">
        <x:v>46187</x:v>
      </x:c>
      <x:c r="I303" s="9" t="n">
        <x:v>3</x:v>
      </x:c>
      <x:c r="J303" s="10" t="n">
        <x:v>331400</x:v>
      </x:c>
      <x:c r="K303" s="10" t="n">
        <x:f>J303/I303</x:f>
        <x:v>110466.66666666667</x:v>
      </x:c>
      <x:c r="L303" s="9" t="n">
        <x:f>DATE(2026,6,30)-H303</x:f>
        <x:v>16</x:v>
      </x:c>
      <x:c r="M303" s="9" t="n">
        <x:f>IF(L303&lt;=60,5,IF(L303&lt;=120,4,IF(L303&lt;=180,3,IF(L303&lt;=240,2,1))))</x:f>
        <x:v>5</x:v>
      </x:c>
      <x:c r="N303" s="9" t="n">
        <x:f>IF(I303&gt;=6,5,IF(I303&gt;=4,4,IF(I303=3,3,IF(I303=2,2,1))))</x:f>
        <x:v>3</x:v>
      </x:c>
      <x:c r="O303" s="9" t="n">
        <x:f>IF(J303&gt;=500000,5,IF(J303&gt;=300000,4,IF(J303&gt;=175000,3,IF(J303&gt;=75000,2,1))))</x:f>
        <x:v>4</x:v>
      </x:c>
      <x:c r="P303" s="7" t="str">
        <x:f>M303&amp;N303&amp;O303</x:f>
        <x:v>534</x:v>
      </x:c>
      <x:c r="Q303" s="7" t="str">
        <x:f>IF(AND(L303&lt;=60,I303&gt;=5,J303&gt;=300000),"Champions",IF(AND(L303&lt;=120,I303&gt;=3),"Loyal Growth",IF(AND(L303&gt;180,J303&gt;=300000),"High Value At Risk",IF(DATE(2026,6,30)-G303&lt;=90,"New Accounts",IF(AND(L303&lt;=120,I303=1),"Promising",IF(L303&lt;=240,"Needs Nurture","Dormant"))))))</x:f>
        <x:v>Loyal Growth</x:v>
      </x:c>
      <x:c r="R303" s="7" t="str">
        <x:f>IF(DATE(2026,6,30)-G303&lt;=90,"New",IF(AND(L303&lt;=120,I303&gt;=2),"Active",IF(I303=1,"One-time",IF(L303&lt;=240,"At Risk","Lapsed"))))</x:f>
        <x:v>Active</x:v>
      </x:c>
      <x:c r="S303" s="15" t="str">
        <x:f>IF(Q303="Champions","Invite to advisory program and cross-sell service plans",IF(Q303="Loyal Growth","Prioritize expansion offer and product education",IF(Q303="High Value At Risk","Assign sales recovery outreach within 14 days",IF(Q303="New Accounts","Launch 90-day onboarding and adoption sequence",IF(Q303="Promising","Nurture second purchase with use-case content",IF(Q303="Needs Nurture","Run product-fit review and re-engagement sequence","Move to low-frequency win-back program"))))))</x:f>
        <x:v>Prioritize expansion offer and product education</x:v>
      </x:c>
      <x:c r="T303" s="1"/>
      <x:c r="U303" s="1"/>
      <x:c r="V303" s="1"/>
      <x:c r="W303" s="1"/>
      <x:c r="X303" s="1"/>
      <x:c r="Y303" s="1"/>
      <x:c r="Z303" s="1"/>
    </x:row>
    <x:row r="304">
      <x:c r="A304" s="7" t="str">
        <x:v>ACC-0303</x:v>
      </x:c>
      <x:c r="B304" s="7" t="str">
        <x:v>Beacon Industries 303</x:v>
      </x:c>
      <x:c r="C304" s="7" t="str">
        <x:v>South</x:v>
      </x:c>
      <x:c r="D304" s="7" t="str">
        <x:v>Contract Packaging</x:v>
      </x:c>
      <x:c r="E304" s="7" t="str">
        <x:v>Small</x:v>
      </x:c>
      <x:c r="F304" s="7" t="str">
        <x:v>Google Search</x:v>
      </x:c>
      <x:c r="G304" s="8" t="n">
        <x:v>46161</x:v>
      </x:c>
      <x:c r="H304" s="8" t="n">
        <x:v>46201</x:v>
      </x:c>
      <x:c r="I304" s="9" t="n">
        <x:v>2</x:v>
      </x:c>
      <x:c r="J304" s="10" t="n">
        <x:v>32000</x:v>
      </x:c>
      <x:c r="K304" s="10" t="n">
        <x:f>J304/I304</x:f>
        <x:v>16000</x:v>
      </x:c>
      <x:c r="L304" s="9" t="n">
        <x:f>DATE(2026,6,30)-H304</x:f>
        <x:v>2</x:v>
      </x:c>
      <x:c r="M304" s="9" t="n">
        <x:f>IF(L304&lt;=60,5,IF(L304&lt;=120,4,IF(L304&lt;=180,3,IF(L304&lt;=240,2,1))))</x:f>
        <x:v>5</x:v>
      </x:c>
      <x:c r="N304" s="9" t="n">
        <x:f>IF(I304&gt;=6,5,IF(I304&gt;=4,4,IF(I304=3,3,IF(I304=2,2,1))))</x:f>
        <x:v>2</x:v>
      </x:c>
      <x:c r="O304" s="9" t="n">
        <x:f>IF(J304&gt;=500000,5,IF(J304&gt;=300000,4,IF(J304&gt;=175000,3,IF(J304&gt;=75000,2,1))))</x:f>
        <x:v>1</x:v>
      </x:c>
      <x:c r="P304" s="7" t="str">
        <x:f>M304&amp;N304&amp;O304</x:f>
        <x:v>521</x:v>
      </x:c>
      <x:c r="Q304" s="7" t="str">
        <x:f>IF(AND(L304&lt;=60,I304&gt;=5,J304&gt;=300000),"Champions",IF(AND(L304&lt;=120,I304&gt;=3),"Loyal Growth",IF(AND(L304&gt;180,J304&gt;=300000),"High Value At Risk",IF(DATE(2026,6,30)-G304&lt;=90,"New Accounts",IF(AND(L304&lt;=120,I304=1),"Promising",IF(L304&lt;=240,"Needs Nurture","Dormant"))))))</x:f>
        <x:v>New Accounts</x:v>
      </x:c>
      <x:c r="R304" s="7" t="str">
        <x:f>IF(DATE(2026,6,30)-G304&lt;=90,"New",IF(AND(L304&lt;=120,I304&gt;=2),"Active",IF(I304=1,"One-time",IF(L304&lt;=240,"At Risk","Lapsed"))))</x:f>
        <x:v>New</x:v>
      </x:c>
      <x:c r="S304" s="15" t="str">
        <x:f>IF(Q304="Champions","Invite to advisory program and cross-sell service plans",IF(Q304="Loyal Growth","Prioritize expansion offer and product education",IF(Q304="High Value At Risk","Assign sales recovery outreach within 14 days",IF(Q304="New Accounts","Launch 90-day onboarding and adoption sequence",IF(Q304="Promising","Nurture second purchase with use-case content",IF(Q304="Needs Nurture","Run product-fit review and re-engagement sequence","Move to low-frequency win-back program"))))))</x:f>
        <x:v>Launch 90-day onboarding and adoption sequence</x:v>
      </x:c>
      <x:c r="T304" s="1"/>
      <x:c r="U304" s="1"/>
      <x:c r="V304" s="1"/>
      <x:c r="W304" s="1"/>
      <x:c r="X304" s="1"/>
      <x:c r="Y304" s="1"/>
      <x:c r="Z304" s="1"/>
    </x:row>
    <x:row r="305">
      <x:c r="A305" s="7" t="str">
        <x:v>ACC-0304</x:v>
      </x:c>
      <x:c r="B305" s="7" t="str">
        <x:v>Evergreen Labs 304</x:v>
      </x:c>
      <x:c r="C305" s="7" t="str">
        <x:v>South</x:v>
      </x:c>
      <x:c r="D305" s="7" t="str">
        <x:v>Contract Packaging</x:v>
      </x:c>
      <x:c r="E305" s="7" t="str">
        <x:v>Enterprise</x:v>
      </x:c>
      <x:c r="F305" s="7" t="str">
        <x:v>Google Search</x:v>
      </x:c>
      <x:c r="G305" s="8" t="n">
        <x:v>45293</x:v>
      </x:c>
      <x:c r="H305" s="8" t="n">
        <x:v>46099</x:v>
      </x:c>
      <x:c r="I305" s="9" t="n">
        <x:v>5</x:v>
      </x:c>
      <x:c r="J305" s="10" t="n">
        <x:v>1120400</x:v>
      </x:c>
      <x:c r="K305" s="10" t="n">
        <x:f>J305/I305</x:f>
        <x:v>224080</x:v>
      </x:c>
      <x:c r="L305" s="9" t="n">
        <x:f>DATE(2026,6,30)-H305</x:f>
        <x:v>104</x:v>
      </x:c>
      <x:c r="M305" s="9" t="n">
        <x:f>IF(L305&lt;=60,5,IF(L305&lt;=120,4,IF(L305&lt;=180,3,IF(L305&lt;=240,2,1))))</x:f>
        <x:v>4</x:v>
      </x:c>
      <x:c r="N305" s="9" t="n">
        <x:f>IF(I305&gt;=6,5,IF(I305&gt;=4,4,IF(I305=3,3,IF(I305=2,2,1))))</x:f>
        <x:v>4</x:v>
      </x:c>
      <x:c r="O305" s="9" t="n">
        <x:f>IF(J305&gt;=500000,5,IF(J305&gt;=300000,4,IF(J305&gt;=175000,3,IF(J305&gt;=75000,2,1))))</x:f>
        <x:v>5</x:v>
      </x:c>
      <x:c r="P305" s="7" t="str">
        <x:f>M305&amp;N305&amp;O305</x:f>
        <x:v>445</x:v>
      </x:c>
      <x:c r="Q305" s="7" t="str">
        <x:f>IF(AND(L305&lt;=60,I305&gt;=5,J305&gt;=300000),"Champions",IF(AND(L305&lt;=120,I305&gt;=3),"Loyal Growth",IF(AND(L305&gt;180,J305&gt;=300000),"High Value At Risk",IF(DATE(2026,6,30)-G305&lt;=90,"New Accounts",IF(AND(L305&lt;=120,I305=1),"Promising",IF(L305&lt;=240,"Needs Nurture","Dormant"))))))</x:f>
        <x:v>Loyal Growth</x:v>
      </x:c>
      <x:c r="R305" s="7" t="str">
        <x:f>IF(DATE(2026,6,30)-G305&lt;=90,"New",IF(AND(L305&lt;=120,I305&gt;=2),"Active",IF(I305=1,"One-time",IF(L305&lt;=240,"At Risk","Lapsed"))))</x:f>
        <x:v>Active</x:v>
      </x:c>
      <x:c r="S305" s="15" t="str">
        <x:f>IF(Q305="Champions","Invite to advisory program and cross-sell service plans",IF(Q305="Loyal Growth","Prioritize expansion offer and product education",IF(Q305="High Value At Risk","Assign sales recovery outreach within 14 days",IF(Q305="New Accounts","Launch 90-day onboarding and adoption sequence",IF(Q305="Promising","Nurture second purchase with use-case content",IF(Q305="Needs Nurture","Run product-fit review and re-engagement sequence","Move to low-frequency win-back program"))))))</x:f>
        <x:v>Prioritize expansion offer and product education</x:v>
      </x:c>
      <x:c r="T305" s="1"/>
      <x:c r="U305" s="1"/>
      <x:c r="V305" s="1"/>
      <x:c r="W305" s="1"/>
      <x:c r="X305" s="1"/>
      <x:c r="Y305" s="1"/>
      <x:c r="Z305" s="1"/>
    </x:row>
    <x:row r="306">
      <x:c r="A306" s="7" t="str">
        <x:v>ACC-0305</x:v>
      </x:c>
      <x:c r="B306" s="7" t="str">
        <x:v>Summit Labs 305</x:v>
      </x:c>
      <x:c r="C306" s="7" t="str">
        <x:v>Northeast</x:v>
      </x:c>
      <x:c r="D306" s="7" t="str">
        <x:v>Food &amp; Beverage</x:v>
      </x:c>
      <x:c r="E306" s="7" t="str">
        <x:v>Mid-market</x:v>
      </x:c>
      <x:c r="F306" s="7" t="str">
        <x:v>Google Search</x:v>
      </x:c>
      <x:c r="G306" s="8" t="n">
        <x:v>45311</x:v>
      </x:c>
      <x:c r="H306" s="8" t="n">
        <x:v>46053</x:v>
      </x:c>
      <x:c r="I306" s="9" t="n">
        <x:v>6</x:v>
      </x:c>
      <x:c r="J306" s="10" t="n">
        <x:v>759100</x:v>
      </x:c>
      <x:c r="K306" s="10" t="n">
        <x:f>J306/I306</x:f>
        <x:v>126516.66666666667</x:v>
      </x:c>
      <x:c r="L306" s="9" t="n">
        <x:f>DATE(2026,6,30)-H306</x:f>
        <x:v>150</x:v>
      </x:c>
      <x:c r="M306" s="9" t="n">
        <x:f>IF(L306&lt;=60,5,IF(L306&lt;=120,4,IF(L306&lt;=180,3,IF(L306&lt;=240,2,1))))</x:f>
        <x:v>3</x:v>
      </x:c>
      <x:c r="N306" s="9" t="n">
        <x:f>IF(I306&gt;=6,5,IF(I306&gt;=4,4,IF(I306=3,3,IF(I306=2,2,1))))</x:f>
        <x:v>5</x:v>
      </x:c>
      <x:c r="O306" s="9" t="n">
        <x:f>IF(J306&gt;=500000,5,IF(J306&gt;=300000,4,IF(J306&gt;=175000,3,IF(J306&gt;=75000,2,1))))</x:f>
        <x:v>5</x:v>
      </x:c>
      <x:c r="P306" s="7" t="str">
        <x:f>M306&amp;N306&amp;O306</x:f>
        <x:v>355</x:v>
      </x:c>
      <x:c r="Q306" s="7" t="str">
        <x:f>IF(AND(L306&lt;=60,I306&gt;=5,J306&gt;=300000),"Champions",IF(AND(L306&lt;=120,I306&gt;=3),"Loyal Growth",IF(AND(L306&gt;180,J306&gt;=300000),"High Value At Risk",IF(DATE(2026,6,30)-G306&lt;=90,"New Accounts",IF(AND(L306&lt;=120,I306=1),"Promising",IF(L306&lt;=240,"Needs Nurture","Dormant"))))))</x:f>
        <x:v>Needs Nurture</x:v>
      </x:c>
      <x:c r="R306" s="7" t="str">
        <x:f>IF(DATE(2026,6,30)-G306&lt;=90,"New",IF(AND(L306&lt;=120,I306&gt;=2),"Active",IF(I306=1,"One-time",IF(L306&lt;=240,"At Risk","Lapsed"))))</x:f>
        <x:v>At Risk</x:v>
      </x:c>
      <x:c r="S306" s="15" t="str">
        <x:f>IF(Q306="Champions","Invite to advisory program and cross-sell service plans",IF(Q306="Loyal Growth","Prioritize expansion offer and product education",IF(Q306="High Value At Risk","Assign sales recovery outreach within 14 days",IF(Q306="New Accounts","Launch 90-day onboarding and adoption sequence",IF(Q306="Promising","Nurture second purchase with use-case content",IF(Q306="Needs Nurture","Run product-fit review and re-engagement sequence","Move to low-frequency win-back program"))))))</x:f>
        <x:v>Run product-fit review and re-engagement sequence</x:v>
      </x:c>
      <x:c r="T306" s="1"/>
      <x:c r="U306" s="1"/>
      <x:c r="V306" s="1"/>
      <x:c r="W306" s="1"/>
      <x:c r="X306" s="1"/>
      <x:c r="Y306" s="1"/>
      <x:c r="Z306" s="1"/>
    </x:row>
    <x:row r="307">
      <x:c r="A307" s="7" t="str">
        <x:v>ACC-0306</x:v>
      </x:c>
      <x:c r="B307" s="7" t="str">
        <x:v>Apex Foods 306</x:v>
      </x:c>
      <x:c r="C307" s="7" t="str">
        <x:v>Northeast</x:v>
      </x:c>
      <x:c r="D307" s="7" t="str">
        <x:v>Contract Packaging</x:v>
      </x:c>
      <x:c r="E307" s="7" t="str">
        <x:v>Small</x:v>
      </x:c>
      <x:c r="F307" s="7" t="str">
        <x:v>Trade Show</x:v>
      </x:c>
      <x:c r="G307" s="8" t="n">
        <x:v>45393</x:v>
      </x:c>
      <x:c r="H307" s="8" t="n">
        <x:v>45812</x:v>
      </x:c>
      <x:c r="I307" s="9" t="n">
        <x:v>4</x:v>
      </x:c>
      <x:c r="J307" s="10" t="n">
        <x:v>130900</x:v>
      </x:c>
      <x:c r="K307" s="10" t="n">
        <x:f>J307/I307</x:f>
        <x:v>32725</x:v>
      </x:c>
      <x:c r="L307" s="9" t="n">
        <x:f>DATE(2026,6,30)-H307</x:f>
        <x:v>391</x:v>
      </x:c>
      <x:c r="M307" s="9" t="n">
        <x:f>IF(L307&lt;=60,5,IF(L307&lt;=120,4,IF(L307&lt;=180,3,IF(L307&lt;=240,2,1))))</x:f>
        <x:v>1</x:v>
      </x:c>
      <x:c r="N307" s="9" t="n">
        <x:f>IF(I307&gt;=6,5,IF(I307&gt;=4,4,IF(I307=3,3,IF(I307=2,2,1))))</x:f>
        <x:v>4</x:v>
      </x:c>
      <x:c r="O307" s="9" t="n">
        <x:f>IF(J307&gt;=500000,5,IF(J307&gt;=300000,4,IF(J307&gt;=175000,3,IF(J307&gt;=75000,2,1))))</x:f>
        <x:v>2</x:v>
      </x:c>
      <x:c r="P307" s="7" t="str">
        <x:f>M307&amp;N307&amp;O307</x:f>
        <x:v>142</x:v>
      </x:c>
      <x:c r="Q307" s="7" t="str">
        <x:f>IF(AND(L307&lt;=60,I307&gt;=5,J307&gt;=300000),"Champions",IF(AND(L307&lt;=120,I307&gt;=3),"Loyal Growth",IF(AND(L307&gt;180,J307&gt;=300000),"High Value At Risk",IF(DATE(2026,6,30)-G307&lt;=90,"New Accounts",IF(AND(L307&lt;=120,I307=1),"Promising",IF(L307&lt;=240,"Needs Nurture","Dormant"))))))</x:f>
        <x:v>Dormant</x:v>
      </x:c>
      <x:c r="R307" s="7" t="str">
        <x:f>IF(DATE(2026,6,30)-G307&lt;=90,"New",IF(AND(L307&lt;=120,I307&gt;=2),"Active",IF(I307=1,"One-time",IF(L307&lt;=240,"At Risk","Lapsed"))))</x:f>
        <x:v>Lapsed</x:v>
      </x:c>
      <x:c r="S307" s="15" t="str">
        <x:f>IF(Q307="Champions","Invite to advisory program and cross-sell service plans",IF(Q307="Loyal Growth","Prioritize expansion offer and product education",IF(Q307="High Value At Risk","Assign sales recovery outreach within 14 days",IF(Q307="New Accounts","Launch 90-day onboarding and adoption sequence",IF(Q307="Promising","Nurture second purchase with use-case content",IF(Q307="Needs Nurture","Run product-fit review and re-engagement sequence","Move to low-frequency win-back program"))))))</x:f>
        <x:v>Move to low-frequency win-back program</x:v>
      </x:c>
      <x:c r="T307" s="1"/>
      <x:c r="U307" s="1"/>
      <x:c r="V307" s="1"/>
      <x:c r="W307" s="1"/>
      <x:c r="X307" s="1"/>
      <x:c r="Y307" s="1"/>
      <x:c r="Z307" s="1"/>
    </x:row>
    <x:row r="308">
      <x:c r="A308" s="7" t="str">
        <x:v>ACC-0307</x:v>
      </x:c>
      <x:c r="B308" s="7" t="str">
        <x:v>Keystone Brands 307</x:v>
      </x:c>
      <x:c r="C308" s="7" t="str">
        <x:v>South</x:v>
      </x:c>
      <x:c r="D308" s="7" t="str">
        <x:v>Contract Packaging</x:v>
      </x:c>
      <x:c r="E308" s="7" t="str">
        <x:v>Mid-market</x:v>
      </x:c>
      <x:c r="F308" s="7" t="str">
        <x:v>LinkedIn</x:v>
      </x:c>
      <x:c r="G308" s="8" t="n">
        <x:v>45671</x:v>
      </x:c>
      <x:c r="H308" s="8" t="n">
        <x:v>46126</x:v>
      </x:c>
      <x:c r="I308" s="9" t="n">
        <x:v>6</x:v>
      </x:c>
      <x:c r="J308" s="10" t="n">
        <x:v>527200</x:v>
      </x:c>
      <x:c r="K308" s="10" t="n">
        <x:f>J308/I308</x:f>
        <x:v>87866.66666666667</x:v>
      </x:c>
      <x:c r="L308" s="9" t="n">
        <x:f>DATE(2026,6,30)-H308</x:f>
        <x:v>77</x:v>
      </x:c>
      <x:c r="M308" s="9" t="n">
        <x:f>IF(L308&lt;=60,5,IF(L308&lt;=120,4,IF(L308&lt;=180,3,IF(L308&lt;=240,2,1))))</x:f>
        <x:v>4</x:v>
      </x:c>
      <x:c r="N308" s="9" t="n">
        <x:f>IF(I308&gt;=6,5,IF(I308&gt;=4,4,IF(I308=3,3,IF(I308=2,2,1))))</x:f>
        <x:v>5</x:v>
      </x:c>
      <x:c r="O308" s="9" t="n">
        <x:f>IF(J308&gt;=500000,5,IF(J308&gt;=300000,4,IF(J308&gt;=175000,3,IF(J308&gt;=75000,2,1))))</x:f>
        <x:v>5</x:v>
      </x:c>
      <x:c r="P308" s="7" t="str">
        <x:f>M308&amp;N308&amp;O308</x:f>
        <x:v>455</x:v>
      </x:c>
      <x:c r="Q308" s="7" t="str">
        <x:f>IF(AND(L308&lt;=60,I308&gt;=5,J308&gt;=300000),"Champions",IF(AND(L308&lt;=120,I308&gt;=3),"Loyal Growth",IF(AND(L308&gt;180,J308&gt;=300000),"High Value At Risk",IF(DATE(2026,6,30)-G308&lt;=90,"New Accounts",IF(AND(L308&lt;=120,I308=1),"Promising",IF(L308&lt;=240,"Needs Nurture","Dormant"))))))</x:f>
        <x:v>Loyal Growth</x:v>
      </x:c>
      <x:c r="R308" s="7" t="str">
        <x:f>IF(DATE(2026,6,30)-G308&lt;=90,"New",IF(AND(L308&lt;=120,I308&gt;=2),"Active",IF(I308=1,"One-time",IF(L308&lt;=240,"At Risk","Lapsed"))))</x:f>
        <x:v>Active</x:v>
      </x:c>
      <x:c r="S308" s="15" t="str">
        <x:f>IF(Q308="Champions","Invite to advisory program and cross-sell service plans",IF(Q308="Loyal Growth","Prioritize expansion offer and product education",IF(Q308="High Value At Risk","Assign sales recovery outreach within 14 days",IF(Q308="New Accounts","Launch 90-day onboarding and adoption sequence",IF(Q308="Promising","Nurture second purchase with use-case content",IF(Q308="Needs Nurture","Run product-fit review and re-engagement sequence","Move to low-frequency win-back program"))))))</x:f>
        <x:v>Prioritize expansion offer and product education</x:v>
      </x:c>
      <x:c r="T308" s="1"/>
      <x:c r="U308" s="1"/>
      <x:c r="V308" s="1"/>
      <x:c r="W308" s="1"/>
      <x:c r="X308" s="1"/>
      <x:c r="Y308" s="1"/>
      <x:c r="Z308" s="1"/>
    </x:row>
    <x:row r="309">
      <x:c r="A309" s="7" t="str">
        <x:v>ACC-0308</x:v>
      </x:c>
      <x:c r="B309" s="7" t="str">
        <x:v>Harbor Industries 308</x:v>
      </x:c>
      <x:c r="C309" s="7" t="str">
        <x:v>Northeast</x:v>
      </x:c>
      <x:c r="D309" s="7" t="str">
        <x:v>Pharmaceuticals</x:v>
      </x:c>
      <x:c r="E309" s="7" t="str">
        <x:v>Enterprise</x:v>
      </x:c>
      <x:c r="F309" s="7" t="str">
        <x:v>Email</x:v>
      </x:c>
      <x:c r="G309" s="8" t="n">
        <x:v>46079</x:v>
      </x:c>
      <x:c r="H309" s="8" t="n">
        <x:v>46142</x:v>
      </x:c>
      <x:c r="I309" s="9" t="n">
        <x:v>2</x:v>
      </x:c>
      <x:c r="J309" s="10" t="n">
        <x:v>243600</x:v>
      </x:c>
      <x:c r="K309" s="10" t="n">
        <x:f>J309/I309</x:f>
        <x:v>121800</x:v>
      </x:c>
      <x:c r="L309" s="9" t="n">
        <x:f>DATE(2026,6,30)-H309</x:f>
        <x:v>61</x:v>
      </x:c>
      <x:c r="M309" s="9" t="n">
        <x:f>IF(L309&lt;=60,5,IF(L309&lt;=120,4,IF(L309&lt;=180,3,IF(L309&lt;=240,2,1))))</x:f>
        <x:v>4</x:v>
      </x:c>
      <x:c r="N309" s="9" t="n">
        <x:f>IF(I309&gt;=6,5,IF(I309&gt;=4,4,IF(I309=3,3,IF(I309=2,2,1))))</x:f>
        <x:v>2</x:v>
      </x:c>
      <x:c r="O309" s="9" t="n">
        <x:f>IF(J309&gt;=500000,5,IF(J309&gt;=300000,4,IF(J309&gt;=175000,3,IF(J309&gt;=75000,2,1))))</x:f>
        <x:v>3</x:v>
      </x:c>
      <x:c r="P309" s="7" t="str">
        <x:f>M309&amp;N309&amp;O309</x:f>
        <x:v>423</x:v>
      </x:c>
      <x:c r="Q309" s="7" t="str">
        <x:f>IF(AND(L309&lt;=60,I309&gt;=5,J309&gt;=300000),"Champions",IF(AND(L309&lt;=120,I309&gt;=3),"Loyal Growth",IF(AND(L309&gt;180,J309&gt;=300000),"High Value At Risk",IF(DATE(2026,6,30)-G309&lt;=90,"New Accounts",IF(AND(L309&lt;=120,I309=1),"Promising",IF(L309&lt;=240,"Needs Nurture","Dormant"))))))</x:f>
        <x:v>Needs Nurture</x:v>
      </x:c>
      <x:c r="R309" s="7" t="str">
        <x:f>IF(DATE(2026,6,30)-G309&lt;=90,"New",IF(AND(L309&lt;=120,I309&gt;=2),"Active",IF(I309=1,"One-time",IF(L309&lt;=240,"At Risk","Lapsed"))))</x:f>
        <x:v>Active</x:v>
      </x:c>
      <x:c r="S309" s="15" t="str">
        <x:f>IF(Q309="Champions","Invite to advisory program and cross-sell service plans",IF(Q309="Loyal Growth","Prioritize expansion offer and product education",IF(Q309="High Value At Risk","Assign sales recovery outreach within 14 days",IF(Q309="New Accounts","Launch 90-day onboarding and adoption sequence",IF(Q309="Promising","Nurture second purchase with use-case content",IF(Q309="Needs Nurture","Run product-fit review and re-engagement sequence","Move to low-frequency win-back program"))))))</x:f>
        <x:v>Run product-fit review and re-engagement sequence</x:v>
      </x:c>
      <x:c r="T309" s="1"/>
      <x:c r="U309" s="1"/>
      <x:c r="V309" s="1"/>
      <x:c r="W309" s="1"/>
      <x:c r="X309" s="1"/>
      <x:c r="Y309" s="1"/>
      <x:c r="Z309" s="1"/>
    </x:row>
    <x:row r="310">
      <x:c r="A310" s="7" t="str">
        <x:v>ACC-0309</x:v>
      </x:c>
      <x:c r="B310" s="7" t="str">
        <x:v>Meridian Brands 309</x:v>
      </x:c>
      <x:c r="C310" s="7" t="str">
        <x:v>Midwest</x:v>
      </x:c>
      <x:c r="D310" s="7" t="str">
        <x:v>Pharmaceuticals</x:v>
      </x:c>
      <x:c r="E310" s="7" t="str">
        <x:v>Small</x:v>
      </x:c>
      <x:c r="F310" s="7" t="str">
        <x:v>Email</x:v>
      </x:c>
      <x:c r="G310" s="8" t="n">
        <x:v>45814</x:v>
      </x:c>
      <x:c r="H310" s="8" t="n">
        <x:v>45814</x:v>
      </x:c>
      <x:c r="I310" s="9" t="n">
        <x:v>1</x:v>
      </x:c>
      <x:c r="J310" s="10" t="n">
        <x:v>71200</x:v>
      </x:c>
      <x:c r="K310" s="10" t="n">
        <x:f>J310/I310</x:f>
        <x:v>71200</x:v>
      </x:c>
      <x:c r="L310" s="9" t="n">
        <x:f>DATE(2026,6,30)-H310</x:f>
        <x:v>389</x:v>
      </x:c>
      <x:c r="M310" s="9" t="n">
        <x:f>IF(L310&lt;=60,5,IF(L310&lt;=120,4,IF(L310&lt;=180,3,IF(L310&lt;=240,2,1))))</x:f>
        <x:v>1</x:v>
      </x:c>
      <x:c r="N310" s="9" t="n">
        <x:f>IF(I310&gt;=6,5,IF(I310&gt;=4,4,IF(I310=3,3,IF(I310=2,2,1))))</x:f>
        <x:v>1</x:v>
      </x:c>
      <x:c r="O310" s="9" t="n">
        <x:f>IF(J310&gt;=500000,5,IF(J310&gt;=300000,4,IF(J310&gt;=175000,3,IF(J310&gt;=75000,2,1))))</x:f>
        <x:v>1</x:v>
      </x:c>
      <x:c r="P310" s="7" t="str">
        <x:f>M310&amp;N310&amp;O310</x:f>
        <x:v>111</x:v>
      </x:c>
      <x:c r="Q310" s="7" t="str">
        <x:f>IF(AND(L310&lt;=60,I310&gt;=5,J310&gt;=300000),"Champions",IF(AND(L310&lt;=120,I310&gt;=3),"Loyal Growth",IF(AND(L310&gt;180,J310&gt;=300000),"High Value At Risk",IF(DATE(2026,6,30)-G310&lt;=90,"New Accounts",IF(AND(L310&lt;=120,I310=1),"Promising",IF(L310&lt;=240,"Needs Nurture","Dormant"))))))</x:f>
        <x:v>Dormant</x:v>
      </x:c>
      <x:c r="R310" s="7" t="str">
        <x:f>IF(DATE(2026,6,30)-G310&lt;=90,"New",IF(AND(L310&lt;=120,I310&gt;=2),"Active",IF(I310=1,"One-time",IF(L310&lt;=240,"At Risk","Lapsed"))))</x:f>
        <x:v>One-time</x:v>
      </x:c>
      <x:c r="S310" s="15" t="str">
        <x:f>IF(Q310="Champions","Invite to advisory program and cross-sell service plans",IF(Q310="Loyal Growth","Prioritize expansion offer and product education",IF(Q310="High Value At Risk","Assign sales recovery outreach within 14 days",IF(Q310="New Accounts","Launch 90-day onboarding and adoption sequence",IF(Q310="Promising","Nurture second purchase with use-case content",IF(Q310="Needs Nurture","Run product-fit review and re-engagement sequence","Move to low-frequency win-back program"))))))</x:f>
        <x:v>Move to low-frequency win-back program</x:v>
      </x:c>
      <x:c r="T310" s="1"/>
      <x:c r="U310" s="1"/>
      <x:c r="V310" s="1"/>
      <x:c r="W310" s="1"/>
      <x:c r="X310" s="1"/>
      <x:c r="Y310" s="1"/>
      <x:c r="Z310" s="1"/>
    </x:row>
    <x:row r="311">
      <x:c r="A311" s="7" t="str">
        <x:v>ACC-0310</x:v>
      </x:c>
      <x:c r="B311" s="7" t="str">
        <x:v>Apex Solutions 310</x:v>
      </x:c>
      <x:c r="C311" s="7" t="str">
        <x:v>West</x:v>
      </x:c>
      <x:c r="D311" s="7" t="str">
        <x:v>Food &amp; Beverage</x:v>
      </x:c>
      <x:c r="E311" s="7" t="str">
        <x:v>Enterprise</x:v>
      </x:c>
      <x:c r="F311" s="7" t="str">
        <x:v>Partner Referral</x:v>
      </x:c>
      <x:c r="G311" s="8" t="n">
        <x:v>45533</x:v>
      </x:c>
      <x:c r="H311" s="8" t="n">
        <x:v>46001</x:v>
      </x:c>
      <x:c r="I311" s="9" t="n">
        <x:v>3</x:v>
      </x:c>
      <x:c r="J311" s="10" t="n">
        <x:v>373600</x:v>
      </x:c>
      <x:c r="K311" s="10" t="n">
        <x:f>J311/I311</x:f>
        <x:v>124533.33333333333</x:v>
      </x:c>
      <x:c r="L311" s="9" t="n">
        <x:f>DATE(2026,6,30)-H311</x:f>
        <x:v>202</x:v>
      </x:c>
      <x:c r="M311" s="9" t="n">
        <x:f>IF(L311&lt;=60,5,IF(L311&lt;=120,4,IF(L311&lt;=180,3,IF(L311&lt;=240,2,1))))</x:f>
        <x:v>2</x:v>
      </x:c>
      <x:c r="N311" s="9" t="n">
        <x:f>IF(I311&gt;=6,5,IF(I311&gt;=4,4,IF(I311=3,3,IF(I311=2,2,1))))</x:f>
        <x:v>3</x:v>
      </x:c>
      <x:c r="O311" s="9" t="n">
        <x:f>IF(J311&gt;=500000,5,IF(J311&gt;=300000,4,IF(J311&gt;=175000,3,IF(J311&gt;=75000,2,1))))</x:f>
        <x:v>4</x:v>
      </x:c>
      <x:c r="P311" s="7" t="str">
        <x:f>M311&amp;N311&amp;O311</x:f>
        <x:v>234</x:v>
      </x:c>
      <x:c r="Q311" s="7" t="str">
        <x:f>IF(AND(L311&lt;=60,I311&gt;=5,J311&gt;=300000),"Champions",IF(AND(L311&lt;=120,I311&gt;=3),"Loyal Growth",IF(AND(L311&gt;180,J311&gt;=300000),"High Value At Risk",IF(DATE(2026,6,30)-G311&lt;=90,"New Accounts",IF(AND(L311&lt;=120,I311=1),"Promising",IF(L311&lt;=240,"Needs Nurture","Dormant"))))))</x:f>
        <x:v>High Value At Risk</x:v>
      </x:c>
      <x:c r="R311" s="7" t="str">
        <x:f>IF(DATE(2026,6,30)-G311&lt;=90,"New",IF(AND(L311&lt;=120,I311&gt;=2),"Active",IF(I311=1,"One-time",IF(L311&lt;=240,"At Risk","Lapsed"))))</x:f>
        <x:v>At Risk</x:v>
      </x:c>
      <x:c r="S311" s="15" t="str">
        <x:f>IF(Q311="Champions","Invite to advisory program and cross-sell service plans",IF(Q311="Loyal Growth","Prioritize expansion offer and product education",IF(Q311="High Value At Risk","Assign sales recovery outreach within 14 days",IF(Q311="New Accounts","Launch 90-day onboarding and adoption sequence",IF(Q311="Promising","Nurture second purchase with use-case content",IF(Q311="Needs Nurture","Run product-fit review and re-engagement sequence","Move to low-frequency win-back program"))))))</x:f>
        <x:v>Assign sales recovery outreach within 14 days</x:v>
      </x:c>
      <x:c r="T311" s="1"/>
      <x:c r="U311" s="1"/>
      <x:c r="V311" s="1"/>
      <x:c r="W311" s="1"/>
      <x:c r="X311" s="1"/>
      <x:c r="Y311" s="1"/>
      <x:c r="Z311" s="1"/>
    </x:row>
    <x:row r="312">
      <x:c r="A312" s="7" t="str">
        <x:v>ACC-0311</x:v>
      </x:c>
      <x:c r="B312" s="7" t="str">
        <x:v>Summit Products 311</x:v>
      </x:c>
      <x:c r="C312" s="7" t="str">
        <x:v>Northeast</x:v>
      </x:c>
      <x:c r="D312" s="7" t="str">
        <x:v>Industrial Products</x:v>
      </x:c>
      <x:c r="E312" s="7" t="str">
        <x:v>Small</x:v>
      </x:c>
      <x:c r="F312" s="7" t="str">
        <x:v>Email</x:v>
      </x:c>
      <x:c r="G312" s="8" t="n">
        <x:v>45431</x:v>
      </x:c>
      <x:c r="H312" s="8" t="n">
        <x:v>45431</x:v>
      </x:c>
      <x:c r="I312" s="9" t="n">
        <x:v>1</x:v>
      </x:c>
      <x:c r="J312" s="10" t="n">
        <x:v>7600</x:v>
      </x:c>
      <x:c r="K312" s="10" t="n">
        <x:f>J312/I312</x:f>
        <x:v>7600</x:v>
      </x:c>
      <x:c r="L312" s="9" t="n">
        <x:f>DATE(2026,6,30)-H312</x:f>
        <x:v>772</x:v>
      </x:c>
      <x:c r="M312" s="9" t="n">
        <x:f>IF(L312&lt;=60,5,IF(L312&lt;=120,4,IF(L312&lt;=180,3,IF(L312&lt;=240,2,1))))</x:f>
        <x:v>1</x:v>
      </x:c>
      <x:c r="N312" s="9" t="n">
        <x:f>IF(I312&gt;=6,5,IF(I312&gt;=4,4,IF(I312=3,3,IF(I312=2,2,1))))</x:f>
        <x:v>1</x:v>
      </x:c>
      <x:c r="O312" s="9" t="n">
        <x:f>IF(J312&gt;=500000,5,IF(J312&gt;=300000,4,IF(J312&gt;=175000,3,IF(J312&gt;=75000,2,1))))</x:f>
        <x:v>1</x:v>
      </x:c>
      <x:c r="P312" s="7" t="str">
        <x:f>M312&amp;N312&amp;O312</x:f>
        <x:v>111</x:v>
      </x:c>
      <x:c r="Q312" s="7" t="str">
        <x:f>IF(AND(L312&lt;=60,I312&gt;=5,J312&gt;=300000),"Champions",IF(AND(L312&lt;=120,I312&gt;=3),"Loyal Growth",IF(AND(L312&gt;180,J312&gt;=300000),"High Value At Risk",IF(DATE(2026,6,30)-G312&lt;=90,"New Accounts",IF(AND(L312&lt;=120,I312=1),"Promising",IF(L312&lt;=240,"Needs Nurture","Dormant"))))))</x:f>
        <x:v>Dormant</x:v>
      </x:c>
      <x:c r="R312" s="7" t="str">
        <x:f>IF(DATE(2026,6,30)-G312&lt;=90,"New",IF(AND(L312&lt;=120,I312&gt;=2),"Active",IF(I312=1,"One-time",IF(L312&lt;=240,"At Risk","Lapsed"))))</x:f>
        <x:v>One-time</x:v>
      </x:c>
      <x:c r="S312" s="15" t="str">
        <x:f>IF(Q312="Champions","Invite to advisory program and cross-sell service plans",IF(Q312="Loyal Growth","Prioritize expansion offer and product education",IF(Q312="High Value At Risk","Assign sales recovery outreach within 14 days",IF(Q312="New Accounts","Launch 90-day onboarding and adoption sequence",IF(Q312="Promising","Nurture second purchase with use-case content",IF(Q312="Needs Nurture","Run product-fit review and re-engagement sequence","Move to low-frequency win-back program"))))))</x:f>
        <x:v>Move to low-frequency win-back program</x:v>
      </x:c>
      <x:c r="T312" s="1"/>
      <x:c r="U312" s="1"/>
      <x:c r="V312" s="1"/>
      <x:c r="W312" s="1"/>
      <x:c r="X312" s="1"/>
      <x:c r="Y312" s="1"/>
      <x:c r="Z312" s="1"/>
    </x:row>
    <x:row r="313">
      <x:c r="A313" s="7" t="str">
        <x:v>ACC-0312</x:v>
      </x:c>
      <x:c r="B313" s="7" t="str">
        <x:v>BlueRiver Manufacturing 312</x:v>
      </x:c>
      <x:c r="C313" s="7" t="str">
        <x:v>Northeast</x:v>
      </x:c>
      <x:c r="D313" s="7" t="str">
        <x:v>Pharmaceuticals</x:v>
      </x:c>
      <x:c r="E313" s="7" t="str">
        <x:v>Small</x:v>
      </x:c>
      <x:c r="F313" s="7" t="str">
        <x:v>LinkedIn</x:v>
      </x:c>
      <x:c r="G313" s="8" t="n">
        <x:v>45954</x:v>
      </x:c>
      <x:c r="H313" s="8" t="n">
        <x:v>45954</x:v>
      </x:c>
      <x:c r="I313" s="9" t="n">
        <x:v>1</x:v>
      </x:c>
      <x:c r="J313" s="10" t="n">
        <x:v>95900</x:v>
      </x:c>
      <x:c r="K313" s="10" t="n">
        <x:f>J313/I313</x:f>
        <x:v>95900</x:v>
      </x:c>
      <x:c r="L313" s="9" t="n">
        <x:f>DATE(2026,6,30)-H313</x:f>
        <x:v>249</x:v>
      </x:c>
      <x:c r="M313" s="9" t="n">
        <x:f>IF(L313&lt;=60,5,IF(L313&lt;=120,4,IF(L313&lt;=180,3,IF(L313&lt;=240,2,1))))</x:f>
        <x:v>1</x:v>
      </x:c>
      <x:c r="N313" s="9" t="n">
        <x:f>IF(I313&gt;=6,5,IF(I313&gt;=4,4,IF(I313=3,3,IF(I313=2,2,1))))</x:f>
        <x:v>1</x:v>
      </x:c>
      <x:c r="O313" s="9" t="n">
        <x:f>IF(J313&gt;=500000,5,IF(J313&gt;=300000,4,IF(J313&gt;=175000,3,IF(J313&gt;=75000,2,1))))</x:f>
        <x:v>2</x:v>
      </x:c>
      <x:c r="P313" s="7" t="str">
        <x:f>M313&amp;N313&amp;O313</x:f>
        <x:v>112</x:v>
      </x:c>
      <x:c r="Q313" s="7" t="str">
        <x:f>IF(AND(L313&lt;=60,I313&gt;=5,J313&gt;=300000),"Champions",IF(AND(L313&lt;=120,I313&gt;=3),"Loyal Growth",IF(AND(L313&gt;180,J313&gt;=300000),"High Value At Risk",IF(DATE(2026,6,30)-G313&lt;=90,"New Accounts",IF(AND(L313&lt;=120,I313=1),"Promising",IF(L313&lt;=240,"Needs Nurture","Dormant"))))))</x:f>
        <x:v>Dormant</x:v>
      </x:c>
      <x:c r="R313" s="7" t="str">
        <x:f>IF(DATE(2026,6,30)-G313&lt;=90,"New",IF(AND(L313&lt;=120,I313&gt;=2),"Active",IF(I313=1,"One-time",IF(L313&lt;=240,"At Risk","Lapsed"))))</x:f>
        <x:v>One-time</x:v>
      </x:c>
      <x:c r="S313" s="15" t="str">
        <x:f>IF(Q313="Champions","Invite to advisory program and cross-sell service plans",IF(Q313="Loyal Growth","Prioritize expansion offer and product education",IF(Q313="High Value At Risk","Assign sales recovery outreach within 14 days",IF(Q313="New Accounts","Launch 90-day onboarding and adoption sequence",IF(Q313="Promising","Nurture second purchase with use-case content",IF(Q313="Needs Nurture","Run product-fit review and re-engagement sequence","Move to low-frequency win-back program"))))))</x:f>
        <x:v>Move to low-frequency win-back program</x:v>
      </x:c>
      <x:c r="T313" s="1"/>
      <x:c r="U313" s="1"/>
      <x:c r="V313" s="1"/>
      <x:c r="W313" s="1"/>
      <x:c r="X313" s="1"/>
      <x:c r="Y313" s="1"/>
      <x:c r="Z313" s="1"/>
    </x:row>
    <x:row r="314">
      <x:c r="A314" s="7" t="str">
        <x:v>ACC-0313</x:v>
      </x:c>
      <x:c r="B314" s="7" t="str">
        <x:v>Titan Industries 313</x:v>
      </x:c>
      <x:c r="C314" s="7" t="str">
        <x:v>West</x:v>
      </x:c>
      <x:c r="D314" s="7" t="str">
        <x:v>Food &amp; Beverage</x:v>
      </x:c>
      <x:c r="E314" s="7" t="str">
        <x:v>Small</x:v>
      </x:c>
      <x:c r="F314" s="7" t="str">
        <x:v>Email</x:v>
      </x:c>
      <x:c r="G314" s="8" t="n">
        <x:v>45514</x:v>
      </x:c>
      <x:c r="H314" s="8" t="n">
        <x:v>45514</x:v>
      </x:c>
      <x:c r="I314" s="9" t="n">
        <x:v>1</x:v>
      </x:c>
      <x:c r="J314" s="10" t="n">
        <x:v>110500</x:v>
      </x:c>
      <x:c r="K314" s="10" t="n">
        <x:f>J314/I314</x:f>
        <x:v>110500</x:v>
      </x:c>
      <x:c r="L314" s="9" t="n">
        <x:f>DATE(2026,6,30)-H314</x:f>
        <x:v>689</x:v>
      </x:c>
      <x:c r="M314" s="9" t="n">
        <x:f>IF(L314&lt;=60,5,IF(L314&lt;=120,4,IF(L314&lt;=180,3,IF(L314&lt;=240,2,1))))</x:f>
        <x:v>1</x:v>
      </x:c>
      <x:c r="N314" s="9" t="n">
        <x:f>IF(I314&gt;=6,5,IF(I314&gt;=4,4,IF(I314=3,3,IF(I314=2,2,1))))</x:f>
        <x:v>1</x:v>
      </x:c>
      <x:c r="O314" s="9" t="n">
        <x:f>IF(J314&gt;=500000,5,IF(J314&gt;=300000,4,IF(J314&gt;=175000,3,IF(J314&gt;=75000,2,1))))</x:f>
        <x:v>2</x:v>
      </x:c>
      <x:c r="P314" s="7" t="str">
        <x:f>M314&amp;N314&amp;O314</x:f>
        <x:v>112</x:v>
      </x:c>
      <x:c r="Q314" s="7" t="str">
        <x:f>IF(AND(L314&lt;=60,I314&gt;=5,J314&gt;=300000),"Champions",IF(AND(L314&lt;=120,I314&gt;=3),"Loyal Growth",IF(AND(L314&gt;180,J314&gt;=300000),"High Value At Risk",IF(DATE(2026,6,30)-G314&lt;=90,"New Accounts",IF(AND(L314&lt;=120,I314=1),"Promising",IF(L314&lt;=240,"Needs Nurture","Dormant"))))))</x:f>
        <x:v>Dormant</x:v>
      </x:c>
      <x:c r="R314" s="7" t="str">
        <x:f>IF(DATE(2026,6,30)-G314&lt;=90,"New",IF(AND(L314&lt;=120,I314&gt;=2),"Active",IF(I314=1,"One-time",IF(L314&lt;=240,"At Risk","Lapsed"))))</x:f>
        <x:v>One-time</x:v>
      </x:c>
      <x:c r="S314" s="15" t="str">
        <x:f>IF(Q314="Champions","Invite to advisory program and cross-sell service plans",IF(Q314="Loyal Growth","Prioritize expansion offer and product education",IF(Q314="High Value At Risk","Assign sales recovery outreach within 14 days",IF(Q314="New Accounts","Launch 90-day onboarding and adoption sequence",IF(Q314="Promising","Nurture second purchase with use-case content",IF(Q314="Needs Nurture","Run product-fit review and re-engagement sequence","Move to low-frequency win-back program"))))))</x:f>
        <x:v>Move to low-frequency win-back program</x:v>
      </x:c>
      <x:c r="T314" s="1"/>
      <x:c r="U314" s="1"/>
      <x:c r="V314" s="1"/>
      <x:c r="W314" s="1"/>
      <x:c r="X314" s="1"/>
      <x:c r="Y314" s="1"/>
      <x:c r="Z314" s="1"/>
    </x:row>
    <x:row r="315">
      <x:c r="A315" s="7" t="str">
        <x:v>ACC-0314</x:v>
      </x:c>
      <x:c r="B315" s="7" t="str">
        <x:v>Northstar Manufacturing 314</x:v>
      </x:c>
      <x:c r="C315" s="7" t="str">
        <x:v>Midwest</x:v>
      </x:c>
      <x:c r="D315" s="7" t="str">
        <x:v>Pharmaceuticals</x:v>
      </x:c>
      <x:c r="E315" s="7" t="str">
        <x:v>Mid-market</x:v>
      </x:c>
      <x:c r="F315" s="7" t="str">
        <x:v>Email</x:v>
      </x:c>
      <x:c r="G315" s="8" t="n">
        <x:v>45685</x:v>
      </x:c>
      <x:c r="H315" s="8" t="n">
        <x:v>46152</x:v>
      </x:c>
      <x:c r="I315" s="9" t="n">
        <x:v>3</x:v>
      </x:c>
      <x:c r="J315" s="10" t="n">
        <x:v>413800</x:v>
      </x:c>
      <x:c r="K315" s="10" t="n">
        <x:f>J315/I315</x:f>
        <x:v>137933.33333333334</x:v>
      </x:c>
      <x:c r="L315" s="9" t="n">
        <x:f>DATE(2026,6,30)-H315</x:f>
        <x:v>51</x:v>
      </x:c>
      <x:c r="M315" s="9" t="n">
        <x:f>IF(L315&lt;=60,5,IF(L315&lt;=120,4,IF(L315&lt;=180,3,IF(L315&lt;=240,2,1))))</x:f>
        <x:v>5</x:v>
      </x:c>
      <x:c r="N315" s="9" t="n">
        <x:f>IF(I315&gt;=6,5,IF(I315&gt;=4,4,IF(I315=3,3,IF(I315=2,2,1))))</x:f>
        <x:v>3</x:v>
      </x:c>
      <x:c r="O315" s="9" t="n">
        <x:f>IF(J315&gt;=500000,5,IF(J315&gt;=300000,4,IF(J315&gt;=175000,3,IF(J315&gt;=75000,2,1))))</x:f>
        <x:v>4</x:v>
      </x:c>
      <x:c r="P315" s="7" t="str">
        <x:f>M315&amp;N315&amp;O315</x:f>
        <x:v>534</x:v>
      </x:c>
      <x:c r="Q315" s="7" t="str">
        <x:f>IF(AND(L315&lt;=60,I315&gt;=5,J315&gt;=300000),"Champions",IF(AND(L315&lt;=120,I315&gt;=3),"Loyal Growth",IF(AND(L315&gt;180,J315&gt;=300000),"High Value At Risk",IF(DATE(2026,6,30)-G315&lt;=90,"New Accounts",IF(AND(L315&lt;=120,I315=1),"Promising",IF(L315&lt;=240,"Needs Nurture","Dormant"))))))</x:f>
        <x:v>Loyal Growth</x:v>
      </x:c>
      <x:c r="R315" s="7" t="str">
        <x:f>IF(DATE(2026,6,30)-G315&lt;=90,"New",IF(AND(L315&lt;=120,I315&gt;=2),"Active",IF(I315=1,"One-time",IF(L315&lt;=240,"At Risk","Lapsed"))))</x:f>
        <x:v>Active</x:v>
      </x:c>
      <x:c r="S315" s="15" t="str">
        <x:f>IF(Q315="Champions","Invite to advisory program and cross-sell service plans",IF(Q315="Loyal Growth","Prioritize expansion offer and product education",IF(Q315="High Value At Risk","Assign sales recovery outreach within 14 days",IF(Q315="New Accounts","Launch 90-day onboarding and adoption sequence",IF(Q315="Promising","Nurture second purchase with use-case content",IF(Q315="Needs Nurture","Run product-fit review and re-engagement sequence","Move to low-frequency win-back program"))))))</x:f>
        <x:v>Prioritize expansion offer and product education</x:v>
      </x:c>
      <x:c r="T315" s="1"/>
      <x:c r="U315" s="1"/>
      <x:c r="V315" s="1"/>
      <x:c r="W315" s="1"/>
      <x:c r="X315" s="1"/>
      <x:c r="Y315" s="1"/>
      <x:c r="Z315" s="1"/>
    </x:row>
    <x:row r="316">
      <x:c r="A316" s="7" t="str">
        <x:v>ACC-0315</x:v>
      </x:c>
      <x:c r="B316" s="7" t="str">
        <x:v>Beacon Manufacturing 315</x:v>
      </x:c>
      <x:c r="C316" s="7" t="str">
        <x:v>Northeast</x:v>
      </x:c>
      <x:c r="D316" s="7" t="str">
        <x:v>Industrial Products</x:v>
      </x:c>
      <x:c r="E316" s="7" t="str">
        <x:v>Mid-market</x:v>
      </x:c>
      <x:c r="F316" s="7" t="str">
        <x:v>Partner Referral</x:v>
      </x:c>
      <x:c r="G316" s="8" t="n">
        <x:v>45843</x:v>
      </x:c>
      <x:c r="H316" s="8" t="n">
        <x:v>45944</x:v>
      </x:c>
      <x:c r="I316" s="9" t="n">
        <x:v>3</x:v>
      </x:c>
      <x:c r="J316" s="10" t="n">
        <x:v>264700</x:v>
      </x:c>
      <x:c r="K316" s="10" t="n">
        <x:f>J316/I316</x:f>
        <x:v>88233.33333333333</x:v>
      </x:c>
      <x:c r="L316" s="9" t="n">
        <x:f>DATE(2026,6,30)-H316</x:f>
        <x:v>259</x:v>
      </x:c>
      <x:c r="M316" s="9" t="n">
        <x:f>IF(L316&lt;=60,5,IF(L316&lt;=120,4,IF(L316&lt;=180,3,IF(L316&lt;=240,2,1))))</x:f>
        <x:v>1</x:v>
      </x:c>
      <x:c r="N316" s="9" t="n">
        <x:f>IF(I316&gt;=6,5,IF(I316&gt;=4,4,IF(I316=3,3,IF(I316=2,2,1))))</x:f>
        <x:v>3</x:v>
      </x:c>
      <x:c r="O316" s="9" t="n">
        <x:f>IF(J316&gt;=500000,5,IF(J316&gt;=300000,4,IF(J316&gt;=175000,3,IF(J316&gt;=75000,2,1))))</x:f>
        <x:v>3</x:v>
      </x:c>
      <x:c r="P316" s="7" t="str">
        <x:f>M316&amp;N316&amp;O316</x:f>
        <x:v>133</x:v>
      </x:c>
      <x:c r="Q316" s="7" t="str">
        <x:f>IF(AND(L316&lt;=60,I316&gt;=5,J316&gt;=300000),"Champions",IF(AND(L316&lt;=120,I316&gt;=3),"Loyal Growth",IF(AND(L316&gt;180,J316&gt;=300000),"High Value At Risk",IF(DATE(2026,6,30)-G316&lt;=90,"New Accounts",IF(AND(L316&lt;=120,I316=1),"Promising",IF(L316&lt;=240,"Needs Nurture","Dormant"))))))</x:f>
        <x:v>Dormant</x:v>
      </x:c>
      <x:c r="R316" s="7" t="str">
        <x:f>IF(DATE(2026,6,30)-G316&lt;=90,"New",IF(AND(L316&lt;=120,I316&gt;=2),"Active",IF(I316=1,"One-time",IF(L316&lt;=240,"At Risk","Lapsed"))))</x:f>
        <x:v>Lapsed</x:v>
      </x:c>
      <x:c r="S316" s="15" t="str">
        <x:f>IF(Q316="Champions","Invite to advisory program and cross-sell service plans",IF(Q316="Loyal Growth","Prioritize expansion offer and product education",IF(Q316="High Value At Risk","Assign sales recovery outreach within 14 days",IF(Q316="New Accounts","Launch 90-day onboarding and adoption sequence",IF(Q316="Promising","Nurture second purchase with use-case content",IF(Q316="Needs Nurture","Run product-fit review and re-engagement sequence","Move to low-frequency win-back program"))))))</x:f>
        <x:v>Move to low-frequency win-back program</x:v>
      </x:c>
      <x:c r="T316" s="1"/>
      <x:c r="U316" s="1"/>
      <x:c r="V316" s="1"/>
      <x:c r="W316" s="1"/>
      <x:c r="X316" s="1"/>
      <x:c r="Y316" s="1"/>
      <x:c r="Z316" s="1"/>
    </x:row>
    <x:row r="317">
      <x:c r="A317" s="7" t="str">
        <x:v>ACC-0316</x:v>
      </x:c>
      <x:c r="B317" s="7" t="str">
        <x:v>Vertex Brands 316</x:v>
      </x:c>
      <x:c r="C317" s="7" t="str">
        <x:v>Midwest</x:v>
      </x:c>
      <x:c r="D317" s="7" t="str">
        <x:v>Consumer Goods</x:v>
      </x:c>
      <x:c r="E317" s="7" t="str">
        <x:v>Small</x:v>
      </x:c>
      <x:c r="F317" s="7" t="str">
        <x:v>Trade Show</x:v>
      </x:c>
      <x:c r="G317" s="8" t="n">
        <x:v>45930</x:v>
      </x:c>
      <x:c r="H317" s="8" t="n">
        <x:v>46155</x:v>
      </x:c>
      <x:c r="I317" s="9" t="n">
        <x:v>3</x:v>
      </x:c>
      <x:c r="J317" s="10" t="n">
        <x:v>314200</x:v>
      </x:c>
      <x:c r="K317" s="10" t="n">
        <x:f>J317/I317</x:f>
        <x:v>104733.33333333333</x:v>
      </x:c>
      <x:c r="L317" s="9" t="n">
        <x:f>DATE(2026,6,30)-H317</x:f>
        <x:v>48</x:v>
      </x:c>
      <x:c r="M317" s="9" t="n">
        <x:f>IF(L317&lt;=60,5,IF(L317&lt;=120,4,IF(L317&lt;=180,3,IF(L317&lt;=240,2,1))))</x:f>
        <x:v>5</x:v>
      </x:c>
      <x:c r="N317" s="9" t="n">
        <x:f>IF(I317&gt;=6,5,IF(I317&gt;=4,4,IF(I317=3,3,IF(I317=2,2,1))))</x:f>
        <x:v>3</x:v>
      </x:c>
      <x:c r="O317" s="9" t="n">
        <x:f>IF(J317&gt;=500000,5,IF(J317&gt;=300000,4,IF(J317&gt;=175000,3,IF(J317&gt;=75000,2,1))))</x:f>
        <x:v>4</x:v>
      </x:c>
      <x:c r="P317" s="7" t="str">
        <x:f>M317&amp;N317&amp;O317</x:f>
        <x:v>534</x:v>
      </x:c>
      <x:c r="Q317" s="7" t="str">
        <x:f>IF(AND(L317&lt;=60,I317&gt;=5,J317&gt;=300000),"Champions",IF(AND(L317&lt;=120,I317&gt;=3),"Loyal Growth",IF(AND(L317&gt;180,J317&gt;=300000),"High Value At Risk",IF(DATE(2026,6,30)-G317&lt;=90,"New Accounts",IF(AND(L317&lt;=120,I317=1),"Promising",IF(L317&lt;=240,"Needs Nurture","Dormant"))))))</x:f>
        <x:v>Loyal Growth</x:v>
      </x:c>
      <x:c r="R317" s="7" t="str">
        <x:f>IF(DATE(2026,6,30)-G317&lt;=90,"New",IF(AND(L317&lt;=120,I317&gt;=2),"Active",IF(I317=1,"One-time",IF(L317&lt;=240,"At Risk","Lapsed"))))</x:f>
        <x:v>Active</x:v>
      </x:c>
      <x:c r="S317" s="15" t="str">
        <x:f>IF(Q317="Champions","Invite to advisory program and cross-sell service plans",IF(Q317="Loyal Growth","Prioritize expansion offer and product education",IF(Q317="High Value At Risk","Assign sales recovery outreach within 14 days",IF(Q317="New Accounts","Launch 90-day onboarding and adoption sequence",IF(Q317="Promising","Nurture second purchase with use-case content",IF(Q317="Needs Nurture","Run product-fit review and re-engagement sequence","Move to low-frequency win-back program"))))))</x:f>
        <x:v>Prioritize expansion offer and product education</x:v>
      </x:c>
      <x:c r="T317" s="1"/>
      <x:c r="U317" s="1"/>
      <x:c r="V317" s="1"/>
      <x:c r="W317" s="1"/>
      <x:c r="X317" s="1"/>
      <x:c r="Y317" s="1"/>
      <x:c r="Z317" s="1"/>
    </x:row>
    <x:row r="318">
      <x:c r="A318" s="7" t="str">
        <x:v>ACC-0317</x:v>
      </x:c>
      <x:c r="B318" s="7" t="str">
        <x:v>Granite Manufacturing 317</x:v>
      </x:c>
      <x:c r="C318" s="7" t="str">
        <x:v>South</x:v>
      </x:c>
      <x:c r="D318" s="7" t="str">
        <x:v>Pharmaceuticals</x:v>
      </x:c>
      <x:c r="E318" s="7" t="str">
        <x:v>Enterprise</x:v>
      </x:c>
      <x:c r="F318" s="7" t="str">
        <x:v>Google Search</x:v>
      </x:c>
      <x:c r="G318" s="8" t="n">
        <x:v>45803</x:v>
      </x:c>
      <x:c r="H318" s="8" t="n">
        <x:v>46007</x:v>
      </x:c>
      <x:c r="I318" s="9" t="n">
        <x:v>6</x:v>
      </x:c>
      <x:c r="J318" s="10" t="n">
        <x:v>904500</x:v>
      </x:c>
      <x:c r="K318" s="10" t="n">
        <x:f>J318/I318</x:f>
        <x:v>150750</x:v>
      </x:c>
      <x:c r="L318" s="9" t="n">
        <x:f>DATE(2026,6,30)-H318</x:f>
        <x:v>196</x:v>
      </x:c>
      <x:c r="M318" s="9" t="n">
        <x:f>IF(L318&lt;=60,5,IF(L318&lt;=120,4,IF(L318&lt;=180,3,IF(L318&lt;=240,2,1))))</x:f>
        <x:v>2</x:v>
      </x:c>
      <x:c r="N318" s="9" t="n">
        <x:f>IF(I318&gt;=6,5,IF(I318&gt;=4,4,IF(I318=3,3,IF(I318=2,2,1))))</x:f>
        <x:v>5</x:v>
      </x:c>
      <x:c r="O318" s="9" t="n">
        <x:f>IF(J318&gt;=500000,5,IF(J318&gt;=300000,4,IF(J318&gt;=175000,3,IF(J318&gt;=75000,2,1))))</x:f>
        <x:v>5</x:v>
      </x:c>
      <x:c r="P318" s="7" t="str">
        <x:f>M318&amp;N318&amp;O318</x:f>
        <x:v>255</x:v>
      </x:c>
      <x:c r="Q318" s="7" t="str">
        <x:f>IF(AND(L318&lt;=60,I318&gt;=5,J318&gt;=300000),"Champions",IF(AND(L318&lt;=120,I318&gt;=3),"Loyal Growth",IF(AND(L318&gt;180,J318&gt;=300000),"High Value At Risk",IF(DATE(2026,6,30)-G318&lt;=90,"New Accounts",IF(AND(L318&lt;=120,I318=1),"Promising",IF(L318&lt;=240,"Needs Nurture","Dormant"))))))</x:f>
        <x:v>High Value At Risk</x:v>
      </x:c>
      <x:c r="R318" s="7" t="str">
        <x:f>IF(DATE(2026,6,30)-G318&lt;=90,"New",IF(AND(L318&lt;=120,I318&gt;=2),"Active",IF(I318=1,"One-time",IF(L318&lt;=240,"At Risk","Lapsed"))))</x:f>
        <x:v>At Risk</x:v>
      </x:c>
      <x:c r="S318" s="15" t="str">
        <x:f>IF(Q318="Champions","Invite to advisory program and cross-sell service plans",IF(Q318="Loyal Growth","Prioritize expansion offer and product education",IF(Q318="High Value At Risk","Assign sales recovery outreach within 14 days",IF(Q318="New Accounts","Launch 90-day onboarding and adoption sequence",IF(Q318="Promising","Nurture second purchase with use-case content",IF(Q318="Needs Nurture","Run product-fit review and re-engagement sequence","Move to low-frequency win-back program"))))))</x:f>
        <x:v>Assign sales recovery outreach within 14 days</x:v>
      </x:c>
      <x:c r="T318" s="1"/>
      <x:c r="U318" s="1"/>
      <x:c r="V318" s="1"/>
      <x:c r="W318" s="1"/>
      <x:c r="X318" s="1"/>
      <x:c r="Y318" s="1"/>
      <x:c r="Z318" s="1"/>
    </x:row>
    <x:row r="319">
      <x:c r="A319" s="7" t="str">
        <x:v>ACC-0318</x:v>
      </x:c>
      <x:c r="B319" s="7" t="str">
        <x:v>Beacon Manufacturing 318</x:v>
      </x:c>
      <x:c r="C319" s="7" t="str">
        <x:v>Midwest</x:v>
      </x:c>
      <x:c r="D319" s="7" t="str">
        <x:v>Industrial Products</x:v>
      </x:c>
      <x:c r="E319" s="7" t="str">
        <x:v>Small</x:v>
      </x:c>
      <x:c r="F319" s="7" t="str">
        <x:v>Email</x:v>
      </x:c>
      <x:c r="G319" s="8" t="n">
        <x:v>46142</x:v>
      </x:c>
      <x:c r="H319" s="8" t="n">
        <x:v>46161</x:v>
      </x:c>
      <x:c r="I319" s="9" t="n">
        <x:v>2</x:v>
      </x:c>
      <x:c r="J319" s="10" t="n">
        <x:v>146100</x:v>
      </x:c>
      <x:c r="K319" s="10" t="n">
        <x:f>J319/I319</x:f>
        <x:v>73050</x:v>
      </x:c>
      <x:c r="L319" s="9" t="n">
        <x:f>DATE(2026,6,30)-H319</x:f>
        <x:v>42</x:v>
      </x:c>
      <x:c r="M319" s="9" t="n">
        <x:f>IF(L319&lt;=60,5,IF(L319&lt;=120,4,IF(L319&lt;=180,3,IF(L319&lt;=240,2,1))))</x:f>
        <x:v>5</x:v>
      </x:c>
      <x:c r="N319" s="9" t="n">
        <x:f>IF(I319&gt;=6,5,IF(I319&gt;=4,4,IF(I319=3,3,IF(I319=2,2,1))))</x:f>
        <x:v>2</x:v>
      </x:c>
      <x:c r="O319" s="9" t="n">
        <x:f>IF(J319&gt;=500000,5,IF(J319&gt;=300000,4,IF(J319&gt;=175000,3,IF(J319&gt;=75000,2,1))))</x:f>
        <x:v>2</x:v>
      </x:c>
      <x:c r="P319" s="7" t="str">
        <x:f>M319&amp;N319&amp;O319</x:f>
        <x:v>522</x:v>
      </x:c>
      <x:c r="Q319" s="7" t="str">
        <x:f>IF(AND(L319&lt;=60,I319&gt;=5,J319&gt;=300000),"Champions",IF(AND(L319&lt;=120,I319&gt;=3),"Loyal Growth",IF(AND(L319&gt;180,J319&gt;=300000),"High Value At Risk",IF(DATE(2026,6,30)-G319&lt;=90,"New Accounts",IF(AND(L319&lt;=120,I319=1),"Promising",IF(L319&lt;=240,"Needs Nurture","Dormant"))))))</x:f>
        <x:v>New Accounts</x:v>
      </x:c>
      <x:c r="R319" s="7" t="str">
        <x:f>IF(DATE(2026,6,30)-G319&lt;=90,"New",IF(AND(L319&lt;=120,I319&gt;=2),"Active",IF(I319=1,"One-time",IF(L319&lt;=240,"At Risk","Lapsed"))))</x:f>
        <x:v>New</x:v>
      </x:c>
      <x:c r="S319" s="15" t="str">
        <x:f>IF(Q319="Champions","Invite to advisory program and cross-sell service plans",IF(Q319="Loyal Growth","Prioritize expansion offer and product education",IF(Q319="High Value At Risk","Assign sales recovery outreach within 14 days",IF(Q319="New Accounts","Launch 90-day onboarding and adoption sequence",IF(Q319="Promising","Nurture second purchase with use-case content",IF(Q319="Needs Nurture","Run product-fit review and re-engagement sequence","Move to low-frequency win-back program"))))))</x:f>
        <x:v>Launch 90-day onboarding and adoption sequence</x:v>
      </x:c>
      <x:c r="T319" s="1"/>
      <x:c r="U319" s="1"/>
      <x:c r="V319" s="1"/>
      <x:c r="W319" s="1"/>
      <x:c r="X319" s="1"/>
      <x:c r="Y319" s="1"/>
      <x:c r="Z319" s="1"/>
    </x:row>
    <x:row r="320">
      <x:c r="A320" s="7" t="str">
        <x:v>ACC-0319</x:v>
      </x:c>
      <x:c r="B320" s="7" t="str">
        <x:v>Vertex Foods 319</x:v>
      </x:c>
      <x:c r="C320" s="7" t="str">
        <x:v>Northeast</x:v>
      </x:c>
      <x:c r="D320" s="7" t="str">
        <x:v>Industrial Products</x:v>
      </x:c>
      <x:c r="E320" s="7" t="str">
        <x:v>Mid-market</x:v>
      </x:c>
      <x:c r="F320" s="7" t="str">
        <x:v>Trade Show</x:v>
      </x:c>
      <x:c r="G320" s="8" t="n">
        <x:v>46073</x:v>
      </x:c>
      <x:c r="H320" s="8" t="n">
        <x:v>46090</x:v>
      </x:c>
      <x:c r="I320" s="9" t="n">
        <x:v>2</x:v>
      </x:c>
      <x:c r="J320" s="10" t="n">
        <x:v>165000</x:v>
      </x:c>
      <x:c r="K320" s="10" t="n">
        <x:f>J320/I320</x:f>
        <x:v>82500</x:v>
      </x:c>
      <x:c r="L320" s="9" t="n">
        <x:f>DATE(2026,6,30)-H320</x:f>
        <x:v>113</x:v>
      </x:c>
      <x:c r="M320" s="9" t="n">
        <x:f>IF(L320&lt;=60,5,IF(L320&lt;=120,4,IF(L320&lt;=180,3,IF(L320&lt;=240,2,1))))</x:f>
        <x:v>4</x:v>
      </x:c>
      <x:c r="N320" s="9" t="n">
        <x:f>IF(I320&gt;=6,5,IF(I320&gt;=4,4,IF(I320=3,3,IF(I320=2,2,1))))</x:f>
        <x:v>2</x:v>
      </x:c>
      <x:c r="O320" s="9" t="n">
        <x:f>IF(J320&gt;=500000,5,IF(J320&gt;=300000,4,IF(J320&gt;=175000,3,IF(J320&gt;=75000,2,1))))</x:f>
        <x:v>2</x:v>
      </x:c>
      <x:c r="P320" s="7" t="str">
        <x:f>M320&amp;N320&amp;O320</x:f>
        <x:v>422</x:v>
      </x:c>
      <x:c r="Q320" s="7" t="str">
        <x:f>IF(AND(L320&lt;=60,I320&gt;=5,J320&gt;=300000),"Champions",IF(AND(L320&lt;=120,I320&gt;=3),"Loyal Growth",IF(AND(L320&gt;180,J320&gt;=300000),"High Value At Risk",IF(DATE(2026,6,30)-G320&lt;=90,"New Accounts",IF(AND(L320&lt;=120,I320=1),"Promising",IF(L320&lt;=240,"Needs Nurture","Dormant"))))))</x:f>
        <x:v>Needs Nurture</x:v>
      </x:c>
      <x:c r="R320" s="7" t="str">
        <x:f>IF(DATE(2026,6,30)-G320&lt;=90,"New",IF(AND(L320&lt;=120,I320&gt;=2),"Active",IF(I320=1,"One-time",IF(L320&lt;=240,"At Risk","Lapsed"))))</x:f>
        <x:v>Active</x:v>
      </x:c>
      <x:c r="S320" s="15" t="str">
        <x:f>IF(Q320="Champions","Invite to advisory program and cross-sell service plans",IF(Q320="Loyal Growth","Prioritize expansion offer and product education",IF(Q320="High Value At Risk","Assign sales recovery outreach within 14 days",IF(Q320="New Accounts","Launch 90-day onboarding and adoption sequence",IF(Q320="Promising","Nurture second purchase with use-case content",IF(Q320="Needs Nurture","Run product-fit review and re-engagement sequence","Move to low-frequency win-back program"))))))</x:f>
        <x:v>Run product-fit review and re-engagement sequence</x:v>
      </x:c>
      <x:c r="T320" s="1"/>
      <x:c r="U320" s="1"/>
      <x:c r="V320" s="1"/>
      <x:c r="W320" s="1"/>
      <x:c r="X320" s="1"/>
      <x:c r="Y320" s="1"/>
      <x:c r="Z320" s="1"/>
    </x:row>
    <x:row r="321">
      <x:c r="A321" s="7" t="str">
        <x:v>ACC-0320</x:v>
      </x:c>
      <x:c r="B321" s="7" t="str">
        <x:v>Harbor Packaging 320</x:v>
      </x:c>
      <x:c r="C321" s="7" t="str">
        <x:v>Northeast</x:v>
      </x:c>
      <x:c r="D321" s="7" t="str">
        <x:v>Industrial Products</x:v>
      </x:c>
      <x:c r="E321" s="7" t="str">
        <x:v>Mid-market</x:v>
      </x:c>
      <x:c r="F321" s="7" t="str">
        <x:v>Trade Show</x:v>
      </x:c>
      <x:c r="G321" s="8" t="n">
        <x:v>45449</x:v>
      </x:c>
      <x:c r="H321" s="8" t="n">
        <x:v>45687</x:v>
      </x:c>
      <x:c r="I321" s="9" t="n">
        <x:v>2</x:v>
      </x:c>
      <x:c r="J321" s="10" t="n">
        <x:v>205700</x:v>
      </x:c>
      <x:c r="K321" s="10" t="n">
        <x:f>J321/I321</x:f>
        <x:v>102850</x:v>
      </x:c>
      <x:c r="L321" s="9" t="n">
        <x:f>DATE(2026,6,30)-H321</x:f>
        <x:v>516</x:v>
      </x:c>
      <x:c r="M321" s="9" t="n">
        <x:f>IF(L321&lt;=60,5,IF(L321&lt;=120,4,IF(L321&lt;=180,3,IF(L321&lt;=240,2,1))))</x:f>
        <x:v>1</x:v>
      </x:c>
      <x:c r="N321" s="9" t="n">
        <x:f>IF(I321&gt;=6,5,IF(I321&gt;=4,4,IF(I321=3,3,IF(I321=2,2,1))))</x:f>
        <x:v>2</x:v>
      </x:c>
      <x:c r="O321" s="9" t="n">
        <x:f>IF(J321&gt;=500000,5,IF(J321&gt;=300000,4,IF(J321&gt;=175000,3,IF(J321&gt;=75000,2,1))))</x:f>
        <x:v>3</x:v>
      </x:c>
      <x:c r="P321" s="7" t="str">
        <x:f>M321&amp;N321&amp;O321</x:f>
        <x:v>123</x:v>
      </x:c>
      <x:c r="Q321" s="7" t="str">
        <x:f>IF(AND(L321&lt;=60,I321&gt;=5,J321&gt;=300000),"Champions",IF(AND(L321&lt;=120,I321&gt;=3),"Loyal Growth",IF(AND(L321&gt;180,J321&gt;=300000),"High Value At Risk",IF(DATE(2026,6,30)-G321&lt;=90,"New Accounts",IF(AND(L321&lt;=120,I321=1),"Promising",IF(L321&lt;=240,"Needs Nurture","Dormant"))))))</x:f>
        <x:v>Dormant</x:v>
      </x:c>
      <x:c r="R321" s="7" t="str">
        <x:f>IF(DATE(2026,6,30)-G321&lt;=90,"New",IF(AND(L321&lt;=120,I321&gt;=2),"Active",IF(I321=1,"One-time",IF(L321&lt;=240,"At Risk","Lapsed"))))</x:f>
        <x:v>Lapsed</x:v>
      </x:c>
      <x:c r="S321" s="15" t="str">
        <x:f>IF(Q321="Champions","Invite to advisory program and cross-sell service plans",IF(Q321="Loyal Growth","Prioritize expansion offer and product education",IF(Q321="High Value At Risk","Assign sales recovery outreach within 14 days",IF(Q321="New Accounts","Launch 90-day onboarding and adoption sequence",IF(Q321="Promising","Nurture second purchase with use-case content",IF(Q321="Needs Nurture","Run product-fit review and re-engagement sequence","Move to low-frequency win-back program"))))))</x:f>
        <x:v>Move to low-frequency win-back program</x:v>
      </x:c>
      <x:c r="T321" s="1"/>
      <x:c r="U321" s="1"/>
      <x:c r="V321" s="1"/>
      <x:c r="W321" s="1"/>
      <x:c r="X321" s="1"/>
      <x:c r="Y321" s="1"/>
      <x:c r="Z321" s="1"/>
    </x:row>
    <x:row r="322">
      <x:c r="A322" s="7" t="str">
        <x:v>ACC-0321</x:v>
      </x:c>
      <x:c r="B322" s="7" t="str">
        <x:v>Evergreen Industries 321</x:v>
      </x:c>
      <x:c r="C322" s="7" t="str">
        <x:v>Midwest</x:v>
      </x:c>
      <x:c r="D322" s="7" t="str">
        <x:v>Consumer Goods</x:v>
      </x:c>
      <x:c r="E322" s="7" t="str">
        <x:v>Enterprise</x:v>
      </x:c>
      <x:c r="F322" s="7" t="str">
        <x:v>Trade Show</x:v>
      </x:c>
      <x:c r="G322" s="8" t="n">
        <x:v>45497</x:v>
      </x:c>
      <x:c r="H322" s="8" t="n">
        <x:v>46018</x:v>
      </x:c>
      <x:c r="I322" s="9" t="n">
        <x:v>5</x:v>
      </x:c>
      <x:c r="J322" s="10" t="n">
        <x:v>657200</x:v>
      </x:c>
      <x:c r="K322" s="10" t="n">
        <x:f>J322/I322</x:f>
        <x:v>131440</x:v>
      </x:c>
      <x:c r="L322" s="9" t="n">
        <x:f>DATE(2026,6,30)-H322</x:f>
        <x:v>185</x:v>
      </x:c>
      <x:c r="M322" s="9" t="n">
        <x:f>IF(L322&lt;=60,5,IF(L322&lt;=120,4,IF(L322&lt;=180,3,IF(L322&lt;=240,2,1))))</x:f>
        <x:v>2</x:v>
      </x:c>
      <x:c r="N322" s="9" t="n">
        <x:f>IF(I322&gt;=6,5,IF(I322&gt;=4,4,IF(I322=3,3,IF(I322=2,2,1))))</x:f>
        <x:v>4</x:v>
      </x:c>
      <x:c r="O322" s="9" t="n">
        <x:f>IF(J322&gt;=500000,5,IF(J322&gt;=300000,4,IF(J322&gt;=175000,3,IF(J322&gt;=75000,2,1))))</x:f>
        <x:v>5</x:v>
      </x:c>
      <x:c r="P322" s="7" t="str">
        <x:f>M322&amp;N322&amp;O322</x:f>
        <x:v>245</x:v>
      </x:c>
      <x:c r="Q322" s="7" t="str">
        <x:f>IF(AND(L322&lt;=60,I322&gt;=5,J322&gt;=300000),"Champions",IF(AND(L322&lt;=120,I322&gt;=3),"Loyal Growth",IF(AND(L322&gt;180,J322&gt;=300000),"High Value At Risk",IF(DATE(2026,6,30)-G322&lt;=90,"New Accounts",IF(AND(L322&lt;=120,I322=1),"Promising",IF(L322&lt;=240,"Needs Nurture","Dormant"))))))</x:f>
        <x:v>High Value At Risk</x:v>
      </x:c>
      <x:c r="R322" s="7" t="str">
        <x:f>IF(DATE(2026,6,30)-G322&lt;=90,"New",IF(AND(L322&lt;=120,I322&gt;=2),"Active",IF(I322=1,"One-time",IF(L322&lt;=240,"At Risk","Lapsed"))))</x:f>
        <x:v>At Risk</x:v>
      </x:c>
      <x:c r="S322" s="15" t="str">
        <x:f>IF(Q322="Champions","Invite to advisory program and cross-sell service plans",IF(Q322="Loyal Growth","Prioritize expansion offer and product education",IF(Q322="High Value At Risk","Assign sales recovery outreach within 14 days",IF(Q322="New Accounts","Launch 90-day onboarding and adoption sequence",IF(Q322="Promising","Nurture second purchase with use-case content",IF(Q322="Needs Nurture","Run product-fit review and re-engagement sequence","Move to low-frequency win-back program"))))))</x:f>
        <x:v>Assign sales recovery outreach within 14 days</x:v>
      </x:c>
      <x:c r="T322" s="1"/>
      <x:c r="U322" s="1"/>
      <x:c r="V322" s="1"/>
      <x:c r="W322" s="1"/>
      <x:c r="X322" s="1"/>
      <x:c r="Y322" s="1"/>
      <x:c r="Z322" s="1"/>
    </x:row>
    <x:row r="323">
      <x:c r="A323" s="7" t="str">
        <x:v>ACC-0322</x:v>
      </x:c>
      <x:c r="B323" s="7" t="str">
        <x:v>Harbor Solutions 322</x:v>
      </x:c>
      <x:c r="C323" s="7" t="str">
        <x:v>Northeast</x:v>
      </x:c>
      <x:c r="D323" s="7" t="str">
        <x:v>Contract Packaging</x:v>
      </x:c>
      <x:c r="E323" s="7" t="str">
        <x:v>Enterprise</x:v>
      </x:c>
      <x:c r="F323" s="7" t="str">
        <x:v>Email</x:v>
      </x:c>
      <x:c r="G323" s="8" t="n">
        <x:v>45771</x:v>
      </x:c>
      <x:c r="H323" s="8" t="n">
        <x:v>46103</x:v>
      </x:c>
      <x:c r="I323" s="9" t="n">
        <x:v>5</x:v>
      </x:c>
      <x:c r="J323" s="10" t="n">
        <x:v>584600</x:v>
      </x:c>
      <x:c r="K323" s="10" t="n">
        <x:f>J323/I323</x:f>
        <x:v>116920</x:v>
      </x:c>
      <x:c r="L323" s="9" t="n">
        <x:f>DATE(2026,6,30)-H323</x:f>
        <x:v>100</x:v>
      </x:c>
      <x:c r="M323" s="9" t="n">
        <x:f>IF(L323&lt;=60,5,IF(L323&lt;=120,4,IF(L323&lt;=180,3,IF(L323&lt;=240,2,1))))</x:f>
        <x:v>4</x:v>
      </x:c>
      <x:c r="N323" s="9" t="n">
        <x:f>IF(I323&gt;=6,5,IF(I323&gt;=4,4,IF(I323=3,3,IF(I323=2,2,1))))</x:f>
        <x:v>4</x:v>
      </x:c>
      <x:c r="O323" s="9" t="n">
        <x:f>IF(J323&gt;=500000,5,IF(J323&gt;=300000,4,IF(J323&gt;=175000,3,IF(J323&gt;=75000,2,1))))</x:f>
        <x:v>5</x:v>
      </x:c>
      <x:c r="P323" s="7" t="str">
        <x:f>M323&amp;N323&amp;O323</x:f>
        <x:v>445</x:v>
      </x:c>
      <x:c r="Q323" s="7" t="str">
        <x:f>IF(AND(L323&lt;=60,I323&gt;=5,J323&gt;=300000),"Champions",IF(AND(L323&lt;=120,I323&gt;=3),"Loyal Growth",IF(AND(L323&gt;180,J323&gt;=300000),"High Value At Risk",IF(DATE(2026,6,30)-G323&lt;=90,"New Accounts",IF(AND(L323&lt;=120,I323=1),"Promising",IF(L323&lt;=240,"Needs Nurture","Dormant"))))))</x:f>
        <x:v>Loyal Growth</x:v>
      </x:c>
      <x:c r="R323" s="7" t="str">
        <x:f>IF(DATE(2026,6,30)-G323&lt;=90,"New",IF(AND(L323&lt;=120,I323&gt;=2),"Active",IF(I323=1,"One-time",IF(L323&lt;=240,"At Risk","Lapsed"))))</x:f>
        <x:v>Active</x:v>
      </x:c>
      <x:c r="S323" s="15" t="str">
        <x:f>IF(Q323="Champions","Invite to advisory program and cross-sell service plans",IF(Q323="Loyal Growth","Prioritize expansion offer and product education",IF(Q323="High Value At Risk","Assign sales recovery outreach within 14 days",IF(Q323="New Accounts","Launch 90-day onboarding and adoption sequence",IF(Q323="Promising","Nurture second purchase with use-case content",IF(Q323="Needs Nurture","Run product-fit review and re-engagement sequence","Move to low-frequency win-back program"))))))</x:f>
        <x:v>Prioritize expansion offer and product education</x:v>
      </x:c>
      <x:c r="T323" s="1"/>
      <x:c r="U323" s="1"/>
      <x:c r="V323" s="1"/>
      <x:c r="W323" s="1"/>
      <x:c r="X323" s="1"/>
      <x:c r="Y323" s="1"/>
      <x:c r="Z323" s="1"/>
    </x:row>
    <x:row r="324">
      <x:c r="A324" s="7" t="str">
        <x:v>ACC-0323</x:v>
      </x:c>
      <x:c r="B324" s="7" t="str">
        <x:v>Northstar Manufacturing 323</x:v>
      </x:c>
      <x:c r="C324" s="7" t="str">
        <x:v>South</x:v>
      </x:c>
      <x:c r="D324" s="7" t="str">
        <x:v>Contract Packaging</x:v>
      </x:c>
      <x:c r="E324" s="7" t="str">
        <x:v>Enterprise</x:v>
      </x:c>
      <x:c r="F324" s="7" t="str">
        <x:v>Partner Referral</x:v>
      </x:c>
      <x:c r="G324" s="8" t="n">
        <x:v>45655</x:v>
      </x:c>
      <x:c r="H324" s="8" t="n">
        <x:v>46087</x:v>
      </x:c>
      <x:c r="I324" s="9" t="n">
        <x:v>8</x:v>
      </x:c>
      <x:c r="J324" s="10" t="n">
        <x:v>668300</x:v>
      </x:c>
      <x:c r="K324" s="10" t="n">
        <x:f>J324/I324</x:f>
        <x:v>83537.5</x:v>
      </x:c>
      <x:c r="L324" s="9" t="n">
        <x:f>DATE(2026,6,30)-H324</x:f>
        <x:v>116</x:v>
      </x:c>
      <x:c r="M324" s="9" t="n">
        <x:f>IF(L324&lt;=60,5,IF(L324&lt;=120,4,IF(L324&lt;=180,3,IF(L324&lt;=240,2,1))))</x:f>
        <x:v>4</x:v>
      </x:c>
      <x:c r="N324" s="9" t="n">
        <x:f>IF(I324&gt;=6,5,IF(I324&gt;=4,4,IF(I324=3,3,IF(I324=2,2,1))))</x:f>
        <x:v>5</x:v>
      </x:c>
      <x:c r="O324" s="9" t="n">
        <x:f>IF(J324&gt;=500000,5,IF(J324&gt;=300000,4,IF(J324&gt;=175000,3,IF(J324&gt;=75000,2,1))))</x:f>
        <x:v>5</x:v>
      </x:c>
      <x:c r="P324" s="7" t="str">
        <x:f>M324&amp;N324&amp;O324</x:f>
        <x:v>455</x:v>
      </x:c>
      <x:c r="Q324" s="7" t="str">
        <x:f>IF(AND(L324&lt;=60,I324&gt;=5,J324&gt;=300000),"Champions",IF(AND(L324&lt;=120,I324&gt;=3),"Loyal Growth",IF(AND(L324&gt;180,J324&gt;=300000),"High Value At Risk",IF(DATE(2026,6,30)-G324&lt;=90,"New Accounts",IF(AND(L324&lt;=120,I324=1),"Promising",IF(L324&lt;=240,"Needs Nurture","Dormant"))))))</x:f>
        <x:v>Loyal Growth</x:v>
      </x:c>
      <x:c r="R324" s="7" t="str">
        <x:f>IF(DATE(2026,6,30)-G324&lt;=90,"New",IF(AND(L324&lt;=120,I324&gt;=2),"Active",IF(I324=1,"One-time",IF(L324&lt;=240,"At Risk","Lapsed"))))</x:f>
        <x:v>Active</x:v>
      </x:c>
      <x:c r="S324" s="15" t="str">
        <x:f>IF(Q324="Champions","Invite to advisory program and cross-sell service plans",IF(Q324="Loyal Growth","Prioritize expansion offer and product education",IF(Q324="High Value At Risk","Assign sales recovery outreach within 14 days",IF(Q324="New Accounts","Launch 90-day onboarding and adoption sequence",IF(Q324="Promising","Nurture second purchase with use-case content",IF(Q324="Needs Nurture","Run product-fit review and re-engagement sequence","Move to low-frequency win-back program"))))))</x:f>
        <x:v>Prioritize expansion offer and product education</x:v>
      </x:c>
      <x:c r="T324" s="1"/>
      <x:c r="U324" s="1"/>
      <x:c r="V324" s="1"/>
      <x:c r="W324" s="1"/>
      <x:c r="X324" s="1"/>
      <x:c r="Y324" s="1"/>
      <x:c r="Z324" s="1"/>
    </x:row>
    <x:row r="325">
      <x:c r="A325" s="7" t="str">
        <x:v>ACC-0324</x:v>
      </x:c>
      <x:c r="B325" s="7" t="str">
        <x:v>Frontier Labs 324</x:v>
      </x:c>
      <x:c r="C325" s="7" t="str">
        <x:v>Northeast</x:v>
      </x:c>
      <x:c r="D325" s="7" t="str">
        <x:v>Food &amp; Beverage</x:v>
      </x:c>
      <x:c r="E325" s="7" t="str">
        <x:v>Enterprise</x:v>
      </x:c>
      <x:c r="F325" s="7" t="str">
        <x:v>Trade Show</x:v>
      </x:c>
      <x:c r="G325" s="8" t="n">
        <x:v>45370</x:v>
      </x:c>
      <x:c r="H325" s="8" t="n">
        <x:v>46172</x:v>
      </x:c>
      <x:c r="I325" s="9" t="n">
        <x:v>7</x:v>
      </x:c>
      <x:c r="J325" s="10" t="n">
        <x:v>1273100</x:v>
      </x:c>
      <x:c r="K325" s="10" t="n">
        <x:f>J325/I325</x:f>
        <x:v>181871.42857142858</x:v>
      </x:c>
      <x:c r="L325" s="9" t="n">
        <x:f>DATE(2026,6,30)-H325</x:f>
        <x:v>31</x:v>
      </x:c>
      <x:c r="M325" s="9" t="n">
        <x:f>IF(L325&lt;=60,5,IF(L325&lt;=120,4,IF(L325&lt;=180,3,IF(L325&lt;=240,2,1))))</x:f>
        <x:v>5</x:v>
      </x:c>
      <x:c r="N325" s="9" t="n">
        <x:f>IF(I325&gt;=6,5,IF(I325&gt;=4,4,IF(I325=3,3,IF(I325=2,2,1))))</x:f>
        <x:v>5</x:v>
      </x:c>
      <x:c r="O325" s="9" t="n">
        <x:f>IF(J325&gt;=500000,5,IF(J325&gt;=300000,4,IF(J325&gt;=175000,3,IF(J325&gt;=75000,2,1))))</x:f>
        <x:v>5</x:v>
      </x:c>
      <x:c r="P325" s="7" t="str">
        <x:f>M325&amp;N325&amp;O325</x:f>
        <x:v>555</x:v>
      </x:c>
      <x:c r="Q325" s="7" t="str">
        <x:f>IF(AND(L325&lt;=60,I325&gt;=5,J325&gt;=300000),"Champions",IF(AND(L325&lt;=120,I325&gt;=3),"Loyal Growth",IF(AND(L325&gt;180,J325&gt;=300000),"High Value At Risk",IF(DATE(2026,6,30)-G325&lt;=90,"New Accounts",IF(AND(L325&lt;=120,I325=1),"Promising",IF(L325&lt;=240,"Needs Nurture","Dormant"))))))</x:f>
        <x:v>Champions</x:v>
      </x:c>
      <x:c r="R325" s="7" t="str">
        <x:f>IF(DATE(2026,6,30)-G325&lt;=90,"New",IF(AND(L325&lt;=120,I325&gt;=2),"Active",IF(I325=1,"One-time",IF(L325&lt;=240,"At Risk","Lapsed"))))</x:f>
        <x:v>Active</x:v>
      </x:c>
      <x:c r="S325" s="15" t="str">
        <x:f>IF(Q325="Champions","Invite to advisory program and cross-sell service plans",IF(Q325="Loyal Growth","Prioritize expansion offer and product education",IF(Q325="High Value At Risk","Assign sales recovery outreach within 14 days",IF(Q325="New Accounts","Launch 90-day onboarding and adoption sequence",IF(Q325="Promising","Nurture second purchase with use-case content",IF(Q325="Needs Nurture","Run product-fit review and re-engagement sequence","Move to low-frequency win-back program"))))))</x:f>
        <x:v>Invite to advisory program and cross-sell service plans</x:v>
      </x:c>
      <x:c r="T325" s="1"/>
      <x:c r="U325" s="1"/>
      <x:c r="V325" s="1"/>
      <x:c r="W325" s="1"/>
      <x:c r="X325" s="1"/>
      <x:c r="Y325" s="1"/>
      <x:c r="Z325" s="1"/>
    </x:row>
    <x:row r="326">
      <x:c r="A326" s="7" t="str">
        <x:v>ACC-0325</x:v>
      </x:c>
      <x:c r="B326" s="7" t="str">
        <x:v>Keystone Industries 325</x:v>
      </x:c>
      <x:c r="C326" s="7" t="str">
        <x:v>West</x:v>
      </x:c>
      <x:c r="D326" s="7" t="str">
        <x:v>Pharmaceuticals</x:v>
      </x:c>
      <x:c r="E326" s="7" t="str">
        <x:v>Mid-market</x:v>
      </x:c>
      <x:c r="F326" s="7" t="str">
        <x:v>Email</x:v>
      </x:c>
      <x:c r="G326" s="8" t="n">
        <x:v>45782</x:v>
      </x:c>
      <x:c r="H326" s="8" t="n">
        <x:v>45968</x:v>
      </x:c>
      <x:c r="I326" s="9" t="n">
        <x:v>2</x:v>
      </x:c>
      <x:c r="J326" s="10" t="n">
        <x:v>68100</x:v>
      </x:c>
      <x:c r="K326" s="10" t="n">
        <x:f>J326/I326</x:f>
        <x:v>34050</x:v>
      </x:c>
      <x:c r="L326" s="9" t="n">
        <x:f>DATE(2026,6,30)-H326</x:f>
        <x:v>235</x:v>
      </x:c>
      <x:c r="M326" s="9" t="n">
        <x:f>IF(L326&lt;=60,5,IF(L326&lt;=120,4,IF(L326&lt;=180,3,IF(L326&lt;=240,2,1))))</x:f>
        <x:v>2</x:v>
      </x:c>
      <x:c r="N326" s="9" t="n">
        <x:f>IF(I326&gt;=6,5,IF(I326&gt;=4,4,IF(I326=3,3,IF(I326=2,2,1))))</x:f>
        <x:v>2</x:v>
      </x:c>
      <x:c r="O326" s="9" t="n">
        <x:f>IF(J326&gt;=500000,5,IF(J326&gt;=300000,4,IF(J326&gt;=175000,3,IF(J326&gt;=75000,2,1))))</x:f>
        <x:v>1</x:v>
      </x:c>
      <x:c r="P326" s="7" t="str">
        <x:f>M326&amp;N326&amp;O326</x:f>
        <x:v>221</x:v>
      </x:c>
      <x:c r="Q326" s="7" t="str">
        <x:f>IF(AND(L326&lt;=60,I326&gt;=5,J326&gt;=300000),"Champions",IF(AND(L326&lt;=120,I326&gt;=3),"Loyal Growth",IF(AND(L326&gt;180,J326&gt;=300000),"High Value At Risk",IF(DATE(2026,6,30)-G326&lt;=90,"New Accounts",IF(AND(L326&lt;=120,I326=1),"Promising",IF(L326&lt;=240,"Needs Nurture","Dormant"))))))</x:f>
        <x:v>Needs Nurture</x:v>
      </x:c>
      <x:c r="R326" s="7" t="str">
        <x:f>IF(DATE(2026,6,30)-G326&lt;=90,"New",IF(AND(L326&lt;=120,I326&gt;=2),"Active",IF(I326=1,"One-time",IF(L326&lt;=240,"At Risk","Lapsed"))))</x:f>
        <x:v>At Risk</x:v>
      </x:c>
      <x:c r="S326" s="15" t="str">
        <x:f>IF(Q326="Champions","Invite to advisory program and cross-sell service plans",IF(Q326="Loyal Growth","Prioritize expansion offer and product education",IF(Q326="High Value At Risk","Assign sales recovery outreach within 14 days",IF(Q326="New Accounts","Launch 90-day onboarding and adoption sequence",IF(Q326="Promising","Nurture second purchase with use-case content",IF(Q326="Needs Nurture","Run product-fit review and re-engagement sequence","Move to low-frequency win-back program"))))))</x:f>
        <x:v>Run product-fit review and re-engagement sequence</x:v>
      </x:c>
      <x:c r="T326" s="1"/>
      <x:c r="U326" s="1"/>
      <x:c r="V326" s="1"/>
      <x:c r="W326" s="1"/>
      <x:c r="X326" s="1"/>
      <x:c r="Y326" s="1"/>
      <x:c r="Z326" s="1"/>
    </x:row>
    <x:row r="327">
      <x:c r="A327" s="7" t="str">
        <x:v>ACC-0326</x:v>
      </x:c>
      <x:c r="B327" s="7" t="str">
        <x:v>Harbor Industries 326</x:v>
      </x:c>
      <x:c r="C327" s="7" t="str">
        <x:v>Northeast</x:v>
      </x:c>
      <x:c r="D327" s="7" t="str">
        <x:v>Food &amp; Beverage</x:v>
      </x:c>
      <x:c r="E327" s="7" t="str">
        <x:v>Small</x:v>
      </x:c>
      <x:c r="F327" s="7" t="str">
        <x:v>Trade Show</x:v>
      </x:c>
      <x:c r="G327" s="8" t="n">
        <x:v>45691</x:v>
      </x:c>
      <x:c r="H327" s="8" t="n">
        <x:v>46163</x:v>
      </x:c>
      <x:c r="I327" s="9" t="n">
        <x:v>2</x:v>
      </x:c>
      <x:c r="J327" s="10" t="n">
        <x:v>76500</x:v>
      </x:c>
      <x:c r="K327" s="10" t="n">
        <x:f>J327/I327</x:f>
        <x:v>38250</x:v>
      </x:c>
      <x:c r="L327" s="9" t="n">
        <x:f>DATE(2026,6,30)-H327</x:f>
        <x:v>40</x:v>
      </x:c>
      <x:c r="M327" s="9" t="n">
        <x:f>IF(L327&lt;=60,5,IF(L327&lt;=120,4,IF(L327&lt;=180,3,IF(L327&lt;=240,2,1))))</x:f>
        <x:v>5</x:v>
      </x:c>
      <x:c r="N327" s="9" t="n">
        <x:f>IF(I327&gt;=6,5,IF(I327&gt;=4,4,IF(I327=3,3,IF(I327=2,2,1))))</x:f>
        <x:v>2</x:v>
      </x:c>
      <x:c r="O327" s="9" t="n">
        <x:f>IF(J327&gt;=500000,5,IF(J327&gt;=300000,4,IF(J327&gt;=175000,3,IF(J327&gt;=75000,2,1))))</x:f>
        <x:v>2</x:v>
      </x:c>
      <x:c r="P327" s="7" t="str">
        <x:f>M327&amp;N327&amp;O327</x:f>
        <x:v>522</x:v>
      </x:c>
      <x:c r="Q327" s="7" t="str">
        <x:f>IF(AND(L327&lt;=60,I327&gt;=5,J327&gt;=300000),"Champions",IF(AND(L327&lt;=120,I327&gt;=3),"Loyal Growth",IF(AND(L327&gt;180,J327&gt;=300000),"High Value At Risk",IF(DATE(2026,6,30)-G327&lt;=90,"New Accounts",IF(AND(L327&lt;=120,I327=1),"Promising",IF(L327&lt;=240,"Needs Nurture","Dormant"))))))</x:f>
        <x:v>Needs Nurture</x:v>
      </x:c>
      <x:c r="R327" s="7" t="str">
        <x:f>IF(DATE(2026,6,30)-G327&lt;=90,"New",IF(AND(L327&lt;=120,I327&gt;=2),"Active",IF(I327=1,"One-time",IF(L327&lt;=240,"At Risk","Lapsed"))))</x:f>
        <x:v>Active</x:v>
      </x:c>
      <x:c r="S327" s="15" t="str">
        <x:f>IF(Q327="Champions","Invite to advisory program and cross-sell service plans",IF(Q327="Loyal Growth","Prioritize expansion offer and product education",IF(Q327="High Value At Risk","Assign sales recovery outreach within 14 days",IF(Q327="New Accounts","Launch 90-day onboarding and adoption sequence",IF(Q327="Promising","Nurture second purchase with use-case content",IF(Q327="Needs Nurture","Run product-fit review and re-engagement sequence","Move to low-frequency win-back program"))))))</x:f>
        <x:v>Run product-fit review and re-engagement sequence</x:v>
      </x:c>
      <x:c r="T327" s="1"/>
      <x:c r="U327" s="1"/>
      <x:c r="V327" s="1"/>
      <x:c r="W327" s="1"/>
      <x:c r="X327" s="1"/>
      <x:c r="Y327" s="1"/>
      <x:c r="Z327" s="1"/>
    </x:row>
    <x:row r="328">
      <x:c r="A328" s="7" t="str">
        <x:v>ACC-0327</x:v>
      </x:c>
      <x:c r="B328" s="7" t="str">
        <x:v>Harbor Manufacturing 327</x:v>
      </x:c>
      <x:c r="C328" s="7" t="str">
        <x:v>Midwest</x:v>
      </x:c>
      <x:c r="D328" s="7" t="str">
        <x:v>Pharmaceuticals</x:v>
      </x:c>
      <x:c r="E328" s="7" t="str">
        <x:v>Enterprise</x:v>
      </x:c>
      <x:c r="F328" s="7" t="str">
        <x:v>LinkedIn</x:v>
      </x:c>
      <x:c r="G328" s="8" t="n">
        <x:v>45624</x:v>
      </x:c>
      <x:c r="H328" s="8" t="n">
        <x:v>46092</x:v>
      </x:c>
      <x:c r="I328" s="9" t="n">
        <x:v>3</x:v>
      </x:c>
      <x:c r="J328" s="10" t="n">
        <x:v>294600</x:v>
      </x:c>
      <x:c r="K328" s="10" t="n">
        <x:f>J328/I328</x:f>
        <x:v>98200</x:v>
      </x:c>
      <x:c r="L328" s="9" t="n">
        <x:f>DATE(2026,6,30)-H328</x:f>
        <x:v>111</x:v>
      </x:c>
      <x:c r="M328" s="9" t="n">
        <x:f>IF(L328&lt;=60,5,IF(L328&lt;=120,4,IF(L328&lt;=180,3,IF(L328&lt;=240,2,1))))</x:f>
        <x:v>4</x:v>
      </x:c>
      <x:c r="N328" s="9" t="n">
        <x:f>IF(I328&gt;=6,5,IF(I328&gt;=4,4,IF(I328=3,3,IF(I328=2,2,1))))</x:f>
        <x:v>3</x:v>
      </x:c>
      <x:c r="O328" s="9" t="n">
        <x:f>IF(J328&gt;=500000,5,IF(J328&gt;=300000,4,IF(J328&gt;=175000,3,IF(J328&gt;=75000,2,1))))</x:f>
        <x:v>3</x:v>
      </x:c>
      <x:c r="P328" s="7" t="str">
        <x:f>M328&amp;N328&amp;O328</x:f>
        <x:v>433</x:v>
      </x:c>
      <x:c r="Q328" s="7" t="str">
        <x:f>IF(AND(L328&lt;=60,I328&gt;=5,J328&gt;=300000),"Champions",IF(AND(L328&lt;=120,I328&gt;=3),"Loyal Growth",IF(AND(L328&gt;180,J328&gt;=300000),"High Value At Risk",IF(DATE(2026,6,30)-G328&lt;=90,"New Accounts",IF(AND(L328&lt;=120,I328=1),"Promising",IF(L328&lt;=240,"Needs Nurture","Dormant"))))))</x:f>
        <x:v>Loyal Growth</x:v>
      </x:c>
      <x:c r="R328" s="7" t="str">
        <x:f>IF(DATE(2026,6,30)-G328&lt;=90,"New",IF(AND(L328&lt;=120,I328&gt;=2),"Active",IF(I328=1,"One-time",IF(L328&lt;=240,"At Risk","Lapsed"))))</x:f>
        <x:v>Active</x:v>
      </x:c>
      <x:c r="S328" s="15" t="str">
        <x:f>IF(Q328="Champions","Invite to advisory program and cross-sell service plans",IF(Q328="Loyal Growth","Prioritize expansion offer and product education",IF(Q328="High Value At Risk","Assign sales recovery outreach within 14 days",IF(Q328="New Accounts","Launch 90-day onboarding and adoption sequence",IF(Q328="Promising","Nurture second purchase with use-case content",IF(Q328="Needs Nurture","Run product-fit review and re-engagement sequence","Move to low-frequency win-back program"))))))</x:f>
        <x:v>Prioritize expansion offer and product education</x:v>
      </x:c>
      <x:c r="T328" s="1"/>
      <x:c r="U328" s="1"/>
      <x:c r="V328" s="1"/>
      <x:c r="W328" s="1"/>
      <x:c r="X328" s="1"/>
      <x:c r="Y328" s="1"/>
      <x:c r="Z328" s="1"/>
    </x:row>
    <x:row r="329">
      <x:c r="A329" s="7" t="str">
        <x:v>ACC-0328</x:v>
      </x:c>
      <x:c r="B329" s="7" t="str">
        <x:v>Titan Brands 328</x:v>
      </x:c>
      <x:c r="C329" s="7" t="str">
        <x:v>West</x:v>
      </x:c>
      <x:c r="D329" s="7" t="str">
        <x:v>Food &amp; Beverage</x:v>
      </x:c>
      <x:c r="E329" s="7" t="str">
        <x:v>Mid-market</x:v>
      </x:c>
      <x:c r="F329" s="7" t="str">
        <x:v>Google Search</x:v>
      </x:c>
      <x:c r="G329" s="8" t="n">
        <x:v>45656</x:v>
      </x:c>
      <x:c r="H329" s="8" t="n">
        <x:v>46169</x:v>
      </x:c>
      <x:c r="I329" s="9" t="n">
        <x:v>6</x:v>
      </x:c>
      <x:c r="J329" s="10" t="n">
        <x:v>595600</x:v>
      </x:c>
      <x:c r="K329" s="10" t="n">
        <x:f>J329/I329</x:f>
        <x:v>99266.66666666667</x:v>
      </x:c>
      <x:c r="L329" s="9" t="n">
        <x:f>DATE(2026,6,30)-H329</x:f>
        <x:v>34</x:v>
      </x:c>
      <x:c r="M329" s="9" t="n">
        <x:f>IF(L329&lt;=60,5,IF(L329&lt;=120,4,IF(L329&lt;=180,3,IF(L329&lt;=240,2,1))))</x:f>
        <x:v>5</x:v>
      </x:c>
      <x:c r="N329" s="9" t="n">
        <x:f>IF(I329&gt;=6,5,IF(I329&gt;=4,4,IF(I329=3,3,IF(I329=2,2,1))))</x:f>
        <x:v>5</x:v>
      </x:c>
      <x:c r="O329" s="9" t="n">
        <x:f>IF(J329&gt;=500000,5,IF(J329&gt;=300000,4,IF(J329&gt;=175000,3,IF(J329&gt;=75000,2,1))))</x:f>
        <x:v>5</x:v>
      </x:c>
      <x:c r="P329" s="7" t="str">
        <x:f>M329&amp;N329&amp;O329</x:f>
        <x:v>555</x:v>
      </x:c>
      <x:c r="Q329" s="7" t="str">
        <x:f>IF(AND(L329&lt;=60,I329&gt;=5,J329&gt;=300000),"Champions",IF(AND(L329&lt;=120,I329&gt;=3),"Loyal Growth",IF(AND(L329&gt;180,J329&gt;=300000),"High Value At Risk",IF(DATE(2026,6,30)-G329&lt;=90,"New Accounts",IF(AND(L329&lt;=120,I329=1),"Promising",IF(L329&lt;=240,"Needs Nurture","Dormant"))))))</x:f>
        <x:v>Champions</x:v>
      </x:c>
      <x:c r="R329" s="7" t="str">
        <x:f>IF(DATE(2026,6,30)-G329&lt;=90,"New",IF(AND(L329&lt;=120,I329&gt;=2),"Active",IF(I329=1,"One-time",IF(L329&lt;=240,"At Risk","Lapsed"))))</x:f>
        <x:v>Active</x:v>
      </x:c>
      <x:c r="S329" s="15" t="str">
        <x:f>IF(Q329="Champions","Invite to advisory program and cross-sell service plans",IF(Q329="Loyal Growth","Prioritize expansion offer and product education",IF(Q329="High Value At Risk","Assign sales recovery outreach within 14 days",IF(Q329="New Accounts","Launch 90-day onboarding and adoption sequence",IF(Q329="Promising","Nurture second purchase with use-case content",IF(Q329="Needs Nurture","Run product-fit review and re-engagement sequence","Move to low-frequency win-back program"))))))</x:f>
        <x:v>Invite to advisory program and cross-sell service plans</x:v>
      </x:c>
      <x:c r="T329" s="1"/>
      <x:c r="U329" s="1"/>
      <x:c r="V329" s="1"/>
      <x:c r="W329" s="1"/>
      <x:c r="X329" s="1"/>
      <x:c r="Y329" s="1"/>
      <x:c r="Z329" s="1"/>
    </x:row>
    <x:row r="330">
      <x:c r="A330" s="7" t="str">
        <x:v>ACC-0329</x:v>
      </x:c>
      <x:c r="B330" s="7" t="str">
        <x:v>Meridian Products 329</x:v>
      </x:c>
      <x:c r="C330" s="7" t="str">
        <x:v>Midwest</x:v>
      </x:c>
      <x:c r="D330" s="7" t="str">
        <x:v>Industrial Products</x:v>
      </x:c>
      <x:c r="E330" s="7" t="str">
        <x:v>Small</x:v>
      </x:c>
      <x:c r="F330" s="7" t="str">
        <x:v>Email</x:v>
      </x:c>
      <x:c r="G330" s="8" t="n">
        <x:v>46139</x:v>
      </x:c>
      <x:c r="H330" s="8" t="n">
        <x:v>46192</x:v>
      </x:c>
      <x:c r="I330" s="9" t="n">
        <x:v>2</x:v>
      </x:c>
      <x:c r="J330" s="10" t="n">
        <x:v>119400</x:v>
      </x:c>
      <x:c r="K330" s="10" t="n">
        <x:f>J330/I330</x:f>
        <x:v>59700</x:v>
      </x:c>
      <x:c r="L330" s="9" t="n">
        <x:f>DATE(2026,6,30)-H330</x:f>
        <x:v>11</x:v>
      </x:c>
      <x:c r="M330" s="9" t="n">
        <x:f>IF(L330&lt;=60,5,IF(L330&lt;=120,4,IF(L330&lt;=180,3,IF(L330&lt;=240,2,1))))</x:f>
        <x:v>5</x:v>
      </x:c>
      <x:c r="N330" s="9" t="n">
        <x:f>IF(I330&gt;=6,5,IF(I330&gt;=4,4,IF(I330=3,3,IF(I330=2,2,1))))</x:f>
        <x:v>2</x:v>
      </x:c>
      <x:c r="O330" s="9" t="n">
        <x:f>IF(J330&gt;=500000,5,IF(J330&gt;=300000,4,IF(J330&gt;=175000,3,IF(J330&gt;=75000,2,1))))</x:f>
        <x:v>2</x:v>
      </x:c>
      <x:c r="P330" s="7" t="str">
        <x:f>M330&amp;N330&amp;O330</x:f>
        <x:v>522</x:v>
      </x:c>
      <x:c r="Q330" s="7" t="str">
        <x:f>IF(AND(L330&lt;=60,I330&gt;=5,J330&gt;=300000),"Champions",IF(AND(L330&lt;=120,I330&gt;=3),"Loyal Growth",IF(AND(L330&gt;180,J330&gt;=300000),"High Value At Risk",IF(DATE(2026,6,30)-G330&lt;=90,"New Accounts",IF(AND(L330&lt;=120,I330=1),"Promising",IF(L330&lt;=240,"Needs Nurture","Dormant"))))))</x:f>
        <x:v>New Accounts</x:v>
      </x:c>
      <x:c r="R330" s="7" t="str">
        <x:f>IF(DATE(2026,6,30)-G330&lt;=90,"New",IF(AND(L330&lt;=120,I330&gt;=2),"Active",IF(I330=1,"One-time",IF(L330&lt;=240,"At Risk","Lapsed"))))</x:f>
        <x:v>New</x:v>
      </x:c>
      <x:c r="S330" s="15" t="str">
        <x:f>IF(Q330="Champions","Invite to advisory program and cross-sell service plans",IF(Q330="Loyal Growth","Prioritize expansion offer and product education",IF(Q330="High Value At Risk","Assign sales recovery outreach within 14 days",IF(Q330="New Accounts","Launch 90-day onboarding and adoption sequence",IF(Q330="Promising","Nurture second purchase with use-case content",IF(Q330="Needs Nurture","Run product-fit review and re-engagement sequence","Move to low-frequency win-back program"))))))</x:f>
        <x:v>Launch 90-day onboarding and adoption sequence</x:v>
      </x:c>
      <x:c r="T330" s="1"/>
      <x:c r="U330" s="1"/>
      <x:c r="V330" s="1"/>
      <x:c r="W330" s="1"/>
      <x:c r="X330" s="1"/>
      <x:c r="Y330" s="1"/>
      <x:c r="Z330" s="1"/>
    </x:row>
    <x:row r="331">
      <x:c r="A331" s="7" t="str">
        <x:v>ACC-0330</x:v>
      </x:c>
      <x:c r="B331" s="7" t="str">
        <x:v>Harbor Products 330</x:v>
      </x:c>
      <x:c r="C331" s="7" t="str">
        <x:v>Northeast</x:v>
      </x:c>
      <x:c r="D331" s="7" t="str">
        <x:v>Consumer Goods</x:v>
      </x:c>
      <x:c r="E331" s="7" t="str">
        <x:v>Small</x:v>
      </x:c>
      <x:c r="F331" s="7" t="str">
        <x:v>Partner Referral</x:v>
      </x:c>
      <x:c r="G331" s="8" t="n">
        <x:v>45655</x:v>
      </x:c>
      <x:c r="H331" s="8" t="n">
        <x:v>45958</x:v>
      </x:c>
      <x:c r="I331" s="9" t="n">
        <x:v>3</x:v>
      </x:c>
      <x:c r="J331" s="10" t="n">
        <x:v>66500</x:v>
      </x:c>
      <x:c r="K331" s="10" t="n">
        <x:f>J331/I331</x:f>
        <x:v>22166.666666666668</x:v>
      </x:c>
      <x:c r="L331" s="9" t="n">
        <x:f>DATE(2026,6,30)-H331</x:f>
        <x:v>245</x:v>
      </x:c>
      <x:c r="M331" s="9" t="n">
        <x:f>IF(L331&lt;=60,5,IF(L331&lt;=120,4,IF(L331&lt;=180,3,IF(L331&lt;=240,2,1))))</x:f>
        <x:v>1</x:v>
      </x:c>
      <x:c r="N331" s="9" t="n">
        <x:f>IF(I331&gt;=6,5,IF(I331&gt;=4,4,IF(I331=3,3,IF(I331=2,2,1))))</x:f>
        <x:v>3</x:v>
      </x:c>
      <x:c r="O331" s="9" t="n">
        <x:f>IF(J331&gt;=500000,5,IF(J331&gt;=300000,4,IF(J331&gt;=175000,3,IF(J331&gt;=75000,2,1))))</x:f>
        <x:v>1</x:v>
      </x:c>
      <x:c r="P331" s="7" t="str">
        <x:f>M331&amp;N331&amp;O331</x:f>
        <x:v>131</x:v>
      </x:c>
      <x:c r="Q331" s="7" t="str">
        <x:f>IF(AND(L331&lt;=60,I331&gt;=5,J331&gt;=300000),"Champions",IF(AND(L331&lt;=120,I331&gt;=3),"Loyal Growth",IF(AND(L331&gt;180,J331&gt;=300000),"High Value At Risk",IF(DATE(2026,6,30)-G331&lt;=90,"New Accounts",IF(AND(L331&lt;=120,I331=1),"Promising",IF(L331&lt;=240,"Needs Nurture","Dormant"))))))</x:f>
        <x:v>Dormant</x:v>
      </x:c>
      <x:c r="R331" s="7" t="str">
        <x:f>IF(DATE(2026,6,30)-G331&lt;=90,"New",IF(AND(L331&lt;=120,I331&gt;=2),"Active",IF(I331=1,"One-time",IF(L331&lt;=240,"At Risk","Lapsed"))))</x:f>
        <x:v>Lapsed</x:v>
      </x:c>
      <x:c r="S331" s="15" t="str">
        <x:f>IF(Q331="Champions","Invite to advisory program and cross-sell service plans",IF(Q331="Loyal Growth","Prioritize expansion offer and product education",IF(Q331="High Value At Risk","Assign sales recovery outreach within 14 days",IF(Q331="New Accounts","Launch 90-day onboarding and adoption sequence",IF(Q331="Promising","Nurture second purchase with use-case content",IF(Q331="Needs Nurture","Run product-fit review and re-engagement sequence","Move to low-frequency win-back program"))))))</x:f>
        <x:v>Move to low-frequency win-back program</x:v>
      </x:c>
      <x:c r="T331" s="1"/>
      <x:c r="U331" s="1"/>
      <x:c r="V331" s="1"/>
      <x:c r="W331" s="1"/>
      <x:c r="X331" s="1"/>
      <x:c r="Y331" s="1"/>
      <x:c r="Z331" s="1"/>
    </x:row>
    <x:row r="332">
      <x:c r="A332" s="7" t="str">
        <x:v>ACC-0331</x:v>
      </x:c>
      <x:c r="B332" s="7" t="str">
        <x:v>Granite Solutions 331</x:v>
      </x:c>
      <x:c r="C332" s="7" t="str">
        <x:v>Northeast</x:v>
      </x:c>
      <x:c r="D332" s="7" t="str">
        <x:v>Food &amp; Beverage</x:v>
      </x:c>
      <x:c r="E332" s="7" t="str">
        <x:v>Mid-market</x:v>
      </x:c>
      <x:c r="F332" s="7" t="str">
        <x:v>Google Search</x:v>
      </x:c>
      <x:c r="G332" s="8" t="n">
        <x:v>45794</x:v>
      </x:c>
      <x:c r="H332" s="8" t="n">
        <x:v>46083</x:v>
      </x:c>
      <x:c r="I332" s="9" t="n">
        <x:v>3</x:v>
      </x:c>
      <x:c r="J332" s="10" t="n">
        <x:v>336000</x:v>
      </x:c>
      <x:c r="K332" s="10" t="n">
        <x:f>J332/I332</x:f>
        <x:v>112000</x:v>
      </x:c>
      <x:c r="L332" s="9" t="n">
        <x:f>DATE(2026,6,30)-H332</x:f>
        <x:v>120</x:v>
      </x:c>
      <x:c r="M332" s="9" t="n">
        <x:f>IF(L332&lt;=60,5,IF(L332&lt;=120,4,IF(L332&lt;=180,3,IF(L332&lt;=240,2,1))))</x:f>
        <x:v>4</x:v>
      </x:c>
      <x:c r="N332" s="9" t="n">
        <x:f>IF(I332&gt;=6,5,IF(I332&gt;=4,4,IF(I332=3,3,IF(I332=2,2,1))))</x:f>
        <x:v>3</x:v>
      </x:c>
      <x:c r="O332" s="9" t="n">
        <x:f>IF(J332&gt;=500000,5,IF(J332&gt;=300000,4,IF(J332&gt;=175000,3,IF(J332&gt;=75000,2,1))))</x:f>
        <x:v>4</x:v>
      </x:c>
      <x:c r="P332" s="7" t="str">
        <x:f>M332&amp;N332&amp;O332</x:f>
        <x:v>434</x:v>
      </x:c>
      <x:c r="Q332" s="7" t="str">
        <x:f>IF(AND(L332&lt;=60,I332&gt;=5,J332&gt;=300000),"Champions",IF(AND(L332&lt;=120,I332&gt;=3),"Loyal Growth",IF(AND(L332&gt;180,J332&gt;=300000),"High Value At Risk",IF(DATE(2026,6,30)-G332&lt;=90,"New Accounts",IF(AND(L332&lt;=120,I332=1),"Promising",IF(L332&lt;=240,"Needs Nurture","Dormant"))))))</x:f>
        <x:v>Loyal Growth</x:v>
      </x:c>
      <x:c r="R332" s="7" t="str">
        <x:f>IF(DATE(2026,6,30)-G332&lt;=90,"New",IF(AND(L332&lt;=120,I332&gt;=2),"Active",IF(I332=1,"One-time",IF(L332&lt;=240,"At Risk","Lapsed"))))</x:f>
        <x:v>Active</x:v>
      </x:c>
      <x:c r="S332" s="15" t="str">
        <x:f>IF(Q332="Champions","Invite to advisory program and cross-sell service plans",IF(Q332="Loyal Growth","Prioritize expansion offer and product education",IF(Q332="High Value At Risk","Assign sales recovery outreach within 14 days",IF(Q332="New Accounts","Launch 90-day onboarding and adoption sequence",IF(Q332="Promising","Nurture second purchase with use-case content",IF(Q332="Needs Nurture","Run product-fit review and re-engagement sequence","Move to low-frequency win-back program"))))))</x:f>
        <x:v>Prioritize expansion offer and product education</x:v>
      </x:c>
      <x:c r="T332" s="1"/>
      <x:c r="U332" s="1"/>
      <x:c r="V332" s="1"/>
      <x:c r="W332" s="1"/>
      <x:c r="X332" s="1"/>
      <x:c r="Y332" s="1"/>
      <x:c r="Z332" s="1"/>
    </x:row>
    <x:row r="333">
      <x:c r="A333" s="7" t="str">
        <x:v>ACC-0332</x:v>
      </x:c>
      <x:c r="B333" s="7" t="str">
        <x:v>Apex Packaging 332</x:v>
      </x:c>
      <x:c r="C333" s="7" t="str">
        <x:v>South</x:v>
      </x:c>
      <x:c r="D333" s="7" t="str">
        <x:v>Consumer Goods</x:v>
      </x:c>
      <x:c r="E333" s="7" t="str">
        <x:v>Mid-market</x:v>
      </x:c>
      <x:c r="F333" s="7" t="str">
        <x:v>Trade Show</x:v>
      </x:c>
      <x:c r="G333" s="8" t="n">
        <x:v>46060</x:v>
      </x:c>
      <x:c r="H333" s="8" t="n">
        <x:v>46159</x:v>
      </x:c>
      <x:c r="I333" s="9" t="n">
        <x:v>3</x:v>
      </x:c>
      <x:c r="J333" s="10" t="n">
        <x:v>325000</x:v>
      </x:c>
      <x:c r="K333" s="10" t="n">
        <x:f>J333/I333</x:f>
        <x:v>108333.33333333333</x:v>
      </x:c>
      <x:c r="L333" s="9" t="n">
        <x:f>DATE(2026,6,30)-H333</x:f>
        <x:v>44</x:v>
      </x:c>
      <x:c r="M333" s="9" t="n">
        <x:f>IF(L333&lt;=60,5,IF(L333&lt;=120,4,IF(L333&lt;=180,3,IF(L333&lt;=240,2,1))))</x:f>
        <x:v>5</x:v>
      </x:c>
      <x:c r="N333" s="9" t="n">
        <x:f>IF(I333&gt;=6,5,IF(I333&gt;=4,4,IF(I333=3,3,IF(I333=2,2,1))))</x:f>
        <x:v>3</x:v>
      </x:c>
      <x:c r="O333" s="9" t="n">
        <x:f>IF(J333&gt;=500000,5,IF(J333&gt;=300000,4,IF(J333&gt;=175000,3,IF(J333&gt;=75000,2,1))))</x:f>
        <x:v>4</x:v>
      </x:c>
      <x:c r="P333" s="7" t="str">
        <x:f>M333&amp;N333&amp;O333</x:f>
        <x:v>534</x:v>
      </x:c>
      <x:c r="Q333" s="7" t="str">
        <x:f>IF(AND(L333&lt;=60,I333&gt;=5,J333&gt;=300000),"Champions",IF(AND(L333&lt;=120,I333&gt;=3),"Loyal Growth",IF(AND(L333&gt;180,J333&gt;=300000),"High Value At Risk",IF(DATE(2026,6,30)-G333&lt;=90,"New Accounts",IF(AND(L333&lt;=120,I333=1),"Promising",IF(L333&lt;=240,"Needs Nurture","Dormant"))))))</x:f>
        <x:v>Loyal Growth</x:v>
      </x:c>
      <x:c r="R333" s="7" t="str">
        <x:f>IF(DATE(2026,6,30)-G333&lt;=90,"New",IF(AND(L333&lt;=120,I333&gt;=2),"Active",IF(I333=1,"One-time",IF(L333&lt;=240,"At Risk","Lapsed"))))</x:f>
        <x:v>Active</x:v>
      </x:c>
      <x:c r="S333" s="15" t="str">
        <x:f>IF(Q333="Champions","Invite to advisory program and cross-sell service plans",IF(Q333="Loyal Growth","Prioritize expansion offer and product education",IF(Q333="High Value At Risk","Assign sales recovery outreach within 14 days",IF(Q333="New Accounts","Launch 90-day onboarding and adoption sequence",IF(Q333="Promising","Nurture second purchase with use-case content",IF(Q333="Needs Nurture","Run product-fit review and re-engagement sequence","Move to low-frequency win-back program"))))))</x:f>
        <x:v>Prioritize expansion offer and product education</x:v>
      </x:c>
      <x:c r="T333" s="1"/>
      <x:c r="U333" s="1"/>
      <x:c r="V333" s="1"/>
      <x:c r="W333" s="1"/>
      <x:c r="X333" s="1"/>
      <x:c r="Y333" s="1"/>
      <x:c r="Z333" s="1"/>
    </x:row>
    <x:row r="334">
      <x:c r="A334" s="7" t="str">
        <x:v>ACC-0333</x:v>
      </x:c>
      <x:c r="B334" s="7" t="str">
        <x:v>Harbor Brands 333</x:v>
      </x:c>
      <x:c r="C334" s="7" t="str">
        <x:v>Midwest</x:v>
      </x:c>
      <x:c r="D334" s="7" t="str">
        <x:v>Food &amp; Beverage</x:v>
      </x:c>
      <x:c r="E334" s="7" t="str">
        <x:v>Enterprise</x:v>
      </x:c>
      <x:c r="F334" s="7" t="str">
        <x:v>LinkedIn</x:v>
      </x:c>
      <x:c r="G334" s="8" t="n">
        <x:v>45578</x:v>
      </x:c>
      <x:c r="H334" s="8" t="n">
        <x:v>46093</x:v>
      </x:c>
      <x:c r="I334" s="9" t="n">
        <x:v>7</x:v>
      </x:c>
      <x:c r="J334" s="10" t="n">
        <x:v>1210900</x:v>
      </x:c>
      <x:c r="K334" s="10" t="n">
        <x:f>J334/I334</x:f>
        <x:v>172985.7142857143</x:v>
      </x:c>
      <x:c r="L334" s="9" t="n">
        <x:f>DATE(2026,6,30)-H334</x:f>
        <x:v>110</x:v>
      </x:c>
      <x:c r="M334" s="9" t="n">
        <x:f>IF(L334&lt;=60,5,IF(L334&lt;=120,4,IF(L334&lt;=180,3,IF(L334&lt;=240,2,1))))</x:f>
        <x:v>4</x:v>
      </x:c>
      <x:c r="N334" s="9" t="n">
        <x:f>IF(I334&gt;=6,5,IF(I334&gt;=4,4,IF(I334=3,3,IF(I334=2,2,1))))</x:f>
        <x:v>5</x:v>
      </x:c>
      <x:c r="O334" s="9" t="n">
        <x:f>IF(J334&gt;=500000,5,IF(J334&gt;=300000,4,IF(J334&gt;=175000,3,IF(J334&gt;=75000,2,1))))</x:f>
        <x:v>5</x:v>
      </x:c>
      <x:c r="P334" s="7" t="str">
        <x:f>M334&amp;N334&amp;O334</x:f>
        <x:v>455</x:v>
      </x:c>
      <x:c r="Q334" s="7" t="str">
        <x:f>IF(AND(L334&lt;=60,I334&gt;=5,J334&gt;=300000),"Champions",IF(AND(L334&lt;=120,I334&gt;=3),"Loyal Growth",IF(AND(L334&gt;180,J334&gt;=300000),"High Value At Risk",IF(DATE(2026,6,30)-G334&lt;=90,"New Accounts",IF(AND(L334&lt;=120,I334=1),"Promising",IF(L334&lt;=240,"Needs Nurture","Dormant"))))))</x:f>
        <x:v>Loyal Growth</x:v>
      </x:c>
      <x:c r="R334" s="7" t="str">
        <x:f>IF(DATE(2026,6,30)-G334&lt;=90,"New",IF(AND(L334&lt;=120,I334&gt;=2),"Active",IF(I334=1,"One-time",IF(L334&lt;=240,"At Risk","Lapsed"))))</x:f>
        <x:v>Active</x:v>
      </x:c>
      <x:c r="S334" s="15" t="str">
        <x:f>IF(Q334="Champions","Invite to advisory program and cross-sell service plans",IF(Q334="Loyal Growth","Prioritize expansion offer and product education",IF(Q334="High Value At Risk","Assign sales recovery outreach within 14 days",IF(Q334="New Accounts","Launch 90-day onboarding and adoption sequence",IF(Q334="Promising","Nurture second purchase with use-case content",IF(Q334="Needs Nurture","Run product-fit review and re-engagement sequence","Move to low-frequency win-back program"))))))</x:f>
        <x:v>Prioritize expansion offer and product education</x:v>
      </x:c>
      <x:c r="T334" s="1"/>
      <x:c r="U334" s="1"/>
      <x:c r="V334" s="1"/>
      <x:c r="W334" s="1"/>
      <x:c r="X334" s="1"/>
      <x:c r="Y334" s="1"/>
      <x:c r="Z334" s="1"/>
    </x:row>
    <x:row r="335">
      <x:c r="A335" s="7" t="str">
        <x:v>ACC-0334</x:v>
      </x:c>
      <x:c r="B335" s="7" t="str">
        <x:v>Vertex Foods 334</x:v>
      </x:c>
      <x:c r="C335" s="7" t="str">
        <x:v>Midwest</x:v>
      </x:c>
      <x:c r="D335" s="7" t="str">
        <x:v>Contract Packaging</x:v>
      </x:c>
      <x:c r="E335" s="7" t="str">
        <x:v>Enterprise</x:v>
      </x:c>
      <x:c r="F335" s="7" t="str">
        <x:v>LinkedIn</x:v>
      </x:c>
      <x:c r="G335" s="8" t="n">
        <x:v>45732</x:v>
      </x:c>
      <x:c r="H335" s="8" t="n">
        <x:v>46127</x:v>
      </x:c>
      <x:c r="I335" s="9" t="n">
        <x:v>6</x:v>
      </x:c>
      <x:c r="J335" s="10" t="n">
        <x:v>1157900</x:v>
      </x:c>
      <x:c r="K335" s="10" t="n">
        <x:f>J335/I335</x:f>
        <x:v>192983.33333333334</x:v>
      </x:c>
      <x:c r="L335" s="9" t="n">
        <x:f>DATE(2026,6,30)-H335</x:f>
        <x:v>76</x:v>
      </x:c>
      <x:c r="M335" s="9" t="n">
        <x:f>IF(L335&lt;=60,5,IF(L335&lt;=120,4,IF(L335&lt;=180,3,IF(L335&lt;=240,2,1))))</x:f>
        <x:v>4</x:v>
      </x:c>
      <x:c r="N335" s="9" t="n">
        <x:f>IF(I335&gt;=6,5,IF(I335&gt;=4,4,IF(I335=3,3,IF(I335=2,2,1))))</x:f>
        <x:v>5</x:v>
      </x:c>
      <x:c r="O335" s="9" t="n">
        <x:f>IF(J335&gt;=500000,5,IF(J335&gt;=300000,4,IF(J335&gt;=175000,3,IF(J335&gt;=75000,2,1))))</x:f>
        <x:v>5</x:v>
      </x:c>
      <x:c r="P335" s="7" t="str">
        <x:f>M335&amp;N335&amp;O335</x:f>
        <x:v>455</x:v>
      </x:c>
      <x:c r="Q335" s="7" t="str">
        <x:f>IF(AND(L335&lt;=60,I335&gt;=5,J335&gt;=300000),"Champions",IF(AND(L335&lt;=120,I335&gt;=3),"Loyal Growth",IF(AND(L335&gt;180,J335&gt;=300000),"High Value At Risk",IF(DATE(2026,6,30)-G335&lt;=90,"New Accounts",IF(AND(L335&lt;=120,I335=1),"Promising",IF(L335&lt;=240,"Needs Nurture","Dormant"))))))</x:f>
        <x:v>Loyal Growth</x:v>
      </x:c>
      <x:c r="R335" s="7" t="str">
        <x:f>IF(DATE(2026,6,30)-G335&lt;=90,"New",IF(AND(L335&lt;=120,I335&gt;=2),"Active",IF(I335=1,"One-time",IF(L335&lt;=240,"At Risk","Lapsed"))))</x:f>
        <x:v>Active</x:v>
      </x:c>
      <x:c r="S335" s="15" t="str">
        <x:f>IF(Q335="Champions","Invite to advisory program and cross-sell service plans",IF(Q335="Loyal Growth","Prioritize expansion offer and product education",IF(Q335="High Value At Risk","Assign sales recovery outreach within 14 days",IF(Q335="New Accounts","Launch 90-day onboarding and adoption sequence",IF(Q335="Promising","Nurture second purchase with use-case content",IF(Q335="Needs Nurture","Run product-fit review and re-engagement sequence","Move to low-frequency win-back program"))))))</x:f>
        <x:v>Prioritize expansion offer and product education</x:v>
      </x:c>
      <x:c r="T335" s="1"/>
      <x:c r="U335" s="1"/>
      <x:c r="V335" s="1"/>
      <x:c r="W335" s="1"/>
      <x:c r="X335" s="1"/>
      <x:c r="Y335" s="1"/>
      <x:c r="Z335" s="1"/>
    </x:row>
    <x:row r="336">
      <x:c r="A336" s="7" t="str">
        <x:v>ACC-0335</x:v>
      </x:c>
      <x:c r="B336" s="7" t="str">
        <x:v>Evergreen Solutions 335</x:v>
      </x:c>
      <x:c r="C336" s="7" t="str">
        <x:v>West</x:v>
      </x:c>
      <x:c r="D336" s="7" t="str">
        <x:v>Contract Packaging</x:v>
      </x:c>
      <x:c r="E336" s="7" t="str">
        <x:v>Enterprise</x:v>
      </x:c>
      <x:c r="F336" s="7" t="str">
        <x:v>Email</x:v>
      </x:c>
      <x:c r="G336" s="8" t="n">
        <x:v>46148</x:v>
      </x:c>
      <x:c r="H336" s="8" t="n">
        <x:v>46201</x:v>
      </x:c>
      <x:c r="I336" s="9" t="n">
        <x:v>2</x:v>
      </x:c>
      <x:c r="J336" s="10" t="n">
        <x:v>388300</x:v>
      </x:c>
      <x:c r="K336" s="10" t="n">
        <x:f>J336/I336</x:f>
        <x:v>194150</x:v>
      </x:c>
      <x:c r="L336" s="9" t="n">
        <x:f>DATE(2026,6,30)-H336</x:f>
        <x:v>2</x:v>
      </x:c>
      <x:c r="M336" s="9" t="n">
        <x:f>IF(L336&lt;=60,5,IF(L336&lt;=120,4,IF(L336&lt;=180,3,IF(L336&lt;=240,2,1))))</x:f>
        <x:v>5</x:v>
      </x:c>
      <x:c r="N336" s="9" t="n">
        <x:f>IF(I336&gt;=6,5,IF(I336&gt;=4,4,IF(I336=3,3,IF(I336=2,2,1))))</x:f>
        <x:v>2</x:v>
      </x:c>
      <x:c r="O336" s="9" t="n">
        <x:f>IF(J336&gt;=500000,5,IF(J336&gt;=300000,4,IF(J336&gt;=175000,3,IF(J336&gt;=75000,2,1))))</x:f>
        <x:v>4</x:v>
      </x:c>
      <x:c r="P336" s="7" t="str">
        <x:f>M336&amp;N336&amp;O336</x:f>
        <x:v>524</x:v>
      </x:c>
      <x:c r="Q336" s="7" t="str">
        <x:f>IF(AND(L336&lt;=60,I336&gt;=5,J336&gt;=300000),"Champions",IF(AND(L336&lt;=120,I336&gt;=3),"Loyal Growth",IF(AND(L336&gt;180,J336&gt;=300000),"High Value At Risk",IF(DATE(2026,6,30)-G336&lt;=90,"New Accounts",IF(AND(L336&lt;=120,I336=1),"Promising",IF(L336&lt;=240,"Needs Nurture","Dormant"))))))</x:f>
        <x:v>New Accounts</x:v>
      </x:c>
      <x:c r="R336" s="7" t="str">
        <x:f>IF(DATE(2026,6,30)-G336&lt;=90,"New",IF(AND(L336&lt;=120,I336&gt;=2),"Active",IF(I336=1,"One-time",IF(L336&lt;=240,"At Risk","Lapsed"))))</x:f>
        <x:v>New</x:v>
      </x:c>
      <x:c r="S336" s="15" t="str">
        <x:f>IF(Q336="Champions","Invite to advisory program and cross-sell service plans",IF(Q336="Loyal Growth","Prioritize expansion offer and product education",IF(Q336="High Value At Risk","Assign sales recovery outreach within 14 days",IF(Q336="New Accounts","Launch 90-day onboarding and adoption sequence",IF(Q336="Promising","Nurture second purchase with use-case content",IF(Q336="Needs Nurture","Run product-fit review and re-engagement sequence","Move to low-frequency win-back program"))))))</x:f>
        <x:v>Launch 90-day onboarding and adoption sequence</x:v>
      </x:c>
      <x:c r="T336" s="1"/>
      <x:c r="U336" s="1"/>
      <x:c r="V336" s="1"/>
      <x:c r="W336" s="1"/>
      <x:c r="X336" s="1"/>
      <x:c r="Y336" s="1"/>
      <x:c r="Z336" s="1"/>
    </x:row>
    <x:row r="337">
      <x:c r="A337" s="7" t="str">
        <x:v>ACC-0336</x:v>
      </x:c>
      <x:c r="B337" s="7" t="str">
        <x:v>BlueRiver Packaging 336</x:v>
      </x:c>
      <x:c r="C337" s="7" t="str">
        <x:v>West</x:v>
      </x:c>
      <x:c r="D337" s="7" t="str">
        <x:v>Contract Packaging</x:v>
      </x:c>
      <x:c r="E337" s="7" t="str">
        <x:v>Mid-market</x:v>
      </x:c>
      <x:c r="F337" s="7" t="str">
        <x:v>Partner Referral</x:v>
      </x:c>
      <x:c r="G337" s="8" t="n">
        <x:v>45538</x:v>
      </x:c>
      <x:c r="H337" s="8" t="n">
        <x:v>46184</x:v>
      </x:c>
      <x:c r="I337" s="9" t="n">
        <x:v>3</x:v>
      </x:c>
      <x:c r="J337" s="10" t="n">
        <x:v>265200</x:v>
      </x:c>
      <x:c r="K337" s="10" t="n">
        <x:f>J337/I337</x:f>
        <x:v>88400</x:v>
      </x:c>
      <x:c r="L337" s="9" t="n">
        <x:f>DATE(2026,6,30)-H337</x:f>
        <x:v>19</x:v>
      </x:c>
      <x:c r="M337" s="9" t="n">
        <x:f>IF(L337&lt;=60,5,IF(L337&lt;=120,4,IF(L337&lt;=180,3,IF(L337&lt;=240,2,1))))</x:f>
        <x:v>5</x:v>
      </x:c>
      <x:c r="N337" s="9" t="n">
        <x:f>IF(I337&gt;=6,5,IF(I337&gt;=4,4,IF(I337=3,3,IF(I337=2,2,1))))</x:f>
        <x:v>3</x:v>
      </x:c>
      <x:c r="O337" s="9" t="n">
        <x:f>IF(J337&gt;=500000,5,IF(J337&gt;=300000,4,IF(J337&gt;=175000,3,IF(J337&gt;=75000,2,1))))</x:f>
        <x:v>3</x:v>
      </x:c>
      <x:c r="P337" s="7" t="str">
        <x:f>M337&amp;N337&amp;O337</x:f>
        <x:v>533</x:v>
      </x:c>
      <x:c r="Q337" s="7" t="str">
        <x:f>IF(AND(L337&lt;=60,I337&gt;=5,J337&gt;=300000),"Champions",IF(AND(L337&lt;=120,I337&gt;=3),"Loyal Growth",IF(AND(L337&gt;180,J337&gt;=300000),"High Value At Risk",IF(DATE(2026,6,30)-G337&lt;=90,"New Accounts",IF(AND(L337&lt;=120,I337=1),"Promising",IF(L337&lt;=240,"Needs Nurture","Dormant"))))))</x:f>
        <x:v>Loyal Growth</x:v>
      </x:c>
      <x:c r="R337" s="7" t="str">
        <x:f>IF(DATE(2026,6,30)-G337&lt;=90,"New",IF(AND(L337&lt;=120,I337&gt;=2),"Active",IF(I337=1,"One-time",IF(L337&lt;=240,"At Risk","Lapsed"))))</x:f>
        <x:v>Active</x:v>
      </x:c>
      <x:c r="S337" s="15" t="str">
        <x:f>IF(Q337="Champions","Invite to advisory program and cross-sell service plans",IF(Q337="Loyal Growth","Prioritize expansion offer and product education",IF(Q337="High Value At Risk","Assign sales recovery outreach within 14 days",IF(Q337="New Accounts","Launch 90-day onboarding and adoption sequence",IF(Q337="Promising","Nurture second purchase with use-case content",IF(Q337="Needs Nurture","Run product-fit review and re-engagement sequence","Move to low-frequency win-back program"))))))</x:f>
        <x:v>Prioritize expansion offer and product education</x:v>
      </x:c>
      <x:c r="T337" s="1"/>
      <x:c r="U337" s="1"/>
      <x:c r="V337" s="1"/>
      <x:c r="W337" s="1"/>
      <x:c r="X337" s="1"/>
      <x:c r="Y337" s="1"/>
      <x:c r="Z337" s="1"/>
    </x:row>
    <x:row r="338">
      <x:c r="A338" s="7" t="str">
        <x:v>ACC-0337</x:v>
      </x:c>
      <x:c r="B338" s="7" t="str">
        <x:v>Granite Foods 337</x:v>
      </x:c>
      <x:c r="C338" s="7" t="str">
        <x:v>West</x:v>
      </x:c>
      <x:c r="D338" s="7" t="str">
        <x:v>Consumer Goods</x:v>
      </x:c>
      <x:c r="E338" s="7" t="str">
        <x:v>Enterprise</x:v>
      </x:c>
      <x:c r="F338" s="7" t="str">
        <x:v>Trade Show</x:v>
      </x:c>
      <x:c r="G338" s="8" t="n">
        <x:v>45844</x:v>
      </x:c>
      <x:c r="H338" s="8" t="n">
        <x:v>46177</x:v>
      </x:c>
      <x:c r="I338" s="9" t="n">
        <x:v>6</x:v>
      </x:c>
      <x:c r="J338" s="10" t="n">
        <x:v>325200</x:v>
      </x:c>
      <x:c r="K338" s="10" t="n">
        <x:f>J338/I338</x:f>
        <x:v>54200</x:v>
      </x:c>
      <x:c r="L338" s="9" t="n">
        <x:f>DATE(2026,6,30)-H338</x:f>
        <x:v>26</x:v>
      </x:c>
      <x:c r="M338" s="9" t="n">
        <x:f>IF(L338&lt;=60,5,IF(L338&lt;=120,4,IF(L338&lt;=180,3,IF(L338&lt;=240,2,1))))</x:f>
        <x:v>5</x:v>
      </x:c>
      <x:c r="N338" s="9" t="n">
        <x:f>IF(I338&gt;=6,5,IF(I338&gt;=4,4,IF(I338=3,3,IF(I338=2,2,1))))</x:f>
        <x:v>5</x:v>
      </x:c>
      <x:c r="O338" s="9" t="n">
        <x:f>IF(J338&gt;=500000,5,IF(J338&gt;=300000,4,IF(J338&gt;=175000,3,IF(J338&gt;=75000,2,1))))</x:f>
        <x:v>4</x:v>
      </x:c>
      <x:c r="P338" s="7" t="str">
        <x:f>M338&amp;N338&amp;O338</x:f>
        <x:v>554</x:v>
      </x:c>
      <x:c r="Q338" s="7" t="str">
        <x:f>IF(AND(L338&lt;=60,I338&gt;=5,J338&gt;=300000),"Champions",IF(AND(L338&lt;=120,I338&gt;=3),"Loyal Growth",IF(AND(L338&gt;180,J338&gt;=300000),"High Value At Risk",IF(DATE(2026,6,30)-G338&lt;=90,"New Accounts",IF(AND(L338&lt;=120,I338=1),"Promising",IF(L338&lt;=240,"Needs Nurture","Dormant"))))))</x:f>
        <x:v>Champions</x:v>
      </x:c>
      <x:c r="R338" s="7" t="str">
        <x:f>IF(DATE(2026,6,30)-G338&lt;=90,"New",IF(AND(L338&lt;=120,I338&gt;=2),"Active",IF(I338=1,"One-time",IF(L338&lt;=240,"At Risk","Lapsed"))))</x:f>
        <x:v>Active</x:v>
      </x:c>
      <x:c r="S338" s="15" t="str">
        <x:f>IF(Q338="Champions","Invite to advisory program and cross-sell service plans",IF(Q338="Loyal Growth","Prioritize expansion offer and product education",IF(Q338="High Value At Risk","Assign sales recovery outreach within 14 days",IF(Q338="New Accounts","Launch 90-day onboarding and adoption sequence",IF(Q338="Promising","Nurture second purchase with use-case content",IF(Q338="Needs Nurture","Run product-fit review and re-engagement sequence","Move to low-frequency win-back program"))))))</x:f>
        <x:v>Invite to advisory program and cross-sell service plans</x:v>
      </x:c>
      <x:c r="T338" s="1"/>
      <x:c r="U338" s="1"/>
      <x:c r="V338" s="1"/>
      <x:c r="W338" s="1"/>
      <x:c r="X338" s="1"/>
      <x:c r="Y338" s="1"/>
      <x:c r="Z338" s="1"/>
    </x:row>
    <x:row r="339">
      <x:c r="A339" s="7" t="str">
        <x:v>ACC-0338</x:v>
      </x:c>
      <x:c r="B339" s="7" t="str">
        <x:v>Granite Solutions 338</x:v>
      </x:c>
      <x:c r="C339" s="7" t="str">
        <x:v>Midwest</x:v>
      </x:c>
      <x:c r="D339" s="7" t="str">
        <x:v>Contract Packaging</x:v>
      </x:c>
      <x:c r="E339" s="7" t="str">
        <x:v>Mid-market</x:v>
      </x:c>
      <x:c r="F339" s="7" t="str">
        <x:v>Trade Show</x:v>
      </x:c>
      <x:c r="G339" s="8" t="n">
        <x:v>45458</x:v>
      </x:c>
      <x:c r="H339" s="8" t="n">
        <x:v>46139</x:v>
      </x:c>
      <x:c r="I339" s="9" t="n">
        <x:v>4</x:v>
      </x:c>
      <x:c r="J339" s="10" t="n">
        <x:v>298100</x:v>
      </x:c>
      <x:c r="K339" s="10" t="n">
        <x:f>J339/I339</x:f>
        <x:v>74525</x:v>
      </x:c>
      <x:c r="L339" s="9" t="n">
        <x:f>DATE(2026,6,30)-H339</x:f>
        <x:v>64</x:v>
      </x:c>
      <x:c r="M339" s="9" t="n">
        <x:f>IF(L339&lt;=60,5,IF(L339&lt;=120,4,IF(L339&lt;=180,3,IF(L339&lt;=240,2,1))))</x:f>
        <x:v>4</x:v>
      </x:c>
      <x:c r="N339" s="9" t="n">
        <x:f>IF(I339&gt;=6,5,IF(I339&gt;=4,4,IF(I339=3,3,IF(I339=2,2,1))))</x:f>
        <x:v>4</x:v>
      </x:c>
      <x:c r="O339" s="9" t="n">
        <x:f>IF(J339&gt;=500000,5,IF(J339&gt;=300000,4,IF(J339&gt;=175000,3,IF(J339&gt;=75000,2,1))))</x:f>
        <x:v>3</x:v>
      </x:c>
      <x:c r="P339" s="7" t="str">
        <x:f>M339&amp;N339&amp;O339</x:f>
        <x:v>443</x:v>
      </x:c>
      <x:c r="Q339" s="7" t="str">
        <x:f>IF(AND(L339&lt;=60,I339&gt;=5,J339&gt;=300000),"Champions",IF(AND(L339&lt;=120,I339&gt;=3),"Loyal Growth",IF(AND(L339&gt;180,J339&gt;=300000),"High Value At Risk",IF(DATE(2026,6,30)-G339&lt;=90,"New Accounts",IF(AND(L339&lt;=120,I339=1),"Promising",IF(L339&lt;=240,"Needs Nurture","Dormant"))))))</x:f>
        <x:v>Loyal Growth</x:v>
      </x:c>
      <x:c r="R339" s="7" t="str">
        <x:f>IF(DATE(2026,6,30)-G339&lt;=90,"New",IF(AND(L339&lt;=120,I339&gt;=2),"Active",IF(I339=1,"One-time",IF(L339&lt;=240,"At Risk","Lapsed"))))</x:f>
        <x:v>Active</x:v>
      </x:c>
      <x:c r="S339" s="15" t="str">
        <x:f>IF(Q339="Champions","Invite to advisory program and cross-sell service plans",IF(Q339="Loyal Growth","Prioritize expansion offer and product education",IF(Q339="High Value At Risk","Assign sales recovery outreach within 14 days",IF(Q339="New Accounts","Launch 90-day onboarding and adoption sequence",IF(Q339="Promising","Nurture second purchase with use-case content",IF(Q339="Needs Nurture","Run product-fit review and re-engagement sequence","Move to low-frequency win-back program"))))))</x:f>
        <x:v>Prioritize expansion offer and product education</x:v>
      </x:c>
      <x:c r="T339" s="1"/>
      <x:c r="U339" s="1"/>
      <x:c r="V339" s="1"/>
      <x:c r="W339" s="1"/>
      <x:c r="X339" s="1"/>
      <x:c r="Y339" s="1"/>
      <x:c r="Z339" s="1"/>
    </x:row>
    <x:row r="340">
      <x:c r="A340" s="7" t="str">
        <x:v>ACC-0339</x:v>
      </x:c>
      <x:c r="B340" s="7" t="str">
        <x:v>Frontier Brands 339</x:v>
      </x:c>
      <x:c r="C340" s="7" t="str">
        <x:v>Midwest</x:v>
      </x:c>
      <x:c r="D340" s="7" t="str">
        <x:v>Pharmaceuticals</x:v>
      </x:c>
      <x:c r="E340" s="7" t="str">
        <x:v>Enterprise</x:v>
      </x:c>
      <x:c r="F340" s="7" t="str">
        <x:v>Google Search</x:v>
      </x:c>
      <x:c r="G340" s="8" t="n">
        <x:v>45577</x:v>
      </x:c>
      <x:c r="H340" s="8" t="n">
        <x:v>45968</x:v>
      </x:c>
      <x:c r="I340" s="9" t="n">
        <x:v>8</x:v>
      </x:c>
      <x:c r="J340" s="10" t="n">
        <x:v>1477600</x:v>
      </x:c>
      <x:c r="K340" s="10" t="n">
        <x:f>J340/I340</x:f>
        <x:v>184700</x:v>
      </x:c>
      <x:c r="L340" s="9" t="n">
        <x:f>DATE(2026,6,30)-H340</x:f>
        <x:v>235</x:v>
      </x:c>
      <x:c r="M340" s="9" t="n">
        <x:f>IF(L340&lt;=60,5,IF(L340&lt;=120,4,IF(L340&lt;=180,3,IF(L340&lt;=240,2,1))))</x:f>
        <x:v>2</x:v>
      </x:c>
      <x:c r="N340" s="9" t="n">
        <x:f>IF(I340&gt;=6,5,IF(I340&gt;=4,4,IF(I340=3,3,IF(I340=2,2,1))))</x:f>
        <x:v>5</x:v>
      </x:c>
      <x:c r="O340" s="9" t="n">
        <x:f>IF(J340&gt;=500000,5,IF(J340&gt;=300000,4,IF(J340&gt;=175000,3,IF(J340&gt;=75000,2,1))))</x:f>
        <x:v>5</x:v>
      </x:c>
      <x:c r="P340" s="7" t="str">
        <x:f>M340&amp;N340&amp;O340</x:f>
        <x:v>255</x:v>
      </x:c>
      <x:c r="Q340" s="7" t="str">
        <x:f>IF(AND(L340&lt;=60,I340&gt;=5,J340&gt;=300000),"Champions",IF(AND(L340&lt;=120,I340&gt;=3),"Loyal Growth",IF(AND(L340&gt;180,J340&gt;=300000),"High Value At Risk",IF(DATE(2026,6,30)-G340&lt;=90,"New Accounts",IF(AND(L340&lt;=120,I340=1),"Promising",IF(L340&lt;=240,"Needs Nurture","Dormant"))))))</x:f>
        <x:v>High Value At Risk</x:v>
      </x:c>
      <x:c r="R340" s="7" t="str">
        <x:f>IF(DATE(2026,6,30)-G340&lt;=90,"New",IF(AND(L340&lt;=120,I340&gt;=2),"Active",IF(I340=1,"One-time",IF(L340&lt;=240,"At Risk","Lapsed"))))</x:f>
        <x:v>At Risk</x:v>
      </x:c>
      <x:c r="S340" s="15" t="str">
        <x:f>IF(Q340="Champions","Invite to advisory program and cross-sell service plans",IF(Q340="Loyal Growth","Prioritize expansion offer and product education",IF(Q340="High Value At Risk","Assign sales recovery outreach within 14 days",IF(Q340="New Accounts","Launch 90-day onboarding and adoption sequence",IF(Q340="Promising","Nurture second purchase with use-case content",IF(Q340="Needs Nurture","Run product-fit review and re-engagement sequence","Move to low-frequency win-back program"))))))</x:f>
        <x:v>Assign sales recovery outreach within 14 days</x:v>
      </x:c>
      <x:c r="T340" s="1"/>
      <x:c r="U340" s="1"/>
      <x:c r="V340" s="1"/>
      <x:c r="W340" s="1"/>
      <x:c r="X340" s="1"/>
      <x:c r="Y340" s="1"/>
      <x:c r="Z340" s="1"/>
    </x:row>
    <x:row r="341">
      <x:c r="A341" s="7" t="str">
        <x:v>ACC-0340</x:v>
      </x:c>
      <x:c r="B341" s="7" t="str">
        <x:v>Apex Solutions 340</x:v>
      </x:c>
      <x:c r="C341" s="7" t="str">
        <x:v>South</x:v>
      </x:c>
      <x:c r="D341" s="7" t="str">
        <x:v>Industrial Products</x:v>
      </x:c>
      <x:c r="E341" s="7" t="str">
        <x:v>Enterprise</x:v>
      </x:c>
      <x:c r="F341" s="7" t="str">
        <x:v>Partner Referral</x:v>
      </x:c>
      <x:c r="G341" s="8" t="n">
        <x:v>46012</x:v>
      </x:c>
      <x:c r="H341" s="8" t="n">
        <x:v>46048</x:v>
      </x:c>
      <x:c r="I341" s="9" t="n">
        <x:v>3</x:v>
      </x:c>
      <x:c r="J341" s="10" t="n">
        <x:v>523500</x:v>
      </x:c>
      <x:c r="K341" s="10" t="n">
        <x:f>J341/I341</x:f>
        <x:v>174500</x:v>
      </x:c>
      <x:c r="L341" s="9" t="n">
        <x:f>DATE(2026,6,30)-H341</x:f>
        <x:v>155</x:v>
      </x:c>
      <x:c r="M341" s="9" t="n">
        <x:f>IF(L341&lt;=60,5,IF(L341&lt;=120,4,IF(L341&lt;=180,3,IF(L341&lt;=240,2,1))))</x:f>
        <x:v>3</x:v>
      </x:c>
      <x:c r="N341" s="9" t="n">
        <x:f>IF(I341&gt;=6,5,IF(I341&gt;=4,4,IF(I341=3,3,IF(I341=2,2,1))))</x:f>
        <x:v>3</x:v>
      </x:c>
      <x:c r="O341" s="9" t="n">
        <x:f>IF(J341&gt;=500000,5,IF(J341&gt;=300000,4,IF(J341&gt;=175000,3,IF(J341&gt;=75000,2,1))))</x:f>
        <x:v>5</x:v>
      </x:c>
      <x:c r="P341" s="7" t="str">
        <x:f>M341&amp;N341&amp;O341</x:f>
        <x:v>335</x:v>
      </x:c>
      <x:c r="Q341" s="7" t="str">
        <x:f>IF(AND(L341&lt;=60,I341&gt;=5,J341&gt;=300000),"Champions",IF(AND(L341&lt;=120,I341&gt;=3),"Loyal Growth",IF(AND(L341&gt;180,J341&gt;=300000),"High Value At Risk",IF(DATE(2026,6,30)-G341&lt;=90,"New Accounts",IF(AND(L341&lt;=120,I341=1),"Promising",IF(L341&lt;=240,"Needs Nurture","Dormant"))))))</x:f>
        <x:v>Needs Nurture</x:v>
      </x:c>
      <x:c r="R341" s="7" t="str">
        <x:f>IF(DATE(2026,6,30)-G341&lt;=90,"New",IF(AND(L341&lt;=120,I341&gt;=2),"Active",IF(I341=1,"One-time",IF(L341&lt;=240,"At Risk","Lapsed"))))</x:f>
        <x:v>At Risk</x:v>
      </x:c>
      <x:c r="S341" s="15" t="str">
        <x:f>IF(Q341="Champions","Invite to advisory program and cross-sell service plans",IF(Q341="Loyal Growth","Prioritize expansion offer and product education",IF(Q341="High Value At Risk","Assign sales recovery outreach within 14 days",IF(Q341="New Accounts","Launch 90-day onboarding and adoption sequence",IF(Q341="Promising","Nurture second purchase with use-case content",IF(Q341="Needs Nurture","Run product-fit review and re-engagement sequence","Move to low-frequency win-back program"))))))</x:f>
        <x:v>Run product-fit review and re-engagement sequence</x:v>
      </x:c>
      <x:c r="T341" s="1"/>
      <x:c r="U341" s="1"/>
      <x:c r="V341" s="1"/>
      <x:c r="W341" s="1"/>
      <x:c r="X341" s="1"/>
      <x:c r="Y341" s="1"/>
      <x:c r="Z341" s="1"/>
    </x:row>
    <x:row r="342">
      <x:c r="A342" s="7" t="str">
        <x:v>ACC-0341</x:v>
      </x:c>
      <x:c r="B342" s="7" t="str">
        <x:v>Vertex Industries 341</x:v>
      </x:c>
      <x:c r="C342" s="7" t="str">
        <x:v>Northeast</x:v>
      </x:c>
      <x:c r="D342" s="7" t="str">
        <x:v>Food &amp; Beverage</x:v>
      </x:c>
      <x:c r="E342" s="7" t="str">
        <x:v>Mid-market</x:v>
      </x:c>
      <x:c r="F342" s="7" t="str">
        <x:v>Trade Show</x:v>
      </x:c>
      <x:c r="G342" s="8" t="n">
        <x:v>45787</x:v>
      </x:c>
      <x:c r="H342" s="8" t="n">
        <x:v>46053</x:v>
      </x:c>
      <x:c r="I342" s="9" t="n">
        <x:v>5</x:v>
      </x:c>
      <x:c r="J342" s="10" t="n">
        <x:v>463200</x:v>
      </x:c>
      <x:c r="K342" s="10" t="n">
        <x:f>J342/I342</x:f>
        <x:v>92640</x:v>
      </x:c>
      <x:c r="L342" s="9" t="n">
        <x:f>DATE(2026,6,30)-H342</x:f>
        <x:v>150</x:v>
      </x:c>
      <x:c r="M342" s="9" t="n">
        <x:f>IF(L342&lt;=60,5,IF(L342&lt;=120,4,IF(L342&lt;=180,3,IF(L342&lt;=240,2,1))))</x:f>
        <x:v>3</x:v>
      </x:c>
      <x:c r="N342" s="9" t="n">
        <x:f>IF(I342&gt;=6,5,IF(I342&gt;=4,4,IF(I342=3,3,IF(I342=2,2,1))))</x:f>
        <x:v>4</x:v>
      </x:c>
      <x:c r="O342" s="9" t="n">
        <x:f>IF(J342&gt;=500000,5,IF(J342&gt;=300000,4,IF(J342&gt;=175000,3,IF(J342&gt;=75000,2,1))))</x:f>
        <x:v>4</x:v>
      </x:c>
      <x:c r="P342" s="7" t="str">
        <x:f>M342&amp;N342&amp;O342</x:f>
        <x:v>344</x:v>
      </x:c>
      <x:c r="Q342" s="7" t="str">
        <x:f>IF(AND(L342&lt;=60,I342&gt;=5,J342&gt;=300000),"Champions",IF(AND(L342&lt;=120,I342&gt;=3),"Loyal Growth",IF(AND(L342&gt;180,J342&gt;=300000),"High Value At Risk",IF(DATE(2026,6,30)-G342&lt;=90,"New Accounts",IF(AND(L342&lt;=120,I342=1),"Promising",IF(L342&lt;=240,"Needs Nurture","Dormant"))))))</x:f>
        <x:v>Needs Nurture</x:v>
      </x:c>
      <x:c r="R342" s="7" t="str">
        <x:f>IF(DATE(2026,6,30)-G342&lt;=90,"New",IF(AND(L342&lt;=120,I342&gt;=2),"Active",IF(I342=1,"One-time",IF(L342&lt;=240,"At Risk","Lapsed"))))</x:f>
        <x:v>At Risk</x:v>
      </x:c>
      <x:c r="S342" s="15" t="str">
        <x:f>IF(Q342="Champions","Invite to advisory program and cross-sell service plans",IF(Q342="Loyal Growth","Prioritize expansion offer and product education",IF(Q342="High Value At Risk","Assign sales recovery outreach within 14 days",IF(Q342="New Accounts","Launch 90-day onboarding and adoption sequence",IF(Q342="Promising","Nurture second purchase with use-case content",IF(Q342="Needs Nurture","Run product-fit review and re-engagement sequence","Move to low-frequency win-back program"))))))</x:f>
        <x:v>Run product-fit review and re-engagement sequence</x:v>
      </x:c>
      <x:c r="T342" s="1"/>
      <x:c r="U342" s="1"/>
      <x:c r="V342" s="1"/>
      <x:c r="W342" s="1"/>
      <x:c r="X342" s="1"/>
      <x:c r="Y342" s="1"/>
      <x:c r="Z342" s="1"/>
    </x:row>
    <x:row r="343">
      <x:c r="A343" s="7" t="str">
        <x:v>ACC-0342</x:v>
      </x:c>
      <x:c r="B343" s="7" t="str">
        <x:v>Frontier Brands 342</x:v>
      </x:c>
      <x:c r="C343" s="7" t="str">
        <x:v>South</x:v>
      </x:c>
      <x:c r="D343" s="7" t="str">
        <x:v>Industrial Products</x:v>
      </x:c>
      <x:c r="E343" s="7" t="str">
        <x:v>Small</x:v>
      </x:c>
      <x:c r="F343" s="7" t="str">
        <x:v>LinkedIn</x:v>
      </x:c>
      <x:c r="G343" s="8" t="n">
        <x:v>46002</x:v>
      </x:c>
      <x:c r="H343" s="8" t="n">
        <x:v>46002</x:v>
      </x:c>
      <x:c r="I343" s="9" t="n">
        <x:v>1</x:v>
      </x:c>
      <x:c r="J343" s="10" t="n">
        <x:v>41400</x:v>
      </x:c>
      <x:c r="K343" s="10" t="n">
        <x:f>J343/I343</x:f>
        <x:v>41400</x:v>
      </x:c>
      <x:c r="L343" s="9" t="n">
        <x:f>DATE(2026,6,30)-H343</x:f>
        <x:v>201</x:v>
      </x:c>
      <x:c r="M343" s="9" t="n">
        <x:f>IF(L343&lt;=60,5,IF(L343&lt;=120,4,IF(L343&lt;=180,3,IF(L343&lt;=240,2,1))))</x:f>
        <x:v>2</x:v>
      </x:c>
      <x:c r="N343" s="9" t="n">
        <x:f>IF(I343&gt;=6,5,IF(I343&gt;=4,4,IF(I343=3,3,IF(I343=2,2,1))))</x:f>
        <x:v>1</x:v>
      </x:c>
      <x:c r="O343" s="9" t="n">
        <x:f>IF(J343&gt;=500000,5,IF(J343&gt;=300000,4,IF(J343&gt;=175000,3,IF(J343&gt;=75000,2,1))))</x:f>
        <x:v>1</x:v>
      </x:c>
      <x:c r="P343" s="7" t="str">
        <x:f>M343&amp;N343&amp;O343</x:f>
        <x:v>211</x:v>
      </x:c>
      <x:c r="Q343" s="7" t="str">
        <x:f>IF(AND(L343&lt;=60,I343&gt;=5,J343&gt;=300000),"Champions",IF(AND(L343&lt;=120,I343&gt;=3),"Loyal Growth",IF(AND(L343&gt;180,J343&gt;=300000),"High Value At Risk",IF(DATE(2026,6,30)-G343&lt;=90,"New Accounts",IF(AND(L343&lt;=120,I343=1),"Promising",IF(L343&lt;=240,"Needs Nurture","Dormant"))))))</x:f>
        <x:v>Needs Nurture</x:v>
      </x:c>
      <x:c r="R343" s="7" t="str">
        <x:f>IF(DATE(2026,6,30)-G343&lt;=90,"New",IF(AND(L343&lt;=120,I343&gt;=2),"Active",IF(I343=1,"One-time",IF(L343&lt;=240,"At Risk","Lapsed"))))</x:f>
        <x:v>One-time</x:v>
      </x:c>
      <x:c r="S343" s="15" t="str">
        <x:f>IF(Q343="Champions","Invite to advisory program and cross-sell service plans",IF(Q343="Loyal Growth","Prioritize expansion offer and product education",IF(Q343="High Value At Risk","Assign sales recovery outreach within 14 days",IF(Q343="New Accounts","Launch 90-day onboarding and adoption sequence",IF(Q343="Promising","Nurture second purchase with use-case content",IF(Q343="Needs Nurture","Run product-fit review and re-engagement sequence","Move to low-frequency win-back program"))))))</x:f>
        <x:v>Run product-fit review and re-engagement sequence</x:v>
      </x:c>
      <x:c r="T343" s="1"/>
      <x:c r="U343" s="1"/>
      <x:c r="V343" s="1"/>
      <x:c r="W343" s="1"/>
      <x:c r="X343" s="1"/>
      <x:c r="Y343" s="1"/>
      <x:c r="Z343" s="1"/>
    </x:row>
    <x:row r="344">
      <x:c r="A344" s="7" t="str">
        <x:v>ACC-0343</x:v>
      </x:c>
      <x:c r="B344" s="7" t="str">
        <x:v>Meridian Brands 343</x:v>
      </x:c>
      <x:c r="C344" s="7" t="str">
        <x:v>South</x:v>
      </x:c>
      <x:c r="D344" s="7" t="str">
        <x:v>Food &amp; Beverage</x:v>
      </x:c>
      <x:c r="E344" s="7" t="str">
        <x:v>Mid-market</x:v>
      </x:c>
      <x:c r="F344" s="7" t="str">
        <x:v>Google Search</x:v>
      </x:c>
      <x:c r="G344" s="8" t="n">
        <x:v>45384</x:v>
      </x:c>
      <x:c r="H344" s="8" t="n">
        <x:v>46118</x:v>
      </x:c>
      <x:c r="I344" s="9" t="n">
        <x:v>4</x:v>
      </x:c>
      <x:c r="J344" s="10" t="n">
        <x:v>532100</x:v>
      </x:c>
      <x:c r="K344" s="10" t="n">
        <x:f>J344/I344</x:f>
        <x:v>133025</x:v>
      </x:c>
      <x:c r="L344" s="9" t="n">
        <x:f>DATE(2026,6,30)-H344</x:f>
        <x:v>85</x:v>
      </x:c>
      <x:c r="M344" s="9" t="n">
        <x:f>IF(L344&lt;=60,5,IF(L344&lt;=120,4,IF(L344&lt;=180,3,IF(L344&lt;=240,2,1))))</x:f>
        <x:v>4</x:v>
      </x:c>
      <x:c r="N344" s="9" t="n">
        <x:f>IF(I344&gt;=6,5,IF(I344&gt;=4,4,IF(I344=3,3,IF(I344=2,2,1))))</x:f>
        <x:v>4</x:v>
      </x:c>
      <x:c r="O344" s="9" t="n">
        <x:f>IF(J344&gt;=500000,5,IF(J344&gt;=300000,4,IF(J344&gt;=175000,3,IF(J344&gt;=75000,2,1))))</x:f>
        <x:v>5</x:v>
      </x:c>
      <x:c r="P344" s="7" t="str">
        <x:f>M344&amp;N344&amp;O344</x:f>
        <x:v>445</x:v>
      </x:c>
      <x:c r="Q344" s="7" t="str">
        <x:f>IF(AND(L344&lt;=60,I344&gt;=5,J344&gt;=300000),"Champions",IF(AND(L344&lt;=120,I344&gt;=3),"Loyal Growth",IF(AND(L344&gt;180,J344&gt;=300000),"High Value At Risk",IF(DATE(2026,6,30)-G344&lt;=90,"New Accounts",IF(AND(L344&lt;=120,I344=1),"Promising",IF(L344&lt;=240,"Needs Nurture","Dormant"))))))</x:f>
        <x:v>Loyal Growth</x:v>
      </x:c>
      <x:c r="R344" s="7" t="str">
        <x:f>IF(DATE(2026,6,30)-G344&lt;=90,"New",IF(AND(L344&lt;=120,I344&gt;=2),"Active",IF(I344=1,"One-time",IF(L344&lt;=240,"At Risk","Lapsed"))))</x:f>
        <x:v>Active</x:v>
      </x:c>
      <x:c r="S344" s="15" t="str">
        <x:f>IF(Q344="Champions","Invite to advisory program and cross-sell service plans",IF(Q344="Loyal Growth","Prioritize expansion offer and product education",IF(Q344="High Value At Risk","Assign sales recovery outreach within 14 days",IF(Q344="New Accounts","Launch 90-day onboarding and adoption sequence",IF(Q344="Promising","Nurture second purchase with use-case content",IF(Q344="Needs Nurture","Run product-fit review and re-engagement sequence","Move to low-frequency win-back program"))))))</x:f>
        <x:v>Prioritize expansion offer and product education</x:v>
      </x:c>
      <x:c r="T344" s="1"/>
      <x:c r="U344" s="1"/>
      <x:c r="V344" s="1"/>
      <x:c r="W344" s="1"/>
      <x:c r="X344" s="1"/>
      <x:c r="Y344" s="1"/>
      <x:c r="Z344" s="1"/>
    </x:row>
    <x:row r="345">
      <x:c r="A345" s="7" t="str">
        <x:v>ACC-0344</x:v>
      </x:c>
      <x:c r="B345" s="7" t="str">
        <x:v>Beacon Industries 344</x:v>
      </x:c>
      <x:c r="C345" s="7" t="str">
        <x:v>South</x:v>
      </x:c>
      <x:c r="D345" s="7" t="str">
        <x:v>Consumer Goods</x:v>
      </x:c>
      <x:c r="E345" s="7" t="str">
        <x:v>Mid-market</x:v>
      </x:c>
      <x:c r="F345" s="7" t="str">
        <x:v>LinkedIn</x:v>
      </x:c>
      <x:c r="G345" s="8" t="n">
        <x:v>45313</x:v>
      </x:c>
      <x:c r="H345" s="8" t="n">
        <x:v>45687</x:v>
      </x:c>
      <x:c r="I345" s="9" t="n">
        <x:v>2</x:v>
      </x:c>
      <x:c r="J345" s="10" t="n">
        <x:v>149800</x:v>
      </x:c>
      <x:c r="K345" s="10" t="n">
        <x:f>J345/I345</x:f>
        <x:v>74900</x:v>
      </x:c>
      <x:c r="L345" s="9" t="n">
        <x:f>DATE(2026,6,30)-H345</x:f>
        <x:v>516</x:v>
      </x:c>
      <x:c r="M345" s="9" t="n">
        <x:f>IF(L345&lt;=60,5,IF(L345&lt;=120,4,IF(L345&lt;=180,3,IF(L345&lt;=240,2,1))))</x:f>
        <x:v>1</x:v>
      </x:c>
      <x:c r="N345" s="9" t="n">
        <x:f>IF(I345&gt;=6,5,IF(I345&gt;=4,4,IF(I345=3,3,IF(I345=2,2,1))))</x:f>
        <x:v>2</x:v>
      </x:c>
      <x:c r="O345" s="9" t="n">
        <x:f>IF(J345&gt;=500000,5,IF(J345&gt;=300000,4,IF(J345&gt;=175000,3,IF(J345&gt;=75000,2,1))))</x:f>
        <x:v>2</x:v>
      </x:c>
      <x:c r="P345" s="7" t="str">
        <x:f>M345&amp;N345&amp;O345</x:f>
        <x:v>122</x:v>
      </x:c>
      <x:c r="Q345" s="7" t="str">
        <x:f>IF(AND(L345&lt;=60,I345&gt;=5,J345&gt;=300000),"Champions",IF(AND(L345&lt;=120,I345&gt;=3),"Loyal Growth",IF(AND(L345&gt;180,J345&gt;=300000),"High Value At Risk",IF(DATE(2026,6,30)-G345&lt;=90,"New Accounts",IF(AND(L345&lt;=120,I345=1),"Promising",IF(L345&lt;=240,"Needs Nurture","Dormant"))))))</x:f>
        <x:v>Dormant</x:v>
      </x:c>
      <x:c r="R345" s="7" t="str">
        <x:f>IF(DATE(2026,6,30)-G345&lt;=90,"New",IF(AND(L345&lt;=120,I345&gt;=2),"Active",IF(I345=1,"One-time",IF(L345&lt;=240,"At Risk","Lapsed"))))</x:f>
        <x:v>Lapsed</x:v>
      </x:c>
      <x:c r="S345" s="15" t="str">
        <x:f>IF(Q345="Champions","Invite to advisory program and cross-sell service plans",IF(Q345="Loyal Growth","Prioritize expansion offer and product education",IF(Q345="High Value At Risk","Assign sales recovery outreach within 14 days",IF(Q345="New Accounts","Launch 90-day onboarding and adoption sequence",IF(Q345="Promising","Nurture second purchase with use-case content",IF(Q345="Needs Nurture","Run product-fit review and re-engagement sequence","Move to low-frequency win-back program"))))))</x:f>
        <x:v>Move to low-frequency win-back program</x:v>
      </x:c>
      <x:c r="T345" s="1"/>
      <x:c r="U345" s="1"/>
      <x:c r="V345" s="1"/>
      <x:c r="W345" s="1"/>
      <x:c r="X345" s="1"/>
      <x:c r="Y345" s="1"/>
      <x:c r="Z345" s="1"/>
    </x:row>
    <x:row r="346">
      <x:c r="A346" s="7" t="str">
        <x:v>ACC-0345</x:v>
      </x:c>
      <x:c r="B346" s="7" t="str">
        <x:v>Granite Products 345</x:v>
      </x:c>
      <x:c r="C346" s="7" t="str">
        <x:v>Midwest</x:v>
      </x:c>
      <x:c r="D346" s="7" t="str">
        <x:v>Industrial Products</x:v>
      </x:c>
      <x:c r="E346" s="7" t="str">
        <x:v>Mid-market</x:v>
      </x:c>
      <x:c r="F346" s="7" t="str">
        <x:v>Trade Show</x:v>
      </x:c>
      <x:c r="G346" s="8" t="n">
        <x:v>45437</x:v>
      </x:c>
      <x:c r="H346" s="8" t="n">
        <x:v>46145</x:v>
      </x:c>
      <x:c r="I346" s="9" t="n">
        <x:v>4</x:v>
      </x:c>
      <x:c r="J346" s="10" t="n">
        <x:v>530900</x:v>
      </x:c>
      <x:c r="K346" s="10" t="n">
        <x:f>J346/I346</x:f>
        <x:v>132725</x:v>
      </x:c>
      <x:c r="L346" s="9" t="n">
        <x:f>DATE(2026,6,30)-H346</x:f>
        <x:v>58</x:v>
      </x:c>
      <x:c r="M346" s="9" t="n">
        <x:f>IF(L346&lt;=60,5,IF(L346&lt;=120,4,IF(L346&lt;=180,3,IF(L346&lt;=240,2,1))))</x:f>
        <x:v>5</x:v>
      </x:c>
      <x:c r="N346" s="9" t="n">
        <x:f>IF(I346&gt;=6,5,IF(I346&gt;=4,4,IF(I346=3,3,IF(I346=2,2,1))))</x:f>
        <x:v>4</x:v>
      </x:c>
      <x:c r="O346" s="9" t="n">
        <x:f>IF(J346&gt;=500000,5,IF(J346&gt;=300000,4,IF(J346&gt;=175000,3,IF(J346&gt;=75000,2,1))))</x:f>
        <x:v>5</x:v>
      </x:c>
      <x:c r="P346" s="7" t="str">
        <x:f>M346&amp;N346&amp;O346</x:f>
        <x:v>545</x:v>
      </x:c>
      <x:c r="Q346" s="7" t="str">
        <x:f>IF(AND(L346&lt;=60,I346&gt;=5,J346&gt;=300000),"Champions",IF(AND(L346&lt;=120,I346&gt;=3),"Loyal Growth",IF(AND(L346&gt;180,J346&gt;=300000),"High Value At Risk",IF(DATE(2026,6,30)-G346&lt;=90,"New Accounts",IF(AND(L346&lt;=120,I346=1),"Promising",IF(L346&lt;=240,"Needs Nurture","Dormant"))))))</x:f>
        <x:v>Loyal Growth</x:v>
      </x:c>
      <x:c r="R346" s="7" t="str">
        <x:f>IF(DATE(2026,6,30)-G346&lt;=90,"New",IF(AND(L346&lt;=120,I346&gt;=2),"Active",IF(I346=1,"One-time",IF(L346&lt;=240,"At Risk","Lapsed"))))</x:f>
        <x:v>Active</x:v>
      </x:c>
      <x:c r="S346" s="15" t="str">
        <x:f>IF(Q346="Champions","Invite to advisory program and cross-sell service plans",IF(Q346="Loyal Growth","Prioritize expansion offer and product education",IF(Q346="High Value At Risk","Assign sales recovery outreach within 14 days",IF(Q346="New Accounts","Launch 90-day onboarding and adoption sequence",IF(Q346="Promising","Nurture second purchase with use-case content",IF(Q346="Needs Nurture","Run product-fit review and re-engagement sequence","Move to low-frequency win-back program"))))))</x:f>
        <x:v>Prioritize expansion offer and product education</x:v>
      </x:c>
      <x:c r="T346" s="1"/>
      <x:c r="U346" s="1"/>
      <x:c r="V346" s="1"/>
      <x:c r="W346" s="1"/>
      <x:c r="X346" s="1"/>
      <x:c r="Y346" s="1"/>
      <x:c r="Z346" s="1"/>
    </x:row>
    <x:row r="347">
      <x:c r="A347" s="7" t="str">
        <x:v>ACC-0346</x:v>
      </x:c>
      <x:c r="B347" s="7" t="str">
        <x:v>Harbor Industries 346</x:v>
      </x:c>
      <x:c r="C347" s="7" t="str">
        <x:v>West</x:v>
      </x:c>
      <x:c r="D347" s="7" t="str">
        <x:v>Food &amp; Beverage</x:v>
      </x:c>
      <x:c r="E347" s="7" t="str">
        <x:v>Small</x:v>
      </x:c>
      <x:c r="F347" s="7" t="str">
        <x:v>Trade Show</x:v>
      </x:c>
      <x:c r="G347" s="8" t="n">
        <x:v>45547</x:v>
      </x:c>
      <x:c r="H347" s="8" t="n">
        <x:v>45910</x:v>
      </x:c>
      <x:c r="I347" s="9" t="n">
        <x:v>4</x:v>
      </x:c>
      <x:c r="J347" s="10" t="n">
        <x:v>288900</x:v>
      </x:c>
      <x:c r="K347" s="10" t="n">
        <x:f>J347/I347</x:f>
        <x:v>72225</x:v>
      </x:c>
      <x:c r="L347" s="9" t="n">
        <x:f>DATE(2026,6,30)-H347</x:f>
        <x:v>293</x:v>
      </x:c>
      <x:c r="M347" s="9" t="n">
        <x:f>IF(L347&lt;=60,5,IF(L347&lt;=120,4,IF(L347&lt;=180,3,IF(L347&lt;=240,2,1))))</x:f>
        <x:v>1</x:v>
      </x:c>
      <x:c r="N347" s="9" t="n">
        <x:f>IF(I347&gt;=6,5,IF(I347&gt;=4,4,IF(I347=3,3,IF(I347=2,2,1))))</x:f>
        <x:v>4</x:v>
      </x:c>
      <x:c r="O347" s="9" t="n">
        <x:f>IF(J347&gt;=500000,5,IF(J347&gt;=300000,4,IF(J347&gt;=175000,3,IF(J347&gt;=75000,2,1))))</x:f>
        <x:v>3</x:v>
      </x:c>
      <x:c r="P347" s="7" t="str">
        <x:f>M347&amp;N347&amp;O347</x:f>
        <x:v>143</x:v>
      </x:c>
      <x:c r="Q347" s="7" t="str">
        <x:f>IF(AND(L347&lt;=60,I347&gt;=5,J347&gt;=300000),"Champions",IF(AND(L347&lt;=120,I347&gt;=3),"Loyal Growth",IF(AND(L347&gt;180,J347&gt;=300000),"High Value At Risk",IF(DATE(2026,6,30)-G347&lt;=90,"New Accounts",IF(AND(L347&lt;=120,I347=1),"Promising",IF(L347&lt;=240,"Needs Nurture","Dormant"))))))</x:f>
        <x:v>Dormant</x:v>
      </x:c>
      <x:c r="R347" s="7" t="str">
        <x:f>IF(DATE(2026,6,30)-G347&lt;=90,"New",IF(AND(L347&lt;=120,I347&gt;=2),"Active",IF(I347=1,"One-time",IF(L347&lt;=240,"At Risk","Lapsed"))))</x:f>
        <x:v>Lapsed</x:v>
      </x:c>
      <x:c r="S347" s="15" t="str">
        <x:f>IF(Q347="Champions","Invite to advisory program and cross-sell service plans",IF(Q347="Loyal Growth","Prioritize expansion offer and product education",IF(Q347="High Value At Risk","Assign sales recovery outreach within 14 days",IF(Q347="New Accounts","Launch 90-day onboarding and adoption sequence",IF(Q347="Promising","Nurture second purchase with use-case content",IF(Q347="Needs Nurture","Run product-fit review and re-engagement sequence","Move to low-frequency win-back program"))))))</x:f>
        <x:v>Move to low-frequency win-back program</x:v>
      </x:c>
      <x:c r="T347" s="1"/>
      <x:c r="U347" s="1"/>
      <x:c r="V347" s="1"/>
      <x:c r="W347" s="1"/>
      <x:c r="X347" s="1"/>
      <x:c r="Y347" s="1"/>
      <x:c r="Z347" s="1"/>
    </x:row>
    <x:row r="348">
      <x:c r="A348" s="7" t="str">
        <x:v>ACC-0347</x:v>
      </x:c>
      <x:c r="B348" s="7" t="str">
        <x:v>Evergreen Packaging 347</x:v>
      </x:c>
      <x:c r="C348" s="7" t="str">
        <x:v>West</x:v>
      </x:c>
      <x:c r="D348" s="7" t="str">
        <x:v>Pharmaceuticals</x:v>
      </x:c>
      <x:c r="E348" s="7" t="str">
        <x:v>Enterprise</x:v>
      </x:c>
      <x:c r="F348" s="7" t="str">
        <x:v>Google Search</x:v>
      </x:c>
      <x:c r="G348" s="8" t="n">
        <x:v>45813</x:v>
      </x:c>
      <x:c r="H348" s="8" t="n">
        <x:v>46173</x:v>
      </x:c>
      <x:c r="I348" s="9" t="n">
        <x:v>6</x:v>
      </x:c>
      <x:c r="J348" s="10" t="n">
        <x:v>1040300</x:v>
      </x:c>
      <x:c r="K348" s="10" t="n">
        <x:f>J348/I348</x:f>
        <x:v>173383.33333333334</x:v>
      </x:c>
      <x:c r="L348" s="9" t="n">
        <x:f>DATE(2026,6,30)-H348</x:f>
        <x:v>30</x:v>
      </x:c>
      <x:c r="M348" s="9" t="n">
        <x:f>IF(L348&lt;=60,5,IF(L348&lt;=120,4,IF(L348&lt;=180,3,IF(L348&lt;=240,2,1))))</x:f>
        <x:v>5</x:v>
      </x:c>
      <x:c r="N348" s="9" t="n">
        <x:f>IF(I348&gt;=6,5,IF(I348&gt;=4,4,IF(I348=3,3,IF(I348=2,2,1))))</x:f>
        <x:v>5</x:v>
      </x:c>
      <x:c r="O348" s="9" t="n">
        <x:f>IF(J348&gt;=500000,5,IF(J348&gt;=300000,4,IF(J348&gt;=175000,3,IF(J348&gt;=75000,2,1))))</x:f>
        <x:v>5</x:v>
      </x:c>
      <x:c r="P348" s="7" t="str">
        <x:f>M348&amp;N348&amp;O348</x:f>
        <x:v>555</x:v>
      </x:c>
      <x:c r="Q348" s="7" t="str">
        <x:f>IF(AND(L348&lt;=60,I348&gt;=5,J348&gt;=300000),"Champions",IF(AND(L348&lt;=120,I348&gt;=3),"Loyal Growth",IF(AND(L348&gt;180,J348&gt;=300000),"High Value At Risk",IF(DATE(2026,6,30)-G348&lt;=90,"New Accounts",IF(AND(L348&lt;=120,I348=1),"Promising",IF(L348&lt;=240,"Needs Nurture","Dormant"))))))</x:f>
        <x:v>Champions</x:v>
      </x:c>
      <x:c r="R348" s="7" t="str">
        <x:f>IF(DATE(2026,6,30)-G348&lt;=90,"New",IF(AND(L348&lt;=120,I348&gt;=2),"Active",IF(I348=1,"One-time",IF(L348&lt;=240,"At Risk","Lapsed"))))</x:f>
        <x:v>Active</x:v>
      </x:c>
      <x:c r="S348" s="15" t="str">
        <x:f>IF(Q348="Champions","Invite to advisory program and cross-sell service plans",IF(Q348="Loyal Growth","Prioritize expansion offer and product education",IF(Q348="High Value At Risk","Assign sales recovery outreach within 14 days",IF(Q348="New Accounts","Launch 90-day onboarding and adoption sequence",IF(Q348="Promising","Nurture second purchase with use-case content",IF(Q348="Needs Nurture","Run product-fit review and re-engagement sequence","Move to low-frequency win-back program"))))))</x:f>
        <x:v>Invite to advisory program and cross-sell service plans</x:v>
      </x:c>
      <x:c r="T348" s="1"/>
      <x:c r="U348" s="1"/>
      <x:c r="V348" s="1"/>
      <x:c r="W348" s="1"/>
      <x:c r="X348" s="1"/>
      <x:c r="Y348" s="1"/>
      <x:c r="Z348" s="1"/>
    </x:row>
    <x:row r="349">
      <x:c r="A349" s="7" t="str">
        <x:v>ACC-0348</x:v>
      </x:c>
      <x:c r="B349" s="7" t="str">
        <x:v>Evergreen Industries 348</x:v>
      </x:c>
      <x:c r="C349" s="7" t="str">
        <x:v>Northeast</x:v>
      </x:c>
      <x:c r="D349" s="7" t="str">
        <x:v>Pharmaceuticals</x:v>
      </x:c>
      <x:c r="E349" s="7" t="str">
        <x:v>Enterprise</x:v>
      </x:c>
      <x:c r="F349" s="7" t="str">
        <x:v>Partner Referral</x:v>
      </x:c>
      <x:c r="G349" s="8" t="n">
        <x:v>45481</x:v>
      </x:c>
      <x:c r="H349" s="8" t="n">
        <x:v>46004</x:v>
      </x:c>
      <x:c r="I349" s="9" t="n">
        <x:v>7</x:v>
      </x:c>
      <x:c r="J349" s="10" t="n">
        <x:v>1148500</x:v>
      </x:c>
      <x:c r="K349" s="10" t="n">
        <x:f>J349/I349</x:f>
        <x:v>164071.42857142858</x:v>
      </x:c>
      <x:c r="L349" s="9" t="n">
        <x:f>DATE(2026,6,30)-H349</x:f>
        <x:v>199</x:v>
      </x:c>
      <x:c r="M349" s="9" t="n">
        <x:f>IF(L349&lt;=60,5,IF(L349&lt;=120,4,IF(L349&lt;=180,3,IF(L349&lt;=240,2,1))))</x:f>
        <x:v>2</x:v>
      </x:c>
      <x:c r="N349" s="9" t="n">
        <x:f>IF(I349&gt;=6,5,IF(I349&gt;=4,4,IF(I349=3,3,IF(I349=2,2,1))))</x:f>
        <x:v>5</x:v>
      </x:c>
      <x:c r="O349" s="9" t="n">
        <x:f>IF(J349&gt;=500000,5,IF(J349&gt;=300000,4,IF(J349&gt;=175000,3,IF(J349&gt;=75000,2,1))))</x:f>
        <x:v>5</x:v>
      </x:c>
      <x:c r="P349" s="7" t="str">
        <x:f>M349&amp;N349&amp;O349</x:f>
        <x:v>255</x:v>
      </x:c>
      <x:c r="Q349" s="7" t="str">
        <x:f>IF(AND(L349&lt;=60,I349&gt;=5,J349&gt;=300000),"Champions",IF(AND(L349&lt;=120,I349&gt;=3),"Loyal Growth",IF(AND(L349&gt;180,J349&gt;=300000),"High Value At Risk",IF(DATE(2026,6,30)-G349&lt;=90,"New Accounts",IF(AND(L349&lt;=120,I349=1),"Promising",IF(L349&lt;=240,"Needs Nurture","Dormant"))))))</x:f>
        <x:v>High Value At Risk</x:v>
      </x:c>
      <x:c r="R349" s="7" t="str">
        <x:f>IF(DATE(2026,6,30)-G349&lt;=90,"New",IF(AND(L349&lt;=120,I349&gt;=2),"Active",IF(I349=1,"One-time",IF(L349&lt;=240,"At Risk","Lapsed"))))</x:f>
        <x:v>At Risk</x:v>
      </x:c>
      <x:c r="S349" s="15" t="str">
        <x:f>IF(Q349="Champions","Invite to advisory program and cross-sell service plans",IF(Q349="Loyal Growth","Prioritize expansion offer and product education",IF(Q349="High Value At Risk","Assign sales recovery outreach within 14 days",IF(Q349="New Accounts","Launch 90-day onboarding and adoption sequence",IF(Q349="Promising","Nurture second purchase with use-case content",IF(Q349="Needs Nurture","Run product-fit review and re-engagement sequence","Move to low-frequency win-back program"))))))</x:f>
        <x:v>Assign sales recovery outreach within 14 days</x:v>
      </x:c>
      <x:c r="T349" s="1"/>
      <x:c r="U349" s="1"/>
      <x:c r="V349" s="1"/>
      <x:c r="W349" s="1"/>
      <x:c r="X349" s="1"/>
      <x:c r="Y349" s="1"/>
      <x:c r="Z349" s="1"/>
    </x:row>
    <x:row r="350">
      <x:c r="A350" s="7" t="str">
        <x:v>ACC-0349</x:v>
      </x:c>
      <x:c r="B350" s="7" t="str">
        <x:v>Meridian Solutions 349</x:v>
      </x:c>
      <x:c r="C350" s="7" t="str">
        <x:v>West</x:v>
      </x:c>
      <x:c r="D350" s="7" t="str">
        <x:v>Pharmaceuticals</x:v>
      </x:c>
      <x:c r="E350" s="7" t="str">
        <x:v>Mid-market</x:v>
      </x:c>
      <x:c r="F350" s="7" t="str">
        <x:v>Trade Show</x:v>
      </x:c>
      <x:c r="G350" s="8" t="n">
        <x:v>45327</x:v>
      </x:c>
      <x:c r="H350" s="8" t="n">
        <x:v>46195</x:v>
      </x:c>
      <x:c r="I350" s="9" t="n">
        <x:v>6</x:v>
      </x:c>
      <x:c r="J350" s="10" t="n">
        <x:v>832300</x:v>
      </x:c>
      <x:c r="K350" s="10" t="n">
        <x:f>J350/I350</x:f>
        <x:v>138716.66666666666</x:v>
      </x:c>
      <x:c r="L350" s="9" t="n">
        <x:f>DATE(2026,6,30)-H350</x:f>
        <x:v>8</x:v>
      </x:c>
      <x:c r="M350" s="9" t="n">
        <x:f>IF(L350&lt;=60,5,IF(L350&lt;=120,4,IF(L350&lt;=180,3,IF(L350&lt;=240,2,1))))</x:f>
        <x:v>5</x:v>
      </x:c>
      <x:c r="N350" s="9" t="n">
        <x:f>IF(I350&gt;=6,5,IF(I350&gt;=4,4,IF(I350=3,3,IF(I350=2,2,1))))</x:f>
        <x:v>5</x:v>
      </x:c>
      <x:c r="O350" s="9" t="n">
        <x:f>IF(J350&gt;=500000,5,IF(J350&gt;=300000,4,IF(J350&gt;=175000,3,IF(J350&gt;=75000,2,1))))</x:f>
        <x:v>5</x:v>
      </x:c>
      <x:c r="P350" s="7" t="str">
        <x:f>M350&amp;N350&amp;O350</x:f>
        <x:v>555</x:v>
      </x:c>
      <x:c r="Q350" s="7" t="str">
        <x:f>IF(AND(L350&lt;=60,I350&gt;=5,J350&gt;=300000),"Champions",IF(AND(L350&lt;=120,I350&gt;=3),"Loyal Growth",IF(AND(L350&gt;180,J350&gt;=300000),"High Value At Risk",IF(DATE(2026,6,30)-G350&lt;=90,"New Accounts",IF(AND(L350&lt;=120,I350=1),"Promising",IF(L350&lt;=240,"Needs Nurture","Dormant"))))))</x:f>
        <x:v>Champions</x:v>
      </x:c>
      <x:c r="R350" s="7" t="str">
        <x:f>IF(DATE(2026,6,30)-G350&lt;=90,"New",IF(AND(L350&lt;=120,I350&gt;=2),"Active",IF(I350=1,"One-time",IF(L350&lt;=240,"At Risk","Lapsed"))))</x:f>
        <x:v>Active</x:v>
      </x:c>
      <x:c r="S350" s="15" t="str">
        <x:f>IF(Q350="Champions","Invite to advisory program and cross-sell service plans",IF(Q350="Loyal Growth","Prioritize expansion offer and product education",IF(Q350="High Value At Risk","Assign sales recovery outreach within 14 days",IF(Q350="New Accounts","Launch 90-day onboarding and adoption sequence",IF(Q350="Promising","Nurture second purchase with use-case content",IF(Q350="Needs Nurture","Run product-fit review and re-engagement sequence","Move to low-frequency win-back program"))))))</x:f>
        <x:v>Invite to advisory program and cross-sell service plans</x:v>
      </x:c>
      <x:c r="T350" s="1"/>
      <x:c r="U350" s="1"/>
      <x:c r="V350" s="1"/>
      <x:c r="W350" s="1"/>
      <x:c r="X350" s="1"/>
      <x:c r="Y350" s="1"/>
      <x:c r="Z350" s="1"/>
    </x:row>
    <x:row r="351">
      <x:c r="A351" s="7" t="str">
        <x:v>ACC-0350</x:v>
      </x:c>
      <x:c r="B351" s="7" t="str">
        <x:v>Titan Brands 350</x:v>
      </x:c>
      <x:c r="C351" s="7" t="str">
        <x:v>Midwest</x:v>
      </x:c>
      <x:c r="D351" s="7" t="str">
        <x:v>Industrial Products</x:v>
      </x:c>
      <x:c r="E351" s="7" t="str">
        <x:v>Small</x:v>
      </x:c>
      <x:c r="F351" s="7" t="str">
        <x:v>Email</x:v>
      </x:c>
      <x:c r="G351" s="8" t="n">
        <x:v>45617</x:v>
      </x:c>
      <x:c r="H351" s="8" t="n">
        <x:v>45617</x:v>
      </x:c>
      <x:c r="I351" s="9" t="n">
        <x:v>1</x:v>
      </x:c>
      <x:c r="J351" s="10" t="n">
        <x:v>54600</x:v>
      </x:c>
      <x:c r="K351" s="10" t="n">
        <x:f>J351/I351</x:f>
        <x:v>54600</x:v>
      </x:c>
      <x:c r="L351" s="9" t="n">
        <x:f>DATE(2026,6,30)-H351</x:f>
        <x:v>586</x:v>
      </x:c>
      <x:c r="M351" s="9" t="n">
        <x:f>IF(L351&lt;=60,5,IF(L351&lt;=120,4,IF(L351&lt;=180,3,IF(L351&lt;=240,2,1))))</x:f>
        <x:v>1</x:v>
      </x:c>
      <x:c r="N351" s="9" t="n">
        <x:f>IF(I351&gt;=6,5,IF(I351&gt;=4,4,IF(I351=3,3,IF(I351=2,2,1))))</x:f>
        <x:v>1</x:v>
      </x:c>
      <x:c r="O351" s="9" t="n">
        <x:f>IF(J351&gt;=500000,5,IF(J351&gt;=300000,4,IF(J351&gt;=175000,3,IF(J351&gt;=75000,2,1))))</x:f>
        <x:v>1</x:v>
      </x:c>
      <x:c r="P351" s="7" t="str">
        <x:f>M351&amp;N351&amp;O351</x:f>
        <x:v>111</x:v>
      </x:c>
      <x:c r="Q351" s="7" t="str">
        <x:f>IF(AND(L351&lt;=60,I351&gt;=5,J351&gt;=300000),"Champions",IF(AND(L351&lt;=120,I351&gt;=3),"Loyal Growth",IF(AND(L351&gt;180,J351&gt;=300000),"High Value At Risk",IF(DATE(2026,6,30)-G351&lt;=90,"New Accounts",IF(AND(L351&lt;=120,I351=1),"Promising",IF(L351&lt;=240,"Needs Nurture","Dormant"))))))</x:f>
        <x:v>Dormant</x:v>
      </x:c>
      <x:c r="R351" s="7" t="str">
        <x:f>IF(DATE(2026,6,30)-G351&lt;=90,"New",IF(AND(L351&lt;=120,I351&gt;=2),"Active",IF(I351=1,"One-time",IF(L351&lt;=240,"At Risk","Lapsed"))))</x:f>
        <x:v>One-time</x:v>
      </x:c>
      <x:c r="S351" s="15" t="str">
        <x:f>IF(Q351="Champions","Invite to advisory program and cross-sell service plans",IF(Q351="Loyal Growth","Prioritize expansion offer and product education",IF(Q351="High Value At Risk","Assign sales recovery outreach within 14 days",IF(Q351="New Accounts","Launch 90-day onboarding and adoption sequence",IF(Q351="Promising","Nurture second purchase with use-case content",IF(Q351="Needs Nurture","Run product-fit review and re-engagement sequence","Move to low-frequency win-back program"))))))</x:f>
        <x:v>Move to low-frequency win-back program</x:v>
      </x:c>
      <x:c r="T351" s="1"/>
      <x:c r="U351" s="1"/>
      <x:c r="V351" s="1"/>
      <x:c r="W351" s="1"/>
      <x:c r="X351" s="1"/>
      <x:c r="Y351" s="1"/>
      <x:c r="Z351" s="1"/>
    </x:row>
    <x:row r="352">
      <x:c r="A352" s="7" t="str">
        <x:v>ACC-0351</x:v>
      </x:c>
      <x:c r="B352" s="7" t="str">
        <x:v>Frontier Foods 351</x:v>
      </x:c>
      <x:c r="C352" s="7" t="str">
        <x:v>South</x:v>
      </x:c>
      <x:c r="D352" s="7" t="str">
        <x:v>Food &amp; Beverage</x:v>
      </x:c>
      <x:c r="E352" s="7" t="str">
        <x:v>Small</x:v>
      </x:c>
      <x:c r="F352" s="7" t="str">
        <x:v>Email</x:v>
      </x:c>
      <x:c r="G352" s="8" t="n">
        <x:v>46074</x:v>
      </x:c>
      <x:c r="H352" s="8" t="n">
        <x:v>46181</x:v>
      </x:c>
      <x:c r="I352" s="9" t="n">
        <x:v>2</x:v>
      </x:c>
      <x:c r="J352" s="10" t="n">
        <x:v>173700</x:v>
      </x:c>
      <x:c r="K352" s="10" t="n">
        <x:f>J352/I352</x:f>
        <x:v>86850</x:v>
      </x:c>
      <x:c r="L352" s="9" t="n">
        <x:f>DATE(2026,6,30)-H352</x:f>
        <x:v>22</x:v>
      </x:c>
      <x:c r="M352" s="9" t="n">
        <x:f>IF(L352&lt;=60,5,IF(L352&lt;=120,4,IF(L352&lt;=180,3,IF(L352&lt;=240,2,1))))</x:f>
        <x:v>5</x:v>
      </x:c>
      <x:c r="N352" s="9" t="n">
        <x:f>IF(I352&gt;=6,5,IF(I352&gt;=4,4,IF(I352=3,3,IF(I352=2,2,1))))</x:f>
        <x:v>2</x:v>
      </x:c>
      <x:c r="O352" s="9" t="n">
        <x:f>IF(J352&gt;=500000,5,IF(J352&gt;=300000,4,IF(J352&gt;=175000,3,IF(J352&gt;=75000,2,1))))</x:f>
        <x:v>2</x:v>
      </x:c>
      <x:c r="P352" s="7" t="str">
        <x:f>M352&amp;N352&amp;O352</x:f>
        <x:v>522</x:v>
      </x:c>
      <x:c r="Q352" s="7" t="str">
        <x:f>IF(AND(L352&lt;=60,I352&gt;=5,J352&gt;=300000),"Champions",IF(AND(L352&lt;=120,I352&gt;=3),"Loyal Growth",IF(AND(L352&gt;180,J352&gt;=300000),"High Value At Risk",IF(DATE(2026,6,30)-G352&lt;=90,"New Accounts",IF(AND(L352&lt;=120,I352=1),"Promising",IF(L352&lt;=240,"Needs Nurture","Dormant"))))))</x:f>
        <x:v>Needs Nurture</x:v>
      </x:c>
      <x:c r="R352" s="7" t="str">
        <x:f>IF(DATE(2026,6,30)-G352&lt;=90,"New",IF(AND(L352&lt;=120,I352&gt;=2),"Active",IF(I352=1,"One-time",IF(L352&lt;=240,"At Risk","Lapsed"))))</x:f>
        <x:v>Active</x:v>
      </x:c>
      <x:c r="S352" s="15" t="str">
        <x:f>IF(Q352="Champions","Invite to advisory program and cross-sell service plans",IF(Q352="Loyal Growth","Prioritize expansion offer and product education",IF(Q352="High Value At Risk","Assign sales recovery outreach within 14 days",IF(Q352="New Accounts","Launch 90-day onboarding and adoption sequence",IF(Q352="Promising","Nurture second purchase with use-case content",IF(Q352="Needs Nurture","Run product-fit review and re-engagement sequence","Move to low-frequency win-back program"))))))</x:f>
        <x:v>Run product-fit review and re-engagement sequence</x:v>
      </x:c>
      <x:c r="T352" s="1"/>
      <x:c r="U352" s="1"/>
      <x:c r="V352" s="1"/>
      <x:c r="W352" s="1"/>
      <x:c r="X352" s="1"/>
      <x:c r="Y352" s="1"/>
      <x:c r="Z352" s="1"/>
    </x:row>
    <x:row r="353">
      <x:c r="A353" s="7" t="str">
        <x:v>ACC-0352</x:v>
      </x:c>
      <x:c r="B353" s="7" t="str">
        <x:v>Granite Solutions 352</x:v>
      </x:c>
      <x:c r="C353" s="7" t="str">
        <x:v>Midwest</x:v>
      </x:c>
      <x:c r="D353" s="7" t="str">
        <x:v>Food &amp; Beverage</x:v>
      </x:c>
      <x:c r="E353" s="7" t="str">
        <x:v>Small</x:v>
      </x:c>
      <x:c r="F353" s="7" t="str">
        <x:v>LinkedIn</x:v>
      </x:c>
      <x:c r="G353" s="8" t="n">
        <x:v>45390</x:v>
      </x:c>
      <x:c r="H353" s="8" t="n">
        <x:v>46051</x:v>
      </x:c>
      <x:c r="I353" s="9" t="n">
        <x:v>3</x:v>
      </x:c>
      <x:c r="J353" s="10" t="n">
        <x:v>180700</x:v>
      </x:c>
      <x:c r="K353" s="10" t="n">
        <x:f>J353/I353</x:f>
        <x:v>60233.333333333336</x:v>
      </x:c>
      <x:c r="L353" s="9" t="n">
        <x:f>DATE(2026,6,30)-H353</x:f>
        <x:v>152</x:v>
      </x:c>
      <x:c r="M353" s="9" t="n">
        <x:f>IF(L353&lt;=60,5,IF(L353&lt;=120,4,IF(L353&lt;=180,3,IF(L353&lt;=240,2,1))))</x:f>
        <x:v>3</x:v>
      </x:c>
      <x:c r="N353" s="9" t="n">
        <x:f>IF(I353&gt;=6,5,IF(I353&gt;=4,4,IF(I353=3,3,IF(I353=2,2,1))))</x:f>
        <x:v>3</x:v>
      </x:c>
      <x:c r="O353" s="9" t="n">
        <x:f>IF(J353&gt;=500000,5,IF(J353&gt;=300000,4,IF(J353&gt;=175000,3,IF(J353&gt;=75000,2,1))))</x:f>
        <x:v>3</x:v>
      </x:c>
      <x:c r="P353" s="7" t="str">
        <x:f>M353&amp;N353&amp;O353</x:f>
        <x:v>333</x:v>
      </x:c>
      <x:c r="Q353" s="7" t="str">
        <x:f>IF(AND(L353&lt;=60,I353&gt;=5,J353&gt;=300000),"Champions",IF(AND(L353&lt;=120,I353&gt;=3),"Loyal Growth",IF(AND(L353&gt;180,J353&gt;=300000),"High Value At Risk",IF(DATE(2026,6,30)-G353&lt;=90,"New Accounts",IF(AND(L353&lt;=120,I353=1),"Promising",IF(L353&lt;=240,"Needs Nurture","Dormant"))))))</x:f>
        <x:v>Needs Nurture</x:v>
      </x:c>
      <x:c r="R353" s="7" t="str">
        <x:f>IF(DATE(2026,6,30)-G353&lt;=90,"New",IF(AND(L353&lt;=120,I353&gt;=2),"Active",IF(I353=1,"One-time",IF(L353&lt;=240,"At Risk","Lapsed"))))</x:f>
        <x:v>At Risk</x:v>
      </x:c>
      <x:c r="S353" s="15" t="str">
        <x:f>IF(Q353="Champions","Invite to advisory program and cross-sell service plans",IF(Q353="Loyal Growth","Prioritize expansion offer and product education",IF(Q353="High Value At Risk","Assign sales recovery outreach within 14 days",IF(Q353="New Accounts","Launch 90-day onboarding and adoption sequence",IF(Q353="Promising","Nurture second purchase with use-case content",IF(Q353="Needs Nurture","Run product-fit review and re-engagement sequence","Move to low-frequency win-back program"))))))</x:f>
        <x:v>Run product-fit review and re-engagement sequence</x:v>
      </x:c>
      <x:c r="T353" s="1"/>
      <x:c r="U353" s="1"/>
      <x:c r="V353" s="1"/>
      <x:c r="W353" s="1"/>
      <x:c r="X353" s="1"/>
      <x:c r="Y353" s="1"/>
      <x:c r="Z353" s="1"/>
    </x:row>
    <x:row r="354">
      <x:c r="A354" s="7" t="str">
        <x:v>ACC-0353</x:v>
      </x:c>
      <x:c r="B354" s="7" t="str">
        <x:v>Frontier Solutions 353</x:v>
      </x:c>
      <x:c r="C354" s="7" t="str">
        <x:v>Northeast</x:v>
      </x:c>
      <x:c r="D354" s="7" t="str">
        <x:v>Food &amp; Beverage</x:v>
      </x:c>
      <x:c r="E354" s="7" t="str">
        <x:v>Enterprise</x:v>
      </x:c>
      <x:c r="F354" s="7" t="str">
        <x:v>LinkedIn</x:v>
      </x:c>
      <x:c r="G354" s="8" t="n">
        <x:v>45966</x:v>
      </x:c>
      <x:c r="H354" s="8" t="n">
        <x:v>46170</x:v>
      </x:c>
      <x:c r="I354" s="9" t="n">
        <x:v>4</x:v>
      </x:c>
      <x:c r="J354" s="10" t="n">
        <x:v>592200</x:v>
      </x:c>
      <x:c r="K354" s="10" t="n">
        <x:f>J354/I354</x:f>
        <x:v>148050</x:v>
      </x:c>
      <x:c r="L354" s="9" t="n">
        <x:f>DATE(2026,6,30)-H354</x:f>
        <x:v>33</x:v>
      </x:c>
      <x:c r="M354" s="9" t="n">
        <x:f>IF(L354&lt;=60,5,IF(L354&lt;=120,4,IF(L354&lt;=180,3,IF(L354&lt;=240,2,1))))</x:f>
        <x:v>5</x:v>
      </x:c>
      <x:c r="N354" s="9" t="n">
        <x:f>IF(I354&gt;=6,5,IF(I354&gt;=4,4,IF(I354=3,3,IF(I354=2,2,1))))</x:f>
        <x:v>4</x:v>
      </x:c>
      <x:c r="O354" s="9" t="n">
        <x:f>IF(J354&gt;=500000,5,IF(J354&gt;=300000,4,IF(J354&gt;=175000,3,IF(J354&gt;=75000,2,1))))</x:f>
        <x:v>5</x:v>
      </x:c>
      <x:c r="P354" s="7" t="str">
        <x:f>M354&amp;N354&amp;O354</x:f>
        <x:v>545</x:v>
      </x:c>
      <x:c r="Q354" s="7" t="str">
        <x:f>IF(AND(L354&lt;=60,I354&gt;=5,J354&gt;=300000),"Champions",IF(AND(L354&lt;=120,I354&gt;=3),"Loyal Growth",IF(AND(L354&gt;180,J354&gt;=300000),"High Value At Risk",IF(DATE(2026,6,30)-G354&lt;=90,"New Accounts",IF(AND(L354&lt;=120,I354=1),"Promising",IF(L354&lt;=240,"Needs Nurture","Dormant"))))))</x:f>
        <x:v>Loyal Growth</x:v>
      </x:c>
      <x:c r="R354" s="7" t="str">
        <x:f>IF(DATE(2026,6,30)-G354&lt;=90,"New",IF(AND(L354&lt;=120,I354&gt;=2),"Active",IF(I354=1,"One-time",IF(L354&lt;=240,"At Risk","Lapsed"))))</x:f>
        <x:v>Active</x:v>
      </x:c>
      <x:c r="S354" s="15" t="str">
        <x:f>IF(Q354="Champions","Invite to advisory program and cross-sell service plans",IF(Q354="Loyal Growth","Prioritize expansion offer and product education",IF(Q354="High Value At Risk","Assign sales recovery outreach within 14 days",IF(Q354="New Accounts","Launch 90-day onboarding and adoption sequence",IF(Q354="Promising","Nurture second purchase with use-case content",IF(Q354="Needs Nurture","Run product-fit review and re-engagement sequence","Move to low-frequency win-back program"))))))</x:f>
        <x:v>Prioritize expansion offer and product education</x:v>
      </x:c>
      <x:c r="T354" s="1"/>
      <x:c r="U354" s="1"/>
      <x:c r="V354" s="1"/>
      <x:c r="W354" s="1"/>
      <x:c r="X354" s="1"/>
      <x:c r="Y354" s="1"/>
      <x:c r="Z354" s="1"/>
    </x:row>
    <x:row r="355">
      <x:c r="A355" s="7" t="str">
        <x:v>ACC-0354</x:v>
      </x:c>
      <x:c r="B355" s="7" t="str">
        <x:v>Summit Products 354</x:v>
      </x:c>
      <x:c r="C355" s="7" t="str">
        <x:v>South</x:v>
      </x:c>
      <x:c r="D355" s="7" t="str">
        <x:v>Food &amp; Beverage</x:v>
      </x:c>
      <x:c r="E355" s="7" t="str">
        <x:v>Enterprise</x:v>
      </x:c>
      <x:c r="F355" s="7" t="str">
        <x:v>Partner Referral</x:v>
      </x:c>
      <x:c r="G355" s="8" t="n">
        <x:v>45754</x:v>
      </x:c>
      <x:c r="H355" s="8" t="n">
        <x:v>46061</x:v>
      </x:c>
      <x:c r="I355" s="9" t="n">
        <x:v>7</x:v>
      </x:c>
      <x:c r="J355" s="10" t="n">
        <x:v>1129900</x:v>
      </x:c>
      <x:c r="K355" s="10" t="n">
        <x:f>J355/I355</x:f>
        <x:v>161414.2857142857</x:v>
      </x:c>
      <x:c r="L355" s="9" t="n">
        <x:f>DATE(2026,6,30)-H355</x:f>
        <x:v>142</x:v>
      </x:c>
      <x:c r="M355" s="9" t="n">
        <x:f>IF(L355&lt;=60,5,IF(L355&lt;=120,4,IF(L355&lt;=180,3,IF(L355&lt;=240,2,1))))</x:f>
        <x:v>3</x:v>
      </x:c>
      <x:c r="N355" s="9" t="n">
        <x:f>IF(I355&gt;=6,5,IF(I355&gt;=4,4,IF(I355=3,3,IF(I355=2,2,1))))</x:f>
        <x:v>5</x:v>
      </x:c>
      <x:c r="O355" s="9" t="n">
        <x:f>IF(J355&gt;=500000,5,IF(J355&gt;=300000,4,IF(J355&gt;=175000,3,IF(J355&gt;=75000,2,1))))</x:f>
        <x:v>5</x:v>
      </x:c>
      <x:c r="P355" s="7" t="str">
        <x:f>M355&amp;N355&amp;O355</x:f>
        <x:v>355</x:v>
      </x:c>
      <x:c r="Q355" s="7" t="str">
        <x:f>IF(AND(L355&lt;=60,I355&gt;=5,J355&gt;=300000),"Champions",IF(AND(L355&lt;=120,I355&gt;=3),"Loyal Growth",IF(AND(L355&gt;180,J355&gt;=300000),"High Value At Risk",IF(DATE(2026,6,30)-G355&lt;=90,"New Accounts",IF(AND(L355&lt;=120,I355=1),"Promising",IF(L355&lt;=240,"Needs Nurture","Dormant"))))))</x:f>
        <x:v>Needs Nurture</x:v>
      </x:c>
      <x:c r="R355" s="7" t="str">
        <x:f>IF(DATE(2026,6,30)-G355&lt;=90,"New",IF(AND(L355&lt;=120,I355&gt;=2),"Active",IF(I355=1,"One-time",IF(L355&lt;=240,"At Risk","Lapsed"))))</x:f>
        <x:v>At Risk</x:v>
      </x:c>
      <x:c r="S355" s="15" t="str">
        <x:f>IF(Q355="Champions","Invite to advisory program and cross-sell service plans",IF(Q355="Loyal Growth","Prioritize expansion offer and product education",IF(Q355="High Value At Risk","Assign sales recovery outreach within 14 days",IF(Q355="New Accounts","Launch 90-day onboarding and adoption sequence",IF(Q355="Promising","Nurture second purchase with use-case content",IF(Q355="Needs Nurture","Run product-fit review and re-engagement sequence","Move to low-frequency win-back program"))))))</x:f>
        <x:v>Run product-fit review and re-engagement sequence</x:v>
      </x:c>
      <x:c r="T355" s="1"/>
      <x:c r="U355" s="1"/>
      <x:c r="V355" s="1"/>
      <x:c r="W355" s="1"/>
      <x:c r="X355" s="1"/>
      <x:c r="Y355" s="1"/>
      <x:c r="Z355" s="1"/>
    </x:row>
    <x:row r="356">
      <x:c r="A356" s="7" t="str">
        <x:v>ACC-0355</x:v>
      </x:c>
      <x:c r="B356" s="7" t="str">
        <x:v>BlueRiver Packaging 355</x:v>
      </x:c>
      <x:c r="C356" s="7" t="str">
        <x:v>Northeast</x:v>
      </x:c>
      <x:c r="D356" s="7" t="str">
        <x:v>Pharmaceuticals</x:v>
      </x:c>
      <x:c r="E356" s="7" t="str">
        <x:v>Mid-market</x:v>
      </x:c>
      <x:c r="F356" s="7" t="str">
        <x:v>Partner Referral</x:v>
      </x:c>
      <x:c r="G356" s="8" t="n">
        <x:v>45950</x:v>
      </x:c>
      <x:c r="H356" s="8" t="n">
        <x:v>46132</x:v>
      </x:c>
      <x:c r="I356" s="9" t="n">
        <x:v>4</x:v>
      </x:c>
      <x:c r="J356" s="10" t="n">
        <x:v>564400</x:v>
      </x:c>
      <x:c r="K356" s="10" t="n">
        <x:f>J356/I356</x:f>
        <x:v>141100</x:v>
      </x:c>
      <x:c r="L356" s="9" t="n">
        <x:f>DATE(2026,6,30)-H356</x:f>
        <x:v>71</x:v>
      </x:c>
      <x:c r="M356" s="9" t="n">
        <x:f>IF(L356&lt;=60,5,IF(L356&lt;=120,4,IF(L356&lt;=180,3,IF(L356&lt;=240,2,1))))</x:f>
        <x:v>4</x:v>
      </x:c>
      <x:c r="N356" s="9" t="n">
        <x:f>IF(I356&gt;=6,5,IF(I356&gt;=4,4,IF(I356=3,3,IF(I356=2,2,1))))</x:f>
        <x:v>4</x:v>
      </x:c>
      <x:c r="O356" s="9" t="n">
        <x:f>IF(J356&gt;=500000,5,IF(J356&gt;=300000,4,IF(J356&gt;=175000,3,IF(J356&gt;=75000,2,1))))</x:f>
        <x:v>5</x:v>
      </x:c>
      <x:c r="P356" s="7" t="str">
        <x:f>M356&amp;N356&amp;O356</x:f>
        <x:v>445</x:v>
      </x:c>
      <x:c r="Q356" s="7" t="str">
        <x:f>IF(AND(L356&lt;=60,I356&gt;=5,J356&gt;=300000),"Champions",IF(AND(L356&lt;=120,I356&gt;=3),"Loyal Growth",IF(AND(L356&gt;180,J356&gt;=300000),"High Value At Risk",IF(DATE(2026,6,30)-G356&lt;=90,"New Accounts",IF(AND(L356&lt;=120,I356=1),"Promising",IF(L356&lt;=240,"Needs Nurture","Dormant"))))))</x:f>
        <x:v>Loyal Growth</x:v>
      </x:c>
      <x:c r="R356" s="7" t="str">
        <x:f>IF(DATE(2026,6,30)-G356&lt;=90,"New",IF(AND(L356&lt;=120,I356&gt;=2),"Active",IF(I356=1,"One-time",IF(L356&lt;=240,"At Risk","Lapsed"))))</x:f>
        <x:v>Active</x:v>
      </x:c>
      <x:c r="S356" s="15" t="str">
        <x:f>IF(Q356="Champions","Invite to advisory program and cross-sell service plans",IF(Q356="Loyal Growth","Prioritize expansion offer and product education",IF(Q356="High Value At Risk","Assign sales recovery outreach within 14 days",IF(Q356="New Accounts","Launch 90-day onboarding and adoption sequence",IF(Q356="Promising","Nurture second purchase with use-case content",IF(Q356="Needs Nurture","Run product-fit review and re-engagement sequence","Move to low-frequency win-back program"))))))</x:f>
        <x:v>Prioritize expansion offer and product education</x:v>
      </x:c>
      <x:c r="T356" s="1"/>
      <x:c r="U356" s="1"/>
      <x:c r="V356" s="1"/>
      <x:c r="W356" s="1"/>
      <x:c r="X356" s="1"/>
      <x:c r="Y356" s="1"/>
      <x:c r="Z356" s="1"/>
    </x:row>
    <x:row r="357">
      <x:c r="A357" s="7" t="str">
        <x:v>ACC-0356</x:v>
      </x:c>
      <x:c r="B357" s="7" t="str">
        <x:v>Summit Solutions 356</x:v>
      </x:c>
      <x:c r="C357" s="7" t="str">
        <x:v>South</x:v>
      </x:c>
      <x:c r="D357" s="7" t="str">
        <x:v>Pharmaceuticals</x:v>
      </x:c>
      <x:c r="E357" s="7" t="str">
        <x:v>Small</x:v>
      </x:c>
      <x:c r="F357" s="7" t="str">
        <x:v>Partner Referral</x:v>
      </x:c>
      <x:c r="G357" s="8" t="n">
        <x:v>45843</x:v>
      </x:c>
      <x:c r="H357" s="8" t="n">
        <x:v>45975</x:v>
      </x:c>
      <x:c r="I357" s="9" t="n">
        <x:v>4</x:v>
      </x:c>
      <x:c r="J357" s="10" t="n">
        <x:v>162000</x:v>
      </x:c>
      <x:c r="K357" s="10" t="n">
        <x:f>J357/I357</x:f>
        <x:v>40500</x:v>
      </x:c>
      <x:c r="L357" s="9" t="n">
        <x:f>DATE(2026,6,30)-H357</x:f>
        <x:v>228</x:v>
      </x:c>
      <x:c r="M357" s="9" t="n">
        <x:f>IF(L357&lt;=60,5,IF(L357&lt;=120,4,IF(L357&lt;=180,3,IF(L357&lt;=240,2,1))))</x:f>
        <x:v>2</x:v>
      </x:c>
      <x:c r="N357" s="9" t="n">
        <x:f>IF(I357&gt;=6,5,IF(I357&gt;=4,4,IF(I357=3,3,IF(I357=2,2,1))))</x:f>
        <x:v>4</x:v>
      </x:c>
      <x:c r="O357" s="9" t="n">
        <x:f>IF(J357&gt;=500000,5,IF(J357&gt;=300000,4,IF(J357&gt;=175000,3,IF(J357&gt;=75000,2,1))))</x:f>
        <x:v>2</x:v>
      </x:c>
      <x:c r="P357" s="7" t="str">
        <x:f>M357&amp;N357&amp;O357</x:f>
        <x:v>242</x:v>
      </x:c>
      <x:c r="Q357" s="7" t="str">
        <x:f>IF(AND(L357&lt;=60,I357&gt;=5,J357&gt;=300000),"Champions",IF(AND(L357&lt;=120,I357&gt;=3),"Loyal Growth",IF(AND(L357&gt;180,J357&gt;=300000),"High Value At Risk",IF(DATE(2026,6,30)-G357&lt;=90,"New Accounts",IF(AND(L357&lt;=120,I357=1),"Promising",IF(L357&lt;=240,"Needs Nurture","Dormant"))))))</x:f>
        <x:v>Needs Nurture</x:v>
      </x:c>
      <x:c r="R357" s="7" t="str">
        <x:f>IF(DATE(2026,6,30)-G357&lt;=90,"New",IF(AND(L357&lt;=120,I357&gt;=2),"Active",IF(I357=1,"One-time",IF(L357&lt;=240,"At Risk","Lapsed"))))</x:f>
        <x:v>At Risk</x:v>
      </x:c>
      <x:c r="S357" s="15" t="str">
        <x:f>IF(Q357="Champions","Invite to advisory program and cross-sell service plans",IF(Q357="Loyal Growth","Prioritize expansion offer and product education",IF(Q357="High Value At Risk","Assign sales recovery outreach within 14 days",IF(Q357="New Accounts","Launch 90-day onboarding and adoption sequence",IF(Q357="Promising","Nurture second purchase with use-case content",IF(Q357="Needs Nurture","Run product-fit review and re-engagement sequence","Move to low-frequency win-back program"))))))</x:f>
        <x:v>Run product-fit review and re-engagement sequence</x:v>
      </x:c>
      <x:c r="T357" s="1"/>
      <x:c r="U357" s="1"/>
      <x:c r="V357" s="1"/>
      <x:c r="W357" s="1"/>
      <x:c r="X357" s="1"/>
      <x:c r="Y357" s="1"/>
      <x:c r="Z357" s="1"/>
    </x:row>
    <x:row r="358">
      <x:c r="A358" s="7" t="str">
        <x:v>ACC-0357</x:v>
      </x:c>
      <x:c r="B358" s="7" t="str">
        <x:v>Northstar Packaging 357</x:v>
      </x:c>
      <x:c r="C358" s="7" t="str">
        <x:v>Northeast</x:v>
      </x:c>
      <x:c r="D358" s="7" t="str">
        <x:v>Food &amp; Beverage</x:v>
      </x:c>
      <x:c r="E358" s="7" t="str">
        <x:v>Mid-market</x:v>
      </x:c>
      <x:c r="F358" s="7" t="str">
        <x:v>Email</x:v>
      </x:c>
      <x:c r="G358" s="8" t="n">
        <x:v>46154</x:v>
      </x:c>
      <x:c r="H358" s="8" t="n">
        <x:v>46182</x:v>
      </x:c>
      <x:c r="I358" s="9" t="n">
        <x:v>2</x:v>
      </x:c>
      <x:c r="J358" s="10" t="n">
        <x:v>203600</x:v>
      </x:c>
      <x:c r="K358" s="10" t="n">
        <x:f>J358/I358</x:f>
        <x:v>101800</x:v>
      </x:c>
      <x:c r="L358" s="9" t="n">
        <x:f>DATE(2026,6,30)-H358</x:f>
        <x:v>21</x:v>
      </x:c>
      <x:c r="M358" s="9" t="n">
        <x:f>IF(L358&lt;=60,5,IF(L358&lt;=120,4,IF(L358&lt;=180,3,IF(L358&lt;=240,2,1))))</x:f>
        <x:v>5</x:v>
      </x:c>
      <x:c r="N358" s="9" t="n">
        <x:f>IF(I358&gt;=6,5,IF(I358&gt;=4,4,IF(I358=3,3,IF(I358=2,2,1))))</x:f>
        <x:v>2</x:v>
      </x:c>
      <x:c r="O358" s="9" t="n">
        <x:f>IF(J358&gt;=500000,5,IF(J358&gt;=300000,4,IF(J358&gt;=175000,3,IF(J358&gt;=75000,2,1))))</x:f>
        <x:v>3</x:v>
      </x:c>
      <x:c r="P358" s="7" t="str">
        <x:f>M358&amp;N358&amp;O358</x:f>
        <x:v>523</x:v>
      </x:c>
      <x:c r="Q358" s="7" t="str">
        <x:f>IF(AND(L358&lt;=60,I358&gt;=5,J358&gt;=300000),"Champions",IF(AND(L358&lt;=120,I358&gt;=3),"Loyal Growth",IF(AND(L358&gt;180,J358&gt;=300000),"High Value At Risk",IF(DATE(2026,6,30)-G358&lt;=90,"New Accounts",IF(AND(L358&lt;=120,I358=1),"Promising",IF(L358&lt;=240,"Needs Nurture","Dormant"))))))</x:f>
        <x:v>New Accounts</x:v>
      </x:c>
      <x:c r="R358" s="7" t="str">
        <x:f>IF(DATE(2026,6,30)-G358&lt;=90,"New",IF(AND(L358&lt;=120,I358&gt;=2),"Active",IF(I358=1,"One-time",IF(L358&lt;=240,"At Risk","Lapsed"))))</x:f>
        <x:v>New</x:v>
      </x:c>
      <x:c r="S358" s="15" t="str">
        <x:f>IF(Q358="Champions","Invite to advisory program and cross-sell service plans",IF(Q358="Loyal Growth","Prioritize expansion offer and product education",IF(Q358="High Value At Risk","Assign sales recovery outreach within 14 days",IF(Q358="New Accounts","Launch 90-day onboarding and adoption sequence",IF(Q358="Promising","Nurture second purchase with use-case content",IF(Q358="Needs Nurture","Run product-fit review and re-engagement sequence","Move to low-frequency win-back program"))))))</x:f>
        <x:v>Launch 90-day onboarding and adoption sequence</x:v>
      </x:c>
      <x:c r="T358" s="1"/>
      <x:c r="U358" s="1"/>
      <x:c r="V358" s="1"/>
      <x:c r="W358" s="1"/>
      <x:c r="X358" s="1"/>
      <x:c r="Y358" s="1"/>
      <x:c r="Z358" s="1"/>
    </x:row>
    <x:row r="359">
      <x:c r="A359" s="7" t="str">
        <x:v>ACC-0358</x:v>
      </x:c>
      <x:c r="B359" s="7" t="str">
        <x:v>Frontier Brands 358</x:v>
      </x:c>
      <x:c r="C359" s="7" t="str">
        <x:v>Midwest</x:v>
      </x:c>
      <x:c r="D359" s="7" t="str">
        <x:v>Contract Packaging</x:v>
      </x:c>
      <x:c r="E359" s="7" t="str">
        <x:v>Small</x:v>
      </x:c>
      <x:c r="F359" s="7" t="str">
        <x:v>Email</x:v>
      </x:c>
      <x:c r="G359" s="8" t="n">
        <x:v>45683</x:v>
      </x:c>
      <x:c r="H359" s="8" t="n">
        <x:v>46039</x:v>
      </x:c>
      <x:c r="I359" s="9" t="n">
        <x:v>4</x:v>
      </x:c>
      <x:c r="J359" s="10" t="n">
        <x:v>450700</x:v>
      </x:c>
      <x:c r="K359" s="10" t="n">
        <x:f>J359/I359</x:f>
        <x:v>112675</x:v>
      </x:c>
      <x:c r="L359" s="9" t="n">
        <x:f>DATE(2026,6,30)-H359</x:f>
        <x:v>164</x:v>
      </x:c>
      <x:c r="M359" s="9" t="n">
        <x:f>IF(L359&lt;=60,5,IF(L359&lt;=120,4,IF(L359&lt;=180,3,IF(L359&lt;=240,2,1))))</x:f>
        <x:v>3</x:v>
      </x:c>
      <x:c r="N359" s="9" t="n">
        <x:f>IF(I359&gt;=6,5,IF(I359&gt;=4,4,IF(I359=3,3,IF(I359=2,2,1))))</x:f>
        <x:v>4</x:v>
      </x:c>
      <x:c r="O359" s="9" t="n">
        <x:f>IF(J359&gt;=500000,5,IF(J359&gt;=300000,4,IF(J359&gt;=175000,3,IF(J359&gt;=75000,2,1))))</x:f>
        <x:v>4</x:v>
      </x:c>
      <x:c r="P359" s="7" t="str">
        <x:f>M359&amp;N359&amp;O359</x:f>
        <x:v>344</x:v>
      </x:c>
      <x:c r="Q359" s="7" t="str">
        <x:f>IF(AND(L359&lt;=60,I359&gt;=5,J359&gt;=300000),"Champions",IF(AND(L359&lt;=120,I359&gt;=3),"Loyal Growth",IF(AND(L359&gt;180,J359&gt;=300000),"High Value At Risk",IF(DATE(2026,6,30)-G359&lt;=90,"New Accounts",IF(AND(L359&lt;=120,I359=1),"Promising",IF(L359&lt;=240,"Needs Nurture","Dormant"))))))</x:f>
        <x:v>Needs Nurture</x:v>
      </x:c>
      <x:c r="R359" s="7" t="str">
        <x:f>IF(DATE(2026,6,30)-G359&lt;=90,"New",IF(AND(L359&lt;=120,I359&gt;=2),"Active",IF(I359=1,"One-time",IF(L359&lt;=240,"At Risk","Lapsed"))))</x:f>
        <x:v>At Risk</x:v>
      </x:c>
      <x:c r="S359" s="15" t="str">
        <x:f>IF(Q359="Champions","Invite to advisory program and cross-sell service plans",IF(Q359="Loyal Growth","Prioritize expansion offer and product education",IF(Q359="High Value At Risk","Assign sales recovery outreach within 14 days",IF(Q359="New Accounts","Launch 90-day onboarding and adoption sequence",IF(Q359="Promising","Nurture second purchase with use-case content",IF(Q359="Needs Nurture","Run product-fit review and re-engagement sequence","Move to low-frequency win-back program"))))))</x:f>
        <x:v>Run product-fit review and re-engagement sequence</x:v>
      </x:c>
      <x:c r="T359" s="1"/>
      <x:c r="U359" s="1"/>
      <x:c r="V359" s="1"/>
      <x:c r="W359" s="1"/>
      <x:c r="X359" s="1"/>
      <x:c r="Y359" s="1"/>
      <x:c r="Z359" s="1"/>
    </x:row>
    <x:row r="360">
      <x:c r="A360" s="7" t="str">
        <x:v>ACC-0359</x:v>
      </x:c>
      <x:c r="B360" s="7" t="str">
        <x:v>Meridian Brands 359</x:v>
      </x:c>
      <x:c r="C360" s="7" t="str">
        <x:v>West</x:v>
      </x:c>
      <x:c r="D360" s="7" t="str">
        <x:v>Consumer Goods</x:v>
      </x:c>
      <x:c r="E360" s="7" t="str">
        <x:v>Enterprise</x:v>
      </x:c>
      <x:c r="F360" s="7" t="str">
        <x:v>Partner Referral</x:v>
      </x:c>
      <x:c r="G360" s="8" t="n">
        <x:v>45965</x:v>
      </x:c>
      <x:c r="H360" s="8" t="n">
        <x:v>46190</x:v>
      </x:c>
      <x:c r="I360" s="9" t="n">
        <x:v>3</x:v>
      </x:c>
      <x:c r="J360" s="10" t="n">
        <x:v>562500</x:v>
      </x:c>
      <x:c r="K360" s="10" t="n">
        <x:f>J360/I360</x:f>
        <x:v>187500</x:v>
      </x:c>
      <x:c r="L360" s="9" t="n">
        <x:f>DATE(2026,6,30)-H360</x:f>
        <x:v>13</x:v>
      </x:c>
      <x:c r="M360" s="9" t="n">
        <x:f>IF(L360&lt;=60,5,IF(L360&lt;=120,4,IF(L360&lt;=180,3,IF(L360&lt;=240,2,1))))</x:f>
        <x:v>5</x:v>
      </x:c>
      <x:c r="N360" s="9" t="n">
        <x:f>IF(I360&gt;=6,5,IF(I360&gt;=4,4,IF(I360=3,3,IF(I360=2,2,1))))</x:f>
        <x:v>3</x:v>
      </x:c>
      <x:c r="O360" s="9" t="n">
        <x:f>IF(J360&gt;=500000,5,IF(J360&gt;=300000,4,IF(J360&gt;=175000,3,IF(J360&gt;=75000,2,1))))</x:f>
        <x:v>5</x:v>
      </x:c>
      <x:c r="P360" s="7" t="str">
        <x:f>M360&amp;N360&amp;O360</x:f>
        <x:v>535</x:v>
      </x:c>
      <x:c r="Q360" s="7" t="str">
        <x:f>IF(AND(L360&lt;=60,I360&gt;=5,J360&gt;=300000),"Champions",IF(AND(L360&lt;=120,I360&gt;=3),"Loyal Growth",IF(AND(L360&gt;180,J360&gt;=300000),"High Value At Risk",IF(DATE(2026,6,30)-G360&lt;=90,"New Accounts",IF(AND(L360&lt;=120,I360=1),"Promising",IF(L360&lt;=240,"Needs Nurture","Dormant"))))))</x:f>
        <x:v>Loyal Growth</x:v>
      </x:c>
      <x:c r="R360" s="7" t="str">
        <x:f>IF(DATE(2026,6,30)-G360&lt;=90,"New",IF(AND(L360&lt;=120,I360&gt;=2),"Active",IF(I360=1,"One-time",IF(L360&lt;=240,"At Risk","Lapsed"))))</x:f>
        <x:v>Active</x:v>
      </x:c>
      <x:c r="S360" s="15" t="str">
        <x:f>IF(Q360="Champions","Invite to advisory program and cross-sell service plans",IF(Q360="Loyal Growth","Prioritize expansion offer and product education",IF(Q360="High Value At Risk","Assign sales recovery outreach within 14 days",IF(Q360="New Accounts","Launch 90-day onboarding and adoption sequence",IF(Q360="Promising","Nurture second purchase with use-case content",IF(Q360="Needs Nurture","Run product-fit review and re-engagement sequence","Move to low-frequency win-back program"))))))</x:f>
        <x:v>Prioritize expansion offer and product education</x:v>
      </x:c>
      <x:c r="T360" s="1"/>
      <x:c r="U360" s="1"/>
      <x:c r="V360" s="1"/>
      <x:c r="W360" s="1"/>
      <x:c r="X360" s="1"/>
      <x:c r="Y360" s="1"/>
      <x:c r="Z360" s="1"/>
    </x:row>
    <x:row r="361">
      <x:c r="A361" s="11" t="str">
        <x:v>ACC-0360</x:v>
      </x:c>
      <x:c r="B361" s="11" t="str">
        <x:v>Meridian Manufacturing 360</x:v>
      </x:c>
      <x:c r="C361" s="11" t="str">
        <x:v>Midwest</x:v>
      </x:c>
      <x:c r="D361" s="11" t="str">
        <x:v>Pharmaceuticals</x:v>
      </x:c>
      <x:c r="E361" s="11" t="str">
        <x:v>Small</x:v>
      </x:c>
      <x:c r="F361" s="11" t="str">
        <x:v>Email</x:v>
      </x:c>
      <x:c r="G361" s="12" t="n">
        <x:v>45821</x:v>
      </x:c>
      <x:c r="H361" s="12" t="n">
        <x:v>46136</x:v>
      </x:c>
      <x:c r="I361" s="13" t="n">
        <x:v>4</x:v>
      </x:c>
      <x:c r="J361" s="14" t="n">
        <x:v>313800</x:v>
      </x:c>
      <x:c r="K361" s="14" t="n">
        <x:f>J361/I361</x:f>
        <x:v>78450</x:v>
      </x:c>
      <x:c r="L361" s="13" t="n">
        <x:f>DATE(2026,6,30)-H361</x:f>
        <x:v>67</x:v>
      </x:c>
      <x:c r="M361" s="13" t="n">
        <x:f>IF(L361&lt;=60,5,IF(L361&lt;=120,4,IF(L361&lt;=180,3,IF(L361&lt;=240,2,1))))</x:f>
        <x:v>4</x:v>
      </x:c>
      <x:c r="N361" s="13" t="n">
        <x:f>IF(I361&gt;=6,5,IF(I361&gt;=4,4,IF(I361=3,3,IF(I361=2,2,1))))</x:f>
        <x:v>4</x:v>
      </x:c>
      <x:c r="O361" s="13" t="n">
        <x:f>IF(J361&gt;=500000,5,IF(J361&gt;=300000,4,IF(J361&gt;=175000,3,IF(J361&gt;=75000,2,1))))</x:f>
        <x:v>4</x:v>
      </x:c>
      <x:c r="P361" s="11" t="str">
        <x:f>M361&amp;N361&amp;O361</x:f>
        <x:v>444</x:v>
      </x:c>
      <x:c r="Q361" s="11" t="str">
        <x:f>IF(AND(L361&lt;=60,I361&gt;=5,J361&gt;=300000),"Champions",IF(AND(L361&lt;=120,I361&gt;=3),"Loyal Growth",IF(AND(L361&gt;180,J361&gt;=300000),"High Value At Risk",IF(DATE(2026,6,30)-G361&lt;=90,"New Accounts",IF(AND(L361&lt;=120,I361=1),"Promising",IF(L361&lt;=240,"Needs Nurture","Dormant"))))))</x:f>
        <x:v>Loyal Growth</x:v>
      </x:c>
      <x:c r="R361" s="11" t="str">
        <x:f>IF(DATE(2026,6,30)-G361&lt;=90,"New",IF(AND(L361&lt;=120,I361&gt;=2),"Active",IF(I361=1,"One-time",IF(L361&lt;=240,"At Risk","Lapsed"))))</x:f>
        <x:v>Active</x:v>
      </x:c>
      <x:c r="S361" s="16" t="str">
        <x:f>IF(Q361="Champions","Invite to advisory program and cross-sell service plans",IF(Q361="Loyal Growth","Prioritize expansion offer and product education",IF(Q361="High Value At Risk","Assign sales recovery outreach within 14 days",IF(Q361="New Accounts","Launch 90-day onboarding and adoption sequence",IF(Q361="Promising","Nurture second purchase with use-case content",IF(Q361="Needs Nurture","Run product-fit review and re-engagement sequence","Move to low-frequency win-back program"))))))</x:f>
        <x:v>Prioritize expansion offer and product education</x:v>
      </x:c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conditionalFormatting sqref="J2:J361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{6B1514D6-8D21-7BDA-001E-24849E60E2D1}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56ccbf4f736409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B1514D6-8D21-7BDA-001E-24849E60E2D1}">
            <x14:dataBar gradient="1">
              <x14:cfvo type="min"/>
              <x14:cfvo type="max"/>
              <x14:fillColor rgb="FF2F75B5"/>
            </x14:dataBar>
          </x14:cfRule>
          <xm:sqref>J2:J361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16" hidden="0" customWidth="1"/>
    <x:col min="6" max="6" width="15" hidden="0" customWidth="1"/>
    <x:col min="7" max="7" width="18" hidden="0" customWidth="1"/>
  </x:cols>
  <x:sheetData>
    <x:row r="1">
      <x:c r="A1" s="18" t="str">
        <x:v>Order ID</x:v>
      </x:c>
      <x:c r="B1" s="18" t="str">
        <x:v>Account ID</x:v>
      </x:c>
      <x:c r="C1" s="18" t="str">
        <x:v>Order Date</x:v>
      </x:c>
      <x:c r="D1" s="18" t="str">
        <x:v>Product</x:v>
      </x:c>
      <x:c r="E1" s="18" t="str">
        <x:v>Region</x:v>
      </x:c>
      <x:c r="F1" s="18" t="str">
        <x:v>Revenue</x:v>
      </x:c>
      <x:c r="G1" s="18" t="str">
        <x:v>Order Type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ORD-00001</x:v>
      </x:c>
      <x:c r="B2" s="1" t="str">
        <x:v>ACC-0001</x:v>
      </x:c>
      <x:c r="C2" s="19" t="n">
        <x:v>45882</x:v>
      </x:c>
      <x:c r="D2" s="1" t="str">
        <x:v>Pouch Filler</x:v>
      </x:c>
      <x:c r="E2" s="1" t="str">
        <x:v>Northeast</x:v>
      </x:c>
      <x:c r="F2" s="20" t="n">
        <x:v>110600</x:v>
      </x:c>
      <x:c r="G2" s="1" t="str">
        <x:v>New business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ORD-00002</x:v>
      </x:c>
      <x:c r="B3" s="1" t="str">
        <x:v>ACC-0001</x:v>
      </x:c>
      <x:c r="C3" s="19" t="n">
        <x:v>46005</x:v>
      </x:c>
      <x:c r="D3" s="1" t="str">
        <x:v>Cartoning Machine</x:v>
      </x:c>
      <x:c r="E3" s="1" t="str">
        <x:v>Northeast</x:v>
      </x:c>
      <x:c r="F3" s="20" t="n">
        <x:v>227000</x:v>
      </x:c>
      <x:c r="G3" s="1" t="str">
        <x:v>Repeat purchase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ORD-00003</x:v>
      </x:c>
      <x:c r="B4" s="1" t="str">
        <x:v>ACC-0001</x:v>
      </x:c>
      <x:c r="C4" s="19" t="n">
        <x:v>46008</x:v>
      </x:c>
      <x:c r="D4" s="1" t="str">
        <x:v>Service &amp; Parts</x:v>
      </x:c>
      <x:c r="E4" s="1" t="str">
        <x:v>Northeast</x:v>
      </x:c>
      <x:c r="F4" s="20" t="n">
        <x:v>44300</x:v>
      </x:c>
      <x:c r="G4" s="1" t="str">
        <x:v>Repeat purchase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ORD-00004</x:v>
      </x:c>
      <x:c r="B5" s="1" t="str">
        <x:v>ACC-0001</x:v>
      </x:c>
      <x:c r="C5" s="19" t="n">
        <x:v>46097</x:v>
      </x:c>
      <x:c r="D5" s="1" t="str">
        <x:v>Service &amp; Parts</x:v>
      </x:c>
      <x:c r="E5" s="1" t="str">
        <x:v>Northeast</x:v>
      </x:c>
      <x:c r="F5" s="20" t="n">
        <x:v>26400</x:v>
      </x:c>
      <x:c r="G5" s="1" t="str">
        <x:v>Repeat purchase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ORD-00005</x:v>
      </x:c>
      <x:c r="B6" s="1" t="str">
        <x:v>ACC-0001</x:v>
      </x:c>
      <x:c r="C6" s="19" t="n">
        <x:v>46184</x:v>
      </x:c>
      <x:c r="D6" s="1" t="str">
        <x:v>Cartoning Machine</x:v>
      </x:c>
      <x:c r="E6" s="1" t="str">
        <x:v>Northeast</x:v>
      </x:c>
      <x:c r="F6" s="20" t="n">
        <x:v>271100</x:v>
      </x:c>
      <x:c r="G6" s="1" t="str">
        <x:v>Repeat purchase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ORD-00006</x:v>
      </x:c>
      <x:c r="B7" s="1" t="str">
        <x:v>ACC-0002</x:v>
      </x:c>
      <x:c r="C7" s="19" t="n">
        <x:v>45796</x:v>
      </x:c>
      <x:c r="D7" s="1" t="str">
        <x:v>Service &amp; Parts</x:v>
      </x:c>
      <x:c r="E7" s="1" t="str">
        <x:v>Midwest</x:v>
      </x:c>
      <x:c r="F7" s="20" t="n">
        <x:v>12800</x:v>
      </x:c>
      <x:c r="G7" s="1" t="str">
        <x:v>New business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ORD-00007</x:v>
      </x:c>
      <x:c r="B8" s="1" t="str">
        <x:v>ACC-0002</x:v>
      </x:c>
      <x:c r="C8" s="19" t="n">
        <x:v>45825</x:v>
      </x:c>
      <x:c r="D8" s="1" t="str">
        <x:v>Labeling System</x:v>
      </x:c>
      <x:c r="E8" s="1" t="str">
        <x:v>Midwest</x:v>
      </x:c>
      <x:c r="F8" s="20" t="n">
        <x:v>82900</x:v>
      </x:c>
      <x:c r="G8" s="1" t="str">
        <x:v>Repeat purchase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ORD-00008</x:v>
      </x:c>
      <x:c r="B9" s="1" t="str">
        <x:v>ACC-0002</x:v>
      </x:c>
      <x:c r="C9" s="19" t="n">
        <x:v>46015</x:v>
      </x:c>
      <x:c r="D9" s="1" t="str">
        <x:v>Cartoning Machine</x:v>
      </x:c>
      <x:c r="E9" s="1" t="str">
        <x:v>Midwest</x:v>
      </x:c>
      <x:c r="F9" s="20" t="n">
        <x:v>67300</x:v>
      </x:c>
      <x:c r="G9" s="1" t="str">
        <x:v>Repeat purchase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ORD-00009</x:v>
      </x:c>
      <x:c r="B10" s="1" t="str">
        <x:v>ACC-0002</x:v>
      </x:c>
      <x:c r="C10" s="19" t="n">
        <x:v>46113</x:v>
      </x:c>
      <x:c r="D10" s="1" t="str">
        <x:v>Labeling System</x:v>
      </x:c>
      <x:c r="E10" s="1" t="str">
        <x:v>Midwest</x:v>
      </x:c>
      <x:c r="F10" s="20" t="n">
        <x:v>137400</x:v>
      </x:c>
      <x:c r="G10" s="1" t="str">
        <x:v>Repeat purchase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ORD-00010</x:v>
      </x:c>
      <x:c r="B11" s="1" t="str">
        <x:v>ACC-0003</x:v>
      </x:c>
      <x:c r="C11" s="19" t="n">
        <x:v>45635</x:v>
      </x:c>
      <x:c r="D11" s="1" t="str">
        <x:v>Cartoning Machine</x:v>
      </x:c>
      <x:c r="E11" s="1" t="str">
        <x:v>Midwest</x:v>
      </x:c>
      <x:c r="F11" s="20" t="n">
        <x:v>129300</x:v>
      </x:c>
      <x:c r="G11" s="1" t="str">
        <x:v>New business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ORD-00011</x:v>
      </x:c>
      <x:c r="B12" s="1" t="str">
        <x:v>ACC-0003</x:v>
      </x:c>
      <x:c r="C12" s="19" t="n">
        <x:v>45868</x:v>
      </x:c>
      <x:c r="D12" s="1" t="str">
        <x:v>Service &amp; Parts</x:v>
      </x:c>
      <x:c r="E12" s="1" t="str">
        <x:v>Midwest</x:v>
      </x:c>
      <x:c r="F12" s="20" t="n">
        <x:v>11400</x:v>
      </x:c>
      <x:c r="G12" s="1" t="str">
        <x:v>Repeat purchase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ORD-00012</x:v>
      </x:c>
      <x:c r="B13" s="1" t="str">
        <x:v>ACC-0003</x:v>
      </x:c>
      <x:c r="C13" s="19" t="n">
        <x:v>45921</x:v>
      </x:c>
      <x:c r="D13" s="1" t="str">
        <x:v>Service &amp; Parts</x:v>
      </x:c>
      <x:c r="E13" s="1" t="str">
        <x:v>Midwest</x:v>
      </x:c>
      <x:c r="F13" s="20" t="n">
        <x:v>34200</x:v>
      </x:c>
      <x:c r="G13" s="1" t="str">
        <x:v>Repeat purchase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ORD-00013</x:v>
      </x:c>
      <x:c r="B14" s="1" t="str">
        <x:v>ACC-0003</x:v>
      </x:c>
      <x:c r="C14" s="19" t="n">
        <x:v>46005</x:v>
      </x:c>
      <x:c r="D14" s="1" t="str">
        <x:v>Pouch Filler</x:v>
      </x:c>
      <x:c r="E14" s="1" t="str">
        <x:v>Midwest</x:v>
      </x:c>
      <x:c r="F14" s="20" t="n">
        <x:v>248000</x:v>
      </x:c>
      <x:c r="G14" s="1" t="str">
        <x:v>Repeat purchase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ORD-00014</x:v>
      </x:c>
      <x:c r="B15" s="1" t="str">
        <x:v>ACC-0004</x:v>
      </x:c>
      <x:c r="C15" s="19" t="n">
        <x:v>46192</x:v>
      </x:c>
      <x:c r="D15" s="1" t="str">
        <x:v>Case Packer</x:v>
      </x:c>
      <x:c r="E15" s="1" t="str">
        <x:v>West</x:v>
      </x:c>
      <x:c r="F15" s="20" t="n">
        <x:v>111200</x:v>
      </x:c>
      <x:c r="G15" s="1" t="str">
        <x:v>New business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ORD-00015</x:v>
      </x:c>
      <x:c r="B16" s="1" t="str">
        <x:v>ACC-0004</x:v>
      </x:c>
      <x:c r="C16" s="19" t="n">
        <x:v>46193</x:v>
      </x:c>
      <x:c r="D16" s="1" t="str">
        <x:v>Labeling System</x:v>
      </x:c>
      <x:c r="E16" s="1" t="str">
        <x:v>West</x:v>
      </x:c>
      <x:c r="F16" s="20" t="n">
        <x:v>144300</x:v>
      </x:c>
      <x:c r="G16" s="1" t="str">
        <x:v>Repeat purchase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ORD-00016</x:v>
      </x:c>
      <x:c r="B17" s="1" t="str">
        <x:v>ACC-0005</x:v>
      </x:c>
      <x:c r="C17" s="19" t="n">
        <x:v>45308</x:v>
      </x:c>
      <x:c r="D17" s="1" t="str">
        <x:v>Pouch Filler</x:v>
      </x:c>
      <x:c r="E17" s="1" t="str">
        <x:v>South</x:v>
      </x:c>
      <x:c r="F17" s="20" t="n">
        <x:v>159800</x:v>
      </x:c>
      <x:c r="G17" s="1" t="str">
        <x:v>New business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ORD-00017</x:v>
      </x:c>
      <x:c r="B18" s="1" t="str">
        <x:v>ACC-0005</x:v>
      </x:c>
      <x:c r="C18" s="19" t="n">
        <x:v>45575</x:v>
      </x:c>
      <x:c r="D18" s="1" t="str">
        <x:v>Service &amp; Parts</x:v>
      </x:c>
      <x:c r="E18" s="1" t="str">
        <x:v>South</x:v>
      </x:c>
      <x:c r="F18" s="20" t="n">
        <x:v>44600</x:v>
      </x:c>
      <x:c r="G18" s="1" t="str">
        <x:v>Repeat purchase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ORD-00018</x:v>
      </x:c>
      <x:c r="B19" s="1" t="str">
        <x:v>ACC-0005</x:v>
      </x:c>
      <x:c r="C19" s="19" t="n">
        <x:v>45681</x:v>
      </x:c>
      <x:c r="D19" s="1" t="str">
        <x:v>Case Packer</x:v>
      </x:c>
      <x:c r="E19" s="1" t="str">
        <x:v>South</x:v>
      </x:c>
      <x:c r="F19" s="20" t="n">
        <x:v>275300</x:v>
      </x:c>
      <x:c r="G19" s="1" t="str">
        <x:v>Repeat purchase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ORD-00019</x:v>
      </x:c>
      <x:c r="B20" s="1" t="str">
        <x:v>ACC-0005</x:v>
      </x:c>
      <x:c r="C20" s="19" t="n">
        <x:v>45906</x:v>
      </x:c>
      <x:c r="D20" s="1" t="str">
        <x:v>Pouch Filler</x:v>
      </x:c>
      <x:c r="E20" s="1" t="str">
        <x:v>South</x:v>
      </x:c>
      <x:c r="F20" s="20" t="n">
        <x:v>164300</x:v>
      </x:c>
      <x:c r="G20" s="1" t="str">
        <x:v>Repeat purchase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ORD-00020</x:v>
      </x:c>
      <x:c r="B21" s="1" t="str">
        <x:v>ACC-0005</x:v>
      </x:c>
      <x:c r="C21" s="19" t="n">
        <x:v>46182</x:v>
      </x:c>
      <x:c r="D21" s="1" t="str">
        <x:v>Cartoning Machine</x:v>
      </x:c>
      <x:c r="E21" s="1" t="str">
        <x:v>South</x:v>
      </x:c>
      <x:c r="F21" s="20" t="n">
        <x:v>145000</x:v>
      </x:c>
      <x:c r="G21" s="1" t="str">
        <x:v>Repeat purchase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ORD-00021</x:v>
      </x:c>
      <x:c r="B22" s="1" t="str">
        <x:v>ACC-0006</x:v>
      </x:c>
      <x:c r="C22" s="19" t="n">
        <x:v>45928</x:v>
      </x:c>
      <x:c r="D22" s="1" t="str">
        <x:v>Labeling System</x:v>
      </x:c>
      <x:c r="E22" s="1" t="str">
        <x:v>West</x:v>
      </x:c>
      <x:c r="F22" s="20" t="n">
        <x:v>149700</x:v>
      </x:c>
      <x:c r="G22" s="1" t="str">
        <x:v>New business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ORD-00022</x:v>
      </x:c>
      <x:c r="B23" s="1" t="str">
        <x:v>ACC-0007</x:v>
      </x:c>
      <x:c r="C23" s="19" t="n">
        <x:v>45424</x:v>
      </x:c>
      <x:c r="D23" s="1" t="str">
        <x:v>Labeling System</x:v>
      </x:c>
      <x:c r="E23" s="1" t="str">
        <x:v>Midwest</x:v>
      </x:c>
      <x:c r="F23" s="20" t="n">
        <x:v>120200</x:v>
      </x:c>
      <x:c r="G23" s="1" t="str">
        <x:v>New business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ORD-00023</x:v>
      </x:c>
      <x:c r="B24" s="1" t="str">
        <x:v>ACC-0008</x:v>
      </x:c>
      <x:c r="C24" s="19" t="n">
        <x:v>45982</x:v>
      </x:c>
      <x:c r="D24" s="1" t="str">
        <x:v>Pouch Filler</x:v>
      </x:c>
      <x:c r="E24" s="1" t="str">
        <x:v>Midwest</x:v>
      </x:c>
      <x:c r="F24" s="20" t="n">
        <x:v>130000</x:v>
      </x:c>
      <x:c r="G24" s="1" t="str">
        <x:v>New business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ORD-00024</x:v>
      </x:c>
      <x:c r="B25" s="1" t="str">
        <x:v>ACC-0008</x:v>
      </x:c>
      <x:c r="C25" s="19" t="n">
        <x:v>45987</x:v>
      </x:c>
      <x:c r="D25" s="1" t="str">
        <x:v>Labeling System</x:v>
      </x:c>
      <x:c r="E25" s="1" t="str">
        <x:v>Midwest</x:v>
      </x:c>
      <x:c r="F25" s="20" t="n">
        <x:v>148000</x:v>
      </x:c>
      <x:c r="G25" s="1" t="str">
        <x:v>Repeat purchase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ORD-00025</x:v>
      </x:c>
      <x:c r="B26" s="1" t="str">
        <x:v>ACC-0008</x:v>
      </x:c>
      <x:c r="C26" s="19" t="n">
        <x:v>46114</x:v>
      </x:c>
      <x:c r="D26" s="1" t="str">
        <x:v>Case Packer</x:v>
      </x:c>
      <x:c r="E26" s="1" t="str">
        <x:v>Midwest</x:v>
      </x:c>
      <x:c r="F26" s="20" t="n">
        <x:v>169200</x:v>
      </x:c>
      <x:c r="G26" s="1" t="str">
        <x:v>Repeat purchase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ORD-00026</x:v>
      </x:c>
      <x:c r="B27" s="1" t="str">
        <x:v>ACC-0009</x:v>
      </x:c>
      <x:c r="C27" s="19" t="n">
        <x:v>45311</x:v>
      </x:c>
      <x:c r="D27" s="1" t="str">
        <x:v>Cartoning Machine</x:v>
      </x:c>
      <x:c r="E27" s="1" t="str">
        <x:v>Northeast</x:v>
      </x:c>
      <x:c r="F27" s="20" t="n">
        <x:v>227700</x:v>
      </x:c>
      <x:c r="G27" s="1" t="str">
        <x:v>New business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 t="str">
        <x:v>ORD-00027</x:v>
      </x:c>
      <x:c r="B28" s="1" t="str">
        <x:v>ACC-0009</x:v>
      </x:c>
      <x:c r="C28" s="19" t="n">
        <x:v>45377</x:v>
      </x:c>
      <x:c r="D28" s="1" t="str">
        <x:v>Pouch Filler</x:v>
      </x:c>
      <x:c r="E28" s="1" t="str">
        <x:v>Northeast</x:v>
      </x:c>
      <x:c r="F28" s="20" t="n">
        <x:v>235700</x:v>
      </x:c>
      <x:c r="G28" s="1" t="str">
        <x:v>Repeat purchase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 t="str">
        <x:v>ORD-00028</x:v>
      </x:c>
      <x:c r="B29" s="1" t="str">
        <x:v>ACC-0009</x:v>
      </x:c>
      <x:c r="C29" s="19" t="n">
        <x:v>45646</x:v>
      </x:c>
      <x:c r="D29" s="1" t="str">
        <x:v>Pouch Filler</x:v>
      </x:c>
      <x:c r="E29" s="1" t="str">
        <x:v>Northeast</x:v>
      </x:c>
      <x:c r="F29" s="20" t="n">
        <x:v>155500</x:v>
      </x:c>
      <x:c r="G29" s="1" t="str">
        <x:v>Repeat purchase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 t="str">
        <x:v>ORD-00029</x:v>
      </x:c>
      <x:c r="B30" s="1" t="str">
        <x:v>ACC-0009</x:v>
      </x:c>
      <x:c r="C30" s="19" t="n">
        <x:v>45770</x:v>
      </x:c>
      <x:c r="D30" s="1" t="str">
        <x:v>Labeling System</x:v>
      </x:c>
      <x:c r="E30" s="1" t="str">
        <x:v>Northeast</x:v>
      </x:c>
      <x:c r="F30" s="20" t="n">
        <x:v>179600</x:v>
      </x:c>
      <x:c r="G30" s="1" t="str">
        <x:v>Repeat purchase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 t="str">
        <x:v>ORD-00030</x:v>
      </x:c>
      <x:c r="B31" s="1" t="str">
        <x:v>ACC-0009</x:v>
      </x:c>
      <x:c r="C31" s="19" t="n">
        <x:v>45946</x:v>
      </x:c>
      <x:c r="D31" s="1" t="str">
        <x:v>Case Packer</x:v>
      </x:c>
      <x:c r="E31" s="1" t="str">
        <x:v>Northeast</x:v>
      </x:c>
      <x:c r="F31" s="20" t="n">
        <x:v>160400</x:v>
      </x:c>
      <x:c r="G31" s="1" t="str">
        <x:v>Repeat purchase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 t="str">
        <x:v>ORD-00031</x:v>
      </x:c>
      <x:c r="B32" s="1" t="str">
        <x:v>ACC-0009</x:v>
      </x:c>
      <x:c r="C32" s="19" t="n">
        <x:v>45987</x:v>
      </x:c>
      <x:c r="D32" s="1" t="str">
        <x:v>Service &amp; Parts</x:v>
      </x:c>
      <x:c r="E32" s="1" t="str">
        <x:v>Northeast</x:v>
      </x:c>
      <x:c r="F32" s="20" t="n">
        <x:v>19700</x:v>
      </x:c>
      <x:c r="G32" s="1" t="str">
        <x:v>Repeat purchase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 t="str">
        <x:v>ORD-00032</x:v>
      </x:c>
      <x:c r="B33" s="1" t="str">
        <x:v>ACC-0010</x:v>
      </x:c>
      <x:c r="C33" s="19" t="n">
        <x:v>45747</x:v>
      </x:c>
      <x:c r="D33" s="1" t="str">
        <x:v>Service &amp; Parts</x:v>
      </x:c>
      <x:c r="E33" s="1" t="str">
        <x:v>West</x:v>
      </x:c>
      <x:c r="F33" s="20" t="n">
        <x:v>17000</x:v>
      </x:c>
      <x:c r="G33" s="1" t="str">
        <x:v>New business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 t="str">
        <x:v>ORD-00033</x:v>
      </x:c>
      <x:c r="B34" s="1" t="str">
        <x:v>ACC-0010</x:v>
      </x:c>
      <x:c r="C34" s="19" t="n">
        <x:v>45761</x:v>
      </x:c>
      <x:c r="D34" s="1" t="str">
        <x:v>Labeling System</x:v>
      </x:c>
      <x:c r="E34" s="1" t="str">
        <x:v>West</x:v>
      </x:c>
      <x:c r="F34" s="20" t="n">
        <x:v>66200</x:v>
      </x:c>
      <x:c r="G34" s="1" t="str">
        <x:v>Repeat purchase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 t="str">
        <x:v>ORD-00034</x:v>
      </x:c>
      <x:c r="B35" s="1" t="str">
        <x:v>ACC-0010</x:v>
      </x:c>
      <x:c r="C35" s="19" t="n">
        <x:v>45971</x:v>
      </x:c>
      <x:c r="D35" s="1" t="str">
        <x:v>Cartoning Machine</x:v>
      </x:c>
      <x:c r="E35" s="1" t="str">
        <x:v>West</x:v>
      </x:c>
      <x:c r="F35" s="20" t="n">
        <x:v>54000</x:v>
      </x:c>
      <x:c r="G35" s="1" t="str">
        <x:v>Repeat purchase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 t="str">
        <x:v>ORD-00035</x:v>
      </x:c>
      <x:c r="B36" s="1" t="str">
        <x:v>ACC-0010</x:v>
      </x:c>
      <x:c r="C36" s="19" t="n">
        <x:v>46190</x:v>
      </x:c>
      <x:c r="D36" s="1" t="str">
        <x:v>Case Packer</x:v>
      </x:c>
      <x:c r="E36" s="1" t="str">
        <x:v>West</x:v>
      </x:c>
      <x:c r="F36" s="20" t="n">
        <x:v>129200</x:v>
      </x:c>
      <x:c r="G36" s="1" t="str">
        <x:v>Repeat purchase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 t="str">
        <x:v>ORD-00036</x:v>
      </x:c>
      <x:c r="B37" s="1" t="str">
        <x:v>ACC-0011</x:v>
      </x:c>
      <x:c r="C37" s="19" t="n">
        <x:v>46067</x:v>
      </x:c>
      <x:c r="D37" s="1" t="str">
        <x:v>Cartoning Machine</x:v>
      </x:c>
      <x:c r="E37" s="1" t="str">
        <x:v>Midwest</x:v>
      </x:c>
      <x:c r="F37" s="20" t="n">
        <x:v>147300</x:v>
      </x:c>
      <x:c r="G37" s="1" t="str">
        <x:v>New business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 t="str">
        <x:v>ORD-00037</x:v>
      </x:c>
      <x:c r="B38" s="1" t="str">
        <x:v>ACC-0012</x:v>
      </x:c>
      <x:c r="C38" s="19" t="n">
        <x:v>45569</x:v>
      </x:c>
      <x:c r="D38" s="1" t="str">
        <x:v>Labeling System</x:v>
      </x:c>
      <x:c r="E38" s="1" t="str">
        <x:v>Midwest</x:v>
      </x:c>
      <x:c r="F38" s="20" t="n">
        <x:v>149400</x:v>
      </x:c>
      <x:c r="G38" s="1" t="str">
        <x:v>New business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 t="str">
        <x:v>ORD-00038</x:v>
      </x:c>
      <x:c r="B39" s="1" t="str">
        <x:v>ACC-0012</x:v>
      </x:c>
      <x:c r="C39" s="19" t="n">
        <x:v>45588</x:v>
      </x:c>
      <x:c r="D39" s="1" t="str">
        <x:v>Pouch Filler</x:v>
      </x:c>
      <x:c r="E39" s="1" t="str">
        <x:v>Midwest</x:v>
      </x:c>
      <x:c r="F39" s="20" t="n">
        <x:v>77600</x:v>
      </x:c>
      <x:c r="G39" s="1" t="str">
        <x:v>Repeat purchase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 t="str">
        <x:v>ORD-00039</x:v>
      </x:c>
      <x:c r="B40" s="1" t="str">
        <x:v>ACC-0013</x:v>
      </x:c>
      <x:c r="C40" s="19" t="n">
        <x:v>46160</x:v>
      </x:c>
      <x:c r="D40" s="1" t="str">
        <x:v>Pouch Filler</x:v>
      </x:c>
      <x:c r="E40" s="1" t="str">
        <x:v>West</x:v>
      </x:c>
      <x:c r="F40" s="20" t="n">
        <x:v>245500</x:v>
      </x:c>
      <x:c r="G40" s="1" t="str">
        <x:v>New business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 t="str">
        <x:v>ORD-00040</x:v>
      </x:c>
      <x:c r="B41" s="1" t="str">
        <x:v>ACC-0013</x:v>
      </x:c>
      <x:c r="C41" s="19" t="n">
        <x:v>46198</x:v>
      </x:c>
      <x:c r="D41" s="1" t="str">
        <x:v>Labeling System</x:v>
      </x:c>
      <x:c r="E41" s="1" t="str">
        <x:v>West</x:v>
      </x:c>
      <x:c r="F41" s="20" t="n">
        <x:v>82700</x:v>
      </x:c>
      <x:c r="G41" s="1" t="str">
        <x:v>Repeat purchase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 t="str">
        <x:v>ORD-00041</x:v>
      </x:c>
      <x:c r="B42" s="1" t="str">
        <x:v>ACC-0014</x:v>
      </x:c>
      <x:c r="C42" s="19" t="n">
        <x:v>45898</x:v>
      </x:c>
      <x:c r="D42" s="1" t="str">
        <x:v>Service &amp; Parts</x:v>
      </x:c>
      <x:c r="E42" s="1" t="str">
        <x:v>West</x:v>
      </x:c>
      <x:c r="F42" s="20" t="n">
        <x:v>43500</x:v>
      </x:c>
      <x:c r="G42" s="1" t="str">
        <x:v>New business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 t="str">
        <x:v>ORD-00042</x:v>
      </x:c>
      <x:c r="B43" s="1" t="str">
        <x:v>ACC-0014</x:v>
      </x:c>
      <x:c r="C43" s="19" t="n">
        <x:v>46031</x:v>
      </x:c>
      <x:c r="D43" s="1" t="str">
        <x:v>Pouch Filler</x:v>
      </x:c>
      <x:c r="E43" s="1" t="str">
        <x:v>West</x:v>
      </x:c>
      <x:c r="F43" s="20" t="n">
        <x:v>222500</x:v>
      </x:c>
      <x:c r="G43" s="1" t="str">
        <x:v>Repeat purchase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 t="str">
        <x:v>ORD-00043</x:v>
      </x:c>
      <x:c r="B44" s="1" t="str">
        <x:v>ACC-0014</x:v>
      </x:c>
      <x:c r="C44" s="19" t="n">
        <x:v>46048</x:v>
      </x:c>
      <x:c r="D44" s="1" t="str">
        <x:v>Labeling System</x:v>
      </x:c>
      <x:c r="E44" s="1" t="str">
        <x:v>West</x:v>
      </x:c>
      <x:c r="F44" s="20" t="n">
        <x:v>226700</x:v>
      </x:c>
      <x:c r="G44" s="1" t="str">
        <x:v>Repeat purchase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 t="str">
        <x:v>ORD-00044</x:v>
      </x:c>
      <x:c r="B45" s="1" t="str">
        <x:v>ACC-0014</x:v>
      </x:c>
      <x:c r="C45" s="19" t="n">
        <x:v>46087</x:v>
      </x:c>
      <x:c r="D45" s="1" t="str">
        <x:v>Service &amp; Parts</x:v>
      </x:c>
      <x:c r="E45" s="1" t="str">
        <x:v>West</x:v>
      </x:c>
      <x:c r="F45" s="20" t="n">
        <x:v>12200</x:v>
      </x:c>
      <x:c r="G45" s="1" t="str">
        <x:v>Repeat purchase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 t="str">
        <x:v>ORD-00045</x:v>
      </x:c>
      <x:c r="B46" s="1" t="str">
        <x:v>ACC-0014</x:v>
      </x:c>
      <x:c r="C46" s="19" t="n">
        <x:v>46174</x:v>
      </x:c>
      <x:c r="D46" s="1" t="str">
        <x:v>Cartoning Machine</x:v>
      </x:c>
      <x:c r="E46" s="1" t="str">
        <x:v>West</x:v>
      </x:c>
      <x:c r="F46" s="20" t="n">
        <x:v>202000</x:v>
      </x:c>
      <x:c r="G46" s="1" t="str">
        <x:v>Repeat purchase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 t="str">
        <x:v>ORD-00046</x:v>
      </x:c>
      <x:c r="B47" s="1" t="str">
        <x:v>ACC-0015</x:v>
      </x:c>
      <x:c r="C47" s="19" t="n">
        <x:v>45506</x:v>
      </x:c>
      <x:c r="D47" s="1" t="str">
        <x:v>Case Packer</x:v>
      </x:c>
      <x:c r="E47" s="1" t="str">
        <x:v>Northeast</x:v>
      </x:c>
      <x:c r="F47" s="20" t="n">
        <x:v>172900</x:v>
      </x:c>
      <x:c r="G47" s="1" t="str">
        <x:v>New business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 t="str">
        <x:v>ORD-00047</x:v>
      </x:c>
      <x:c r="B48" s="1" t="str">
        <x:v>ACC-0015</x:v>
      </x:c>
      <x:c r="C48" s="19" t="n">
        <x:v>45691</x:v>
      </x:c>
      <x:c r="D48" s="1" t="str">
        <x:v>Case Packer</x:v>
      </x:c>
      <x:c r="E48" s="1" t="str">
        <x:v>Northeast</x:v>
      </x:c>
      <x:c r="F48" s="20" t="n">
        <x:v>244800</x:v>
      </x:c>
      <x:c r="G48" s="1" t="str">
        <x:v>Repeat purchase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 t="str">
        <x:v>ORD-00048</x:v>
      </x:c>
      <x:c r="B49" s="1" t="str">
        <x:v>ACC-0015</x:v>
      </x:c>
      <x:c r="C49" s="19" t="n">
        <x:v>45755</x:v>
      </x:c>
      <x:c r="D49" s="1" t="str">
        <x:v>Cartoning Machine</x:v>
      </x:c>
      <x:c r="E49" s="1" t="str">
        <x:v>Northeast</x:v>
      </x:c>
      <x:c r="F49" s="20" t="n">
        <x:v>226300</x:v>
      </x:c>
      <x:c r="G49" s="1" t="str">
        <x:v>Repeat purchase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 t="str">
        <x:v>ORD-00049</x:v>
      </x:c>
      <x:c r="B50" s="1" t="str">
        <x:v>ACC-0016</x:v>
      </x:c>
      <x:c r="C50" s="19" t="n">
        <x:v>45477</x:v>
      </x:c>
      <x:c r="D50" s="1" t="str">
        <x:v>Service &amp; Parts</x:v>
      </x:c>
      <x:c r="E50" s="1" t="str">
        <x:v>South</x:v>
      </x:c>
      <x:c r="F50" s="20" t="n">
        <x:v>18900</x:v>
      </x:c>
      <x:c r="G50" s="1" t="str">
        <x:v>New business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 t="str">
        <x:v>ORD-00050</x:v>
      </x:c>
      <x:c r="B51" s="1" t="str">
        <x:v>ACC-0016</x:v>
      </x:c>
      <x:c r="C51" s="19" t="n">
        <x:v>45489</x:v>
      </x:c>
      <x:c r="D51" s="1" t="str">
        <x:v>Labeling System</x:v>
      </x:c>
      <x:c r="E51" s="1" t="str">
        <x:v>South</x:v>
      </x:c>
      <x:c r="F51" s="20" t="n">
        <x:v>86100</x:v>
      </x:c>
      <x:c r="G51" s="1" t="str">
        <x:v>Repeat purchase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 t="str">
        <x:v>ORD-00051</x:v>
      </x:c>
      <x:c r="B52" s="1" t="str">
        <x:v>ACC-0016</x:v>
      </x:c>
      <x:c r="C52" s="19" t="n">
        <x:v>45721</x:v>
      </x:c>
      <x:c r="D52" s="1" t="str">
        <x:v>Pouch Filler</x:v>
      </x:c>
      <x:c r="E52" s="1" t="str">
        <x:v>South</x:v>
      </x:c>
      <x:c r="F52" s="20" t="n">
        <x:v>72700</x:v>
      </x:c>
      <x:c r="G52" s="1" t="str">
        <x:v>Repeat purchase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 t="str">
        <x:v>ORD-00052</x:v>
      </x:c>
      <x:c r="B53" s="1" t="str">
        <x:v>ACC-0016</x:v>
      </x:c>
      <x:c r="C53" s="19" t="n">
        <x:v>45800</x:v>
      </x:c>
      <x:c r="D53" s="1" t="str">
        <x:v>Service &amp; Parts</x:v>
      </x:c>
      <x:c r="E53" s="1" t="str">
        <x:v>South</x:v>
      </x:c>
      <x:c r="F53" s="20" t="n">
        <x:v>22100</x:v>
      </x:c>
      <x:c r="G53" s="1" t="str">
        <x:v>Repeat purchase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 t="str">
        <x:v>ORD-00053</x:v>
      </x:c>
      <x:c r="B54" s="1" t="str">
        <x:v>ACC-0016</x:v>
      </x:c>
      <x:c r="C54" s="19" t="n">
        <x:v>46116</x:v>
      </x:c>
      <x:c r="D54" s="1" t="str">
        <x:v>Labeling System</x:v>
      </x:c>
      <x:c r="E54" s="1" t="str">
        <x:v>South</x:v>
      </x:c>
      <x:c r="F54" s="20" t="n">
        <x:v>50600</x:v>
      </x:c>
      <x:c r="G54" s="1" t="str">
        <x:v>Repeat purchase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 t="str">
        <x:v>ORD-00054</x:v>
      </x:c>
      <x:c r="B55" s="1" t="str">
        <x:v>ACC-0016</x:v>
      </x:c>
      <x:c r="C55" s="19" t="n">
        <x:v>46148</x:v>
      </x:c>
      <x:c r="D55" s="1" t="str">
        <x:v>Labeling System</x:v>
      </x:c>
      <x:c r="E55" s="1" t="str">
        <x:v>South</x:v>
      </x:c>
      <x:c r="F55" s="20" t="n">
        <x:v>55700</x:v>
      </x:c>
      <x:c r="G55" s="1" t="str">
        <x:v>Repeat purchase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 t="str">
        <x:v>ORD-00055</x:v>
      </x:c>
      <x:c r="B56" s="1" t="str">
        <x:v>ACC-0017</x:v>
      </x:c>
      <x:c r="C56" s="19" t="n">
        <x:v>45306</x:v>
      </x:c>
      <x:c r="D56" s="1" t="str">
        <x:v>Cartoning Machine</x:v>
      </x:c>
      <x:c r="E56" s="1" t="str">
        <x:v>South</x:v>
      </x:c>
      <x:c r="F56" s="20" t="n">
        <x:v>148800</x:v>
      </x:c>
      <x:c r="G56" s="1" t="str">
        <x:v>New business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 t="str">
        <x:v>ORD-00056</x:v>
      </x:c>
      <x:c r="B57" s="1" t="str">
        <x:v>ACC-0017</x:v>
      </x:c>
      <x:c r="C57" s="19" t="n">
        <x:v>45995</x:v>
      </x:c>
      <x:c r="D57" s="1" t="str">
        <x:v>Case Packer</x:v>
      </x:c>
      <x:c r="E57" s="1" t="str">
        <x:v>South</x:v>
      </x:c>
      <x:c r="F57" s="20" t="n">
        <x:v>109200</x:v>
      </x:c>
      <x:c r="G57" s="1" t="str">
        <x:v>Repeat purchase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 t="str">
        <x:v>ORD-00057</x:v>
      </x:c>
      <x:c r="B58" s="1" t="str">
        <x:v>ACC-0018</x:v>
      </x:c>
      <x:c r="C58" s="19" t="n">
        <x:v>45521</x:v>
      </x:c>
      <x:c r="D58" s="1" t="str">
        <x:v>Pouch Filler</x:v>
      </x:c>
      <x:c r="E58" s="1" t="str">
        <x:v>South</x:v>
      </x:c>
      <x:c r="F58" s="20" t="n">
        <x:v>252200</x:v>
      </x:c>
      <x:c r="G58" s="1" t="str">
        <x:v>New business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 t="str">
        <x:v>ORD-00058</x:v>
      </x:c>
      <x:c r="B59" s="1" t="str">
        <x:v>ACC-0018</x:v>
      </x:c>
      <x:c r="C59" s="19" t="n">
        <x:v>45529</x:v>
      </x:c>
      <x:c r="D59" s="1" t="str">
        <x:v>Pouch Filler</x:v>
      </x:c>
      <x:c r="E59" s="1" t="str">
        <x:v>South</x:v>
      </x:c>
      <x:c r="F59" s="20" t="n">
        <x:v>274400</x:v>
      </x:c>
      <x:c r="G59" s="1" t="str">
        <x:v>Repeat purchase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 t="str">
        <x:v>ORD-00059</x:v>
      </x:c>
      <x:c r="B60" s="1" t="str">
        <x:v>ACC-0018</x:v>
      </x:c>
      <x:c r="C60" s="19" t="n">
        <x:v>45782</x:v>
      </x:c>
      <x:c r="D60" s="1" t="str">
        <x:v>Labeling System</x:v>
      </x:c>
      <x:c r="E60" s="1" t="str">
        <x:v>South</x:v>
      </x:c>
      <x:c r="F60" s="20" t="n">
        <x:v>233700</x:v>
      </x:c>
      <x:c r="G60" s="1" t="str">
        <x:v>Repeat purchase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 t="str">
        <x:v>ORD-00060</x:v>
      </x:c>
      <x:c r="B61" s="1" t="str">
        <x:v>ACC-0018</x:v>
      </x:c>
      <x:c r="C61" s="19" t="n">
        <x:v>45796</x:v>
      </x:c>
      <x:c r="D61" s="1" t="str">
        <x:v>Pouch Filler</x:v>
      </x:c>
      <x:c r="E61" s="1" t="str">
        <x:v>South</x:v>
      </x:c>
      <x:c r="F61" s="20" t="n">
        <x:v>119100</x:v>
      </x:c>
      <x:c r="G61" s="1" t="str">
        <x:v>Repeat purchase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 t="str">
        <x:v>ORD-00061</x:v>
      </x:c>
      <x:c r="B62" s="1" t="str">
        <x:v>ACC-0019</x:v>
      </x:c>
      <x:c r="C62" s="19" t="n">
        <x:v>46188</x:v>
      </x:c>
      <x:c r="D62" s="1" t="str">
        <x:v>Pouch Filler</x:v>
      </x:c>
      <x:c r="E62" s="1" t="str">
        <x:v>Northeast</x:v>
      </x:c>
      <x:c r="F62" s="20" t="n">
        <x:v>142400</x:v>
      </x:c>
      <x:c r="G62" s="1" t="str">
        <x:v>New business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 t="str">
        <x:v>ORD-00062</x:v>
      </x:c>
      <x:c r="B63" s="1" t="str">
        <x:v>ACC-0019</x:v>
      </x:c>
      <x:c r="C63" s="19" t="n">
        <x:v>46191</x:v>
      </x:c>
      <x:c r="D63" s="1" t="str">
        <x:v>Pouch Filler</x:v>
      </x:c>
      <x:c r="E63" s="1" t="str">
        <x:v>Northeast</x:v>
      </x:c>
      <x:c r="F63" s="20" t="n">
        <x:v>110500</x:v>
      </x:c>
      <x:c r="G63" s="1" t="str">
        <x:v>Repeat purchase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 t="str">
        <x:v>ORD-00063</x:v>
      </x:c>
      <x:c r="B64" s="1" t="str">
        <x:v>ACC-0020</x:v>
      </x:c>
      <x:c r="C64" s="19" t="n">
        <x:v>45354</x:v>
      </x:c>
      <x:c r="D64" s="1" t="str">
        <x:v>Case Packer</x:v>
      </x:c>
      <x:c r="E64" s="1" t="str">
        <x:v>South</x:v>
      </x:c>
      <x:c r="F64" s="20" t="n">
        <x:v>47200</x:v>
      </x:c>
      <x:c r="G64" s="1" t="str">
        <x:v>New business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 t="str">
        <x:v>ORD-00064</x:v>
      </x:c>
      <x:c r="B65" s="1" t="str">
        <x:v>ACC-0020</x:v>
      </x:c>
      <x:c r="C65" s="19" t="n">
        <x:v>45522</x:v>
      </x:c>
      <x:c r="D65" s="1" t="str">
        <x:v>Cartoning Machine</x:v>
      </x:c>
      <x:c r="E65" s="1" t="str">
        <x:v>South</x:v>
      </x:c>
      <x:c r="F65" s="20" t="n">
        <x:v>73100</x:v>
      </x:c>
      <x:c r="G65" s="1" t="str">
        <x:v>Repeat purchase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 t="str">
        <x:v>ORD-00065</x:v>
      </x:c>
      <x:c r="B66" s="1" t="str">
        <x:v>ACC-0020</x:v>
      </x:c>
      <x:c r="C66" s="19" t="n">
        <x:v>45552</x:v>
      </x:c>
      <x:c r="D66" s="1" t="str">
        <x:v>Labeling System</x:v>
      </x:c>
      <x:c r="E66" s="1" t="str">
        <x:v>South</x:v>
      </x:c>
      <x:c r="F66" s="20" t="n">
        <x:v>47500</x:v>
      </x:c>
      <x:c r="G66" s="1" t="str">
        <x:v>Repeat purchase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 t="str">
        <x:v>ORD-00066</x:v>
      </x:c>
      <x:c r="B67" s="1" t="str">
        <x:v>ACC-0020</x:v>
      </x:c>
      <x:c r="C67" s="19" t="n">
        <x:v>45678</x:v>
      </x:c>
      <x:c r="D67" s="1" t="str">
        <x:v>Service &amp; Parts</x:v>
      </x:c>
      <x:c r="E67" s="1" t="str">
        <x:v>South</x:v>
      </x:c>
      <x:c r="F67" s="20" t="n">
        <x:v>8800</x:v>
      </x:c>
      <x:c r="G67" s="1" t="str">
        <x:v>Repeat purchase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 t="str">
        <x:v>ORD-00067</x:v>
      </x:c>
      <x:c r="B68" s="1" t="str">
        <x:v>ACC-0021</x:v>
      </x:c>
      <x:c r="C68" s="19" t="n">
        <x:v>45296</x:v>
      </x:c>
      <x:c r="D68" s="1" t="str">
        <x:v>Case Packer</x:v>
      </x:c>
      <x:c r="E68" s="1" t="str">
        <x:v>West</x:v>
      </x:c>
      <x:c r="F68" s="20" t="n">
        <x:v>60900</x:v>
      </x:c>
      <x:c r="G68" s="1" t="str">
        <x:v>New business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 t="str">
        <x:v>ORD-00068</x:v>
      </x:c>
      <x:c r="B69" s="1" t="str">
        <x:v>ACC-0021</x:v>
      </x:c>
      <x:c r="C69" s="19" t="n">
        <x:v>45920</x:v>
      </x:c>
      <x:c r="D69" s="1" t="str">
        <x:v>Case Packer</x:v>
      </x:c>
      <x:c r="E69" s="1" t="str">
        <x:v>West</x:v>
      </x:c>
      <x:c r="F69" s="20" t="n">
        <x:v>200500</x:v>
      </x:c>
      <x:c r="G69" s="1" t="str">
        <x:v>Repeat purchase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 t="str">
        <x:v>ORD-00069</x:v>
      </x:c>
      <x:c r="B70" s="1" t="str">
        <x:v>ACC-0021</x:v>
      </x:c>
      <x:c r="C70" s="19" t="n">
        <x:v>45929</x:v>
      </x:c>
      <x:c r="D70" s="1" t="str">
        <x:v>Case Packer</x:v>
      </x:c>
      <x:c r="E70" s="1" t="str">
        <x:v>West</x:v>
      </x:c>
      <x:c r="F70" s="20" t="n">
        <x:v>78100</x:v>
      </x:c>
      <x:c r="G70" s="1" t="str">
        <x:v>Repeat purchase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 t="str">
        <x:v>ORD-00070</x:v>
      </x:c>
      <x:c r="B71" s="1" t="str">
        <x:v>ACC-0021</x:v>
      </x:c>
      <x:c r="C71" s="19" t="n">
        <x:v>45954</x:v>
      </x:c>
      <x:c r="D71" s="1" t="str">
        <x:v>Labeling System</x:v>
      </x:c>
      <x:c r="E71" s="1" t="str">
        <x:v>West</x:v>
      </x:c>
      <x:c r="F71" s="20" t="n">
        <x:v>238100</x:v>
      </x:c>
      <x:c r="G71" s="1" t="str">
        <x:v>Repeat purchase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 t="str">
        <x:v>ORD-00071</x:v>
      </x:c>
      <x:c r="B72" s="1" t="str">
        <x:v>ACC-0022</x:v>
      </x:c>
      <x:c r="C72" s="19" t="n">
        <x:v>45381</x:v>
      </x:c>
      <x:c r="D72" s="1" t="str">
        <x:v>Cartoning Machine</x:v>
      </x:c>
      <x:c r="E72" s="1" t="str">
        <x:v>West</x:v>
      </x:c>
      <x:c r="F72" s="20" t="n">
        <x:v>172000</x:v>
      </x:c>
      <x:c r="G72" s="1" t="str">
        <x:v>New business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 t="str">
        <x:v>ORD-00072</x:v>
      </x:c>
      <x:c r="B73" s="1" t="str">
        <x:v>ACC-0022</x:v>
      </x:c>
      <x:c r="C73" s="19" t="n">
        <x:v>45457</x:v>
      </x:c>
      <x:c r="D73" s="1" t="str">
        <x:v>Labeling System</x:v>
      </x:c>
      <x:c r="E73" s="1" t="str">
        <x:v>West</x:v>
      </x:c>
      <x:c r="F73" s="20" t="n">
        <x:v>62900</x:v>
      </x:c>
      <x:c r="G73" s="1" t="str">
        <x:v>Repeat purchase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 t="str">
        <x:v>ORD-00073</x:v>
      </x:c>
      <x:c r="B74" s="1" t="str">
        <x:v>ACC-0022</x:v>
      </x:c>
      <x:c r="C74" s="19" t="n">
        <x:v>45613</x:v>
      </x:c>
      <x:c r="D74" s="1" t="str">
        <x:v>Pouch Filler</x:v>
      </x:c>
      <x:c r="E74" s="1" t="str">
        <x:v>West</x:v>
      </x:c>
      <x:c r="F74" s="20" t="n">
        <x:v>79700</x:v>
      </x:c>
      <x:c r="G74" s="1" t="str">
        <x:v>Repeat purchase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 t="str">
        <x:v>ORD-00074</x:v>
      </x:c>
      <x:c r="B75" s="1" t="str">
        <x:v>ACC-0023</x:v>
      </x:c>
      <x:c r="C75" s="19" t="n">
        <x:v>45937</x:v>
      </x:c>
      <x:c r="D75" s="1" t="str">
        <x:v>Labeling System</x:v>
      </x:c>
      <x:c r="E75" s="1" t="str">
        <x:v>Midwest</x:v>
      </x:c>
      <x:c r="F75" s="20" t="n">
        <x:v>152500</x:v>
      </x:c>
      <x:c r="G75" s="1" t="str">
        <x:v>New business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 t="str">
        <x:v>ORD-00075</x:v>
      </x:c>
      <x:c r="B76" s="1" t="str">
        <x:v>ACC-0023</x:v>
      </x:c>
      <x:c r="C76" s="19" t="n">
        <x:v>45974</x:v>
      </x:c>
      <x:c r="D76" s="1" t="str">
        <x:v>Pouch Filler</x:v>
      </x:c>
      <x:c r="E76" s="1" t="str">
        <x:v>Midwest</x:v>
      </x:c>
      <x:c r="F76" s="20" t="n">
        <x:v>183400</x:v>
      </x:c>
      <x:c r="G76" s="1" t="str">
        <x:v>Repeat purchase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 t="str">
        <x:v>ORD-00076</x:v>
      </x:c>
      <x:c r="B77" s="1" t="str">
        <x:v>ACC-0023</x:v>
      </x:c>
      <x:c r="C77" s="19" t="n">
        <x:v>46054</x:v>
      </x:c>
      <x:c r="D77" s="1" t="str">
        <x:v>Pouch Filler</x:v>
      </x:c>
      <x:c r="E77" s="1" t="str">
        <x:v>Midwest</x:v>
      </x:c>
      <x:c r="F77" s="20" t="n">
        <x:v>279100</x:v>
      </x:c>
      <x:c r="G77" s="1" t="str">
        <x:v>Repeat purchase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 t="str">
        <x:v>ORD-00077</x:v>
      </x:c>
      <x:c r="B78" s="1" t="str">
        <x:v>ACC-0024</x:v>
      </x:c>
      <x:c r="C78" s="19" t="n">
        <x:v>45402</x:v>
      </x:c>
      <x:c r="D78" s="1" t="str">
        <x:v>Pouch Filler</x:v>
      </x:c>
      <x:c r="E78" s="1" t="str">
        <x:v>South</x:v>
      </x:c>
      <x:c r="F78" s="20" t="n">
        <x:v>99800</x:v>
      </x:c>
      <x:c r="G78" s="1" t="str">
        <x:v>New business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 t="str">
        <x:v>ORD-00078</x:v>
      </x:c>
      <x:c r="B79" s="1" t="str">
        <x:v>ACC-0024</x:v>
      </x:c>
      <x:c r="C79" s="19" t="n">
        <x:v>46169</x:v>
      </x:c>
      <x:c r="D79" s="1" t="str">
        <x:v>Case Packer</x:v>
      </x:c>
      <x:c r="E79" s="1" t="str">
        <x:v>South</x:v>
      </x:c>
      <x:c r="F79" s="20" t="n">
        <x:v>124800</x:v>
      </x:c>
      <x:c r="G79" s="1" t="str">
        <x:v>Repeat purchase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 t="str">
        <x:v>ORD-00079</x:v>
      </x:c>
      <x:c r="B80" s="1" t="str">
        <x:v>ACC-0025</x:v>
      </x:c>
      <x:c r="C80" s="19" t="n">
        <x:v>45628</x:v>
      </x:c>
      <x:c r="D80" s="1" t="str">
        <x:v>Cartoning Machine</x:v>
      </x:c>
      <x:c r="E80" s="1" t="str">
        <x:v>Midwest</x:v>
      </x:c>
      <x:c r="F80" s="20" t="n">
        <x:v>157600</x:v>
      </x:c>
      <x:c r="G80" s="1" t="str">
        <x:v>New business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 t="str">
        <x:v>ORD-00080</x:v>
      </x:c>
      <x:c r="B81" s="1" t="str">
        <x:v>ACC-0025</x:v>
      </x:c>
      <x:c r="C81" s="19" t="n">
        <x:v>45860</x:v>
      </x:c>
      <x:c r="D81" s="1" t="str">
        <x:v>Service &amp; Parts</x:v>
      </x:c>
      <x:c r="E81" s="1" t="str">
        <x:v>Midwest</x:v>
      </x:c>
      <x:c r="F81" s="20" t="n">
        <x:v>40200</x:v>
      </x:c>
      <x:c r="G81" s="1" t="str">
        <x:v>Repeat purchase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 t="str">
        <x:v>ORD-00081</x:v>
      </x:c>
      <x:c r="B82" s="1" t="str">
        <x:v>ACC-0025</x:v>
      </x:c>
      <x:c r="C82" s="19" t="n">
        <x:v>45870</x:v>
      </x:c>
      <x:c r="D82" s="1" t="str">
        <x:v>Labeling System</x:v>
      </x:c>
      <x:c r="E82" s="1" t="str">
        <x:v>Midwest</x:v>
      </x:c>
      <x:c r="F82" s="20" t="n">
        <x:v>241000</x:v>
      </x:c>
      <x:c r="G82" s="1" t="str">
        <x:v>Repeat purchase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 t="str">
        <x:v>ORD-00082</x:v>
      </x:c>
      <x:c r="B83" s="1" t="str">
        <x:v>ACC-0025</x:v>
      </x:c>
      <x:c r="C83" s="19" t="n">
        <x:v>46053</x:v>
      </x:c>
      <x:c r="D83" s="1" t="str">
        <x:v>Pouch Filler</x:v>
      </x:c>
      <x:c r="E83" s="1" t="str">
        <x:v>Midwest</x:v>
      </x:c>
      <x:c r="F83" s="20" t="n">
        <x:v>278200</x:v>
      </x:c>
      <x:c r="G83" s="1" t="str">
        <x:v>Repeat purchase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 t="str">
        <x:v>ORD-00083</x:v>
      </x:c>
      <x:c r="B84" s="1" t="str">
        <x:v>ACC-0025</x:v>
      </x:c>
      <x:c r="C84" s="19" t="n">
        <x:v>46061</x:v>
      </x:c>
      <x:c r="D84" s="1" t="str">
        <x:v>Labeling System</x:v>
      </x:c>
      <x:c r="E84" s="1" t="str">
        <x:v>Midwest</x:v>
      </x:c>
      <x:c r="F84" s="20" t="n">
        <x:v>86600</x:v>
      </x:c>
      <x:c r="G84" s="1" t="str">
        <x:v>Repeat purchase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 t="str">
        <x:v>ORD-00084</x:v>
      </x:c>
      <x:c r="B85" s="1" t="str">
        <x:v>ACC-0025</x:v>
      </x:c>
      <x:c r="C85" s="19" t="n">
        <x:v>46203</x:v>
      </x:c>
      <x:c r="D85" s="1" t="str">
        <x:v>Case Packer</x:v>
      </x:c>
      <x:c r="E85" s="1" t="str">
        <x:v>Midwest</x:v>
      </x:c>
      <x:c r="F85" s="20" t="n">
        <x:v>177700</x:v>
      </x:c>
      <x:c r="G85" s="1" t="str">
        <x:v>Repeat purchase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 t="str">
        <x:v>ORD-00085</x:v>
      </x:c>
      <x:c r="B86" s="1" t="str">
        <x:v>ACC-0026</x:v>
      </x:c>
      <x:c r="C86" s="19" t="n">
        <x:v>46022</x:v>
      </x:c>
      <x:c r="D86" s="1" t="str">
        <x:v>Cartoning Machine</x:v>
      </x:c>
      <x:c r="E86" s="1" t="str">
        <x:v>South</x:v>
      </x:c>
      <x:c r="F86" s="20" t="n">
        <x:v>110600</x:v>
      </x:c>
      <x:c r="G86" s="1" t="str">
        <x:v>New business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 t="str">
        <x:v>ORD-00086</x:v>
      </x:c>
      <x:c r="B87" s="1" t="str">
        <x:v>ACC-0026</x:v>
      </x:c>
      <x:c r="C87" s="19" t="n">
        <x:v>46141</x:v>
      </x:c>
      <x:c r="D87" s="1" t="str">
        <x:v>Service &amp; Parts</x:v>
      </x:c>
      <x:c r="E87" s="1" t="str">
        <x:v>South</x:v>
      </x:c>
      <x:c r="F87" s="20" t="n">
        <x:v>23000</x:v>
      </x:c>
      <x:c r="G87" s="1" t="str">
        <x:v>Repeat purchase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 t="str">
        <x:v>ORD-00087</x:v>
      </x:c>
      <x:c r="B88" s="1" t="str">
        <x:v>ACC-0026</x:v>
      </x:c>
      <x:c r="C88" s="19" t="n">
        <x:v>46175</x:v>
      </x:c>
      <x:c r="D88" s="1" t="str">
        <x:v>Cartoning Machine</x:v>
      </x:c>
      <x:c r="E88" s="1" t="str">
        <x:v>South</x:v>
      </x:c>
      <x:c r="F88" s="20" t="n">
        <x:v>148700</x:v>
      </x:c>
      <x:c r="G88" s="1" t="str">
        <x:v>Repeat purchase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 t="str">
        <x:v>ORD-00088</x:v>
      </x:c>
      <x:c r="B89" s="1" t="str">
        <x:v>ACC-0027</x:v>
      </x:c>
      <x:c r="C89" s="19" t="n">
        <x:v>45398</x:v>
      </x:c>
      <x:c r="D89" s="1" t="str">
        <x:v>Cartoning Machine</x:v>
      </x:c>
      <x:c r="E89" s="1" t="str">
        <x:v>West</x:v>
      </x:c>
      <x:c r="F89" s="20" t="n">
        <x:v>156800</x:v>
      </x:c>
      <x:c r="G89" s="1" t="str">
        <x:v>New business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 t="str">
        <x:v>ORD-00089</x:v>
      </x:c>
      <x:c r="B90" s="1" t="str">
        <x:v>ACC-0027</x:v>
      </x:c>
      <x:c r="C90" s="19" t="n">
        <x:v>45573</x:v>
      </x:c>
      <x:c r="D90" s="1" t="str">
        <x:v>Cartoning Machine</x:v>
      </x:c>
      <x:c r="E90" s="1" t="str">
        <x:v>West</x:v>
      </x:c>
      <x:c r="F90" s="20" t="n">
        <x:v>214700</x:v>
      </x:c>
      <x:c r="G90" s="1" t="str">
        <x:v>Repeat purchase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 t="str">
        <x:v>ORD-00090</x:v>
      </x:c>
      <x:c r="B91" s="1" t="str">
        <x:v>ACC-0027</x:v>
      </x:c>
      <x:c r="C91" s="19" t="n">
        <x:v>45653</x:v>
      </x:c>
      <x:c r="D91" s="1" t="str">
        <x:v>Cartoning Machine</x:v>
      </x:c>
      <x:c r="E91" s="1" t="str">
        <x:v>West</x:v>
      </x:c>
      <x:c r="F91" s="20" t="n">
        <x:v>205900</x:v>
      </x:c>
      <x:c r="G91" s="1" t="str">
        <x:v>Repeat purchase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 t="str">
        <x:v>ORD-00091</x:v>
      </x:c>
      <x:c r="B92" s="1" t="str">
        <x:v>ACC-0027</x:v>
      </x:c>
      <x:c r="C92" s="19" t="n">
        <x:v>45884</x:v>
      </x:c>
      <x:c r="D92" s="1" t="str">
        <x:v>Labeling System</x:v>
      </x:c>
      <x:c r="E92" s="1" t="str">
        <x:v>West</x:v>
      </x:c>
      <x:c r="F92" s="20" t="n">
        <x:v>218800</x:v>
      </x:c>
      <x:c r="G92" s="1" t="str">
        <x:v>Repeat purchase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 t="str">
        <x:v>ORD-00092</x:v>
      </x:c>
      <x:c r="B93" s="1" t="str">
        <x:v>ACC-0027</x:v>
      </x:c>
      <x:c r="C93" s="19" t="n">
        <x:v>45929</x:v>
      </x:c>
      <x:c r="D93" s="1" t="str">
        <x:v>Cartoning Machine</x:v>
      </x:c>
      <x:c r="E93" s="1" t="str">
        <x:v>West</x:v>
      </x:c>
      <x:c r="F93" s="20" t="n">
        <x:v>97000</x:v>
      </x:c>
      <x:c r="G93" s="1" t="str">
        <x:v>Repeat purchase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 t="str">
        <x:v>ORD-00093</x:v>
      </x:c>
      <x:c r="B94" s="1" t="str">
        <x:v>ACC-0027</x:v>
      </x:c>
      <x:c r="C94" s="19" t="n">
        <x:v>46019</x:v>
      </x:c>
      <x:c r="D94" s="1" t="str">
        <x:v>Labeling System</x:v>
      </x:c>
      <x:c r="E94" s="1" t="str">
        <x:v>West</x:v>
      </x:c>
      <x:c r="F94" s="20" t="n">
        <x:v>121200</x:v>
      </x:c>
      <x:c r="G94" s="1" t="str">
        <x:v>Repeat purchase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 t="str">
        <x:v>ORD-00094</x:v>
      </x:c>
      <x:c r="B95" s="1" t="str">
        <x:v>ACC-0028</x:v>
      </x:c>
      <x:c r="C95" s="19" t="n">
        <x:v>45316</x:v>
      </x:c>
      <x:c r="D95" s="1" t="str">
        <x:v>Service &amp; Parts</x:v>
      </x:c>
      <x:c r="E95" s="1" t="str">
        <x:v>South</x:v>
      </x:c>
      <x:c r="F95" s="20" t="n">
        <x:v>21600</x:v>
      </x:c>
      <x:c r="G95" s="1" t="str">
        <x:v>New business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 t="str">
        <x:v>ORD-00095</x:v>
      </x:c>
      <x:c r="B96" s="1" t="str">
        <x:v>ACC-0028</x:v>
      </x:c>
      <x:c r="C96" s="19" t="n">
        <x:v>45416</x:v>
      </x:c>
      <x:c r="D96" s="1" t="str">
        <x:v>Case Packer</x:v>
      </x:c>
      <x:c r="E96" s="1" t="str">
        <x:v>South</x:v>
      </x:c>
      <x:c r="F96" s="20" t="n">
        <x:v>60900</x:v>
      </x:c>
      <x:c r="G96" s="1" t="str">
        <x:v>Repeat purchase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 t="str">
        <x:v>ORD-00096</x:v>
      </x:c>
      <x:c r="B97" s="1" t="str">
        <x:v>ACC-0028</x:v>
      </x:c>
      <x:c r="C97" s="19" t="n">
        <x:v>45805</x:v>
      </x:c>
      <x:c r="D97" s="1" t="str">
        <x:v>Pouch Filler</x:v>
      </x:c>
      <x:c r="E97" s="1" t="str">
        <x:v>South</x:v>
      </x:c>
      <x:c r="F97" s="20" t="n">
        <x:v>82900</x:v>
      </x:c>
      <x:c r="G97" s="1" t="str">
        <x:v>Repeat purchase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 t="str">
        <x:v>ORD-00097</x:v>
      </x:c>
      <x:c r="B98" s="1" t="str">
        <x:v>ACC-0029</x:v>
      </x:c>
      <x:c r="C98" s="19" t="n">
        <x:v>46185</x:v>
      </x:c>
      <x:c r="D98" s="1" t="str">
        <x:v>Case Packer</x:v>
      </x:c>
      <x:c r="E98" s="1" t="str">
        <x:v>West</x:v>
      </x:c>
      <x:c r="F98" s="20" t="n">
        <x:v>176200</x:v>
      </x:c>
      <x:c r="G98" s="1" t="str">
        <x:v>New business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 t="str">
        <x:v>ORD-00098</x:v>
      </x:c>
      <x:c r="B99" s="1" t="str">
        <x:v>ACC-0029</x:v>
      </x:c>
      <x:c r="C99" s="19" t="n">
        <x:v>46191</x:v>
      </x:c>
      <x:c r="D99" s="1" t="str">
        <x:v>Service &amp; Parts</x:v>
      </x:c>
      <x:c r="E99" s="1" t="str">
        <x:v>West</x:v>
      </x:c>
      <x:c r="F99" s="20" t="n">
        <x:v>15400</x:v>
      </x:c>
      <x:c r="G99" s="1" t="str">
        <x:v>Repeat purchase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 t="str">
        <x:v>ORD-00099</x:v>
      </x:c>
      <x:c r="B100" s="1" t="str">
        <x:v>ACC-0030</x:v>
      </x:c>
      <x:c r="C100" s="19" t="n">
        <x:v>46000</x:v>
      </x:c>
      <x:c r="D100" s="1" t="str">
        <x:v>Pouch Filler</x:v>
      </x:c>
      <x:c r="E100" s="1" t="str">
        <x:v>Northeast</x:v>
      </x:c>
      <x:c r="F100" s="20" t="n">
        <x:v>166500</x:v>
      </x:c>
      <x:c r="G100" s="1" t="str">
        <x:v>New business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 t="str">
        <x:v>ORD-00100</x:v>
      </x:c>
      <x:c r="B101" s="1" t="str">
        <x:v>ACC-0030</x:v>
      </x:c>
      <x:c r="C101" s="19" t="n">
        <x:v>46047</x:v>
      </x:c>
      <x:c r="D101" s="1" t="str">
        <x:v>Case Packer</x:v>
      </x:c>
      <x:c r="E101" s="1" t="str">
        <x:v>Northeast</x:v>
      </x:c>
      <x:c r="F101" s="20" t="n">
        <x:v>210200</x:v>
      </x:c>
      <x:c r="G101" s="1" t="str">
        <x:v>Repeat purchase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 t="str">
        <x:v>ORD-00101</x:v>
      </x:c>
      <x:c r="B102" s="1" t="str">
        <x:v>ACC-0030</x:v>
      </x:c>
      <x:c r="C102" s="19" t="n">
        <x:v>46051</x:v>
      </x:c>
      <x:c r="D102" s="1" t="str">
        <x:v>Service &amp; Parts</x:v>
      </x:c>
      <x:c r="E102" s="1" t="str">
        <x:v>Northeast</x:v>
      </x:c>
      <x:c r="F102" s="20" t="n">
        <x:v>27600</x:v>
      </x:c>
      <x:c r="G102" s="1" t="str">
        <x:v>Repeat purchase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 t="str">
        <x:v>ORD-00102</x:v>
      </x:c>
      <x:c r="B103" s="1" t="str">
        <x:v>ACC-0031</x:v>
      </x:c>
      <x:c r="C103" s="19" t="n">
        <x:v>45391</x:v>
      </x:c>
      <x:c r="D103" s="1" t="str">
        <x:v>Service &amp; Parts</x:v>
      </x:c>
      <x:c r="E103" s="1" t="str">
        <x:v>Northeast</x:v>
      </x:c>
      <x:c r="F103" s="20" t="n">
        <x:v>34400</x:v>
      </x:c>
      <x:c r="G103" s="1" t="str">
        <x:v>New business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 t="str">
        <x:v>ORD-00103</x:v>
      </x:c>
      <x:c r="B104" s="1" t="str">
        <x:v>ACC-0031</x:v>
      </x:c>
      <x:c r="C104" s="19" t="n">
        <x:v>45397</x:v>
      </x:c>
      <x:c r="D104" s="1" t="str">
        <x:v>Pouch Filler</x:v>
      </x:c>
      <x:c r="E104" s="1" t="str">
        <x:v>Northeast</x:v>
      </x:c>
      <x:c r="F104" s="20" t="n">
        <x:v>58700</x:v>
      </x:c>
      <x:c r="G104" s="1" t="str">
        <x:v>Repeat purchase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 t="str">
        <x:v>ORD-00104</x:v>
      </x:c>
      <x:c r="B105" s="1" t="str">
        <x:v>ACC-0031</x:v>
      </x:c>
      <x:c r="C105" s="19" t="n">
        <x:v>45399</x:v>
      </x:c>
      <x:c r="D105" s="1" t="str">
        <x:v>Service &amp; Parts</x:v>
      </x:c>
      <x:c r="E105" s="1" t="str">
        <x:v>Northeast</x:v>
      </x:c>
      <x:c r="F105" s="20" t="n">
        <x:v>13900</x:v>
      </x:c>
      <x:c r="G105" s="1" t="str">
        <x:v>Repeat purchase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 t="str">
        <x:v>ORD-00105</x:v>
      </x:c>
      <x:c r="B106" s="1" t="str">
        <x:v>ACC-0031</x:v>
      </x:c>
      <x:c r="C106" s="19" t="n">
        <x:v>45497</x:v>
      </x:c>
      <x:c r="D106" s="1" t="str">
        <x:v>Case Packer</x:v>
      </x:c>
      <x:c r="E106" s="1" t="str">
        <x:v>Northeast</x:v>
      </x:c>
      <x:c r="F106" s="20" t="n">
        <x:v>45900</x:v>
      </x:c>
      <x:c r="G106" s="1" t="str">
        <x:v>Repeat purchase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 t="str">
        <x:v>ORD-00106</x:v>
      </x:c>
      <x:c r="B107" s="1" t="str">
        <x:v>ACC-0031</x:v>
      </x:c>
      <x:c r="C107" s="19" t="n">
        <x:v>45884</x:v>
      </x:c>
      <x:c r="D107" s="1" t="str">
        <x:v>Cartoning Machine</x:v>
      </x:c>
      <x:c r="E107" s="1" t="str">
        <x:v>Northeast</x:v>
      </x:c>
      <x:c r="F107" s="20" t="n">
        <x:v>119700</x:v>
      </x:c>
      <x:c r="G107" s="1" t="str">
        <x:v>Repeat purchase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 t="str">
        <x:v>ORD-00107</x:v>
      </x:c>
      <x:c r="B108" s="1" t="str">
        <x:v>ACC-0032</x:v>
      </x:c>
      <x:c r="C108" s="19" t="n">
        <x:v>46134</x:v>
      </x:c>
      <x:c r="D108" s="1" t="str">
        <x:v>Labeling System</x:v>
      </x:c>
      <x:c r="E108" s="1" t="str">
        <x:v>Northeast</x:v>
      </x:c>
      <x:c r="F108" s="20" t="n">
        <x:v>78200</x:v>
      </x:c>
      <x:c r="G108" s="1" t="str">
        <x:v>New business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 t="str">
        <x:v>ORD-00108</x:v>
      </x:c>
      <x:c r="B109" s="1" t="str">
        <x:v>ACC-0032</x:v>
      </x:c>
      <x:c r="C109" s="19" t="n">
        <x:v>46180</x:v>
      </x:c>
      <x:c r="D109" s="1" t="str">
        <x:v>Case Packer</x:v>
      </x:c>
      <x:c r="E109" s="1" t="str">
        <x:v>Northeast</x:v>
      </x:c>
      <x:c r="F109" s="20" t="n">
        <x:v>120300</x:v>
      </x:c>
      <x:c r="G109" s="1" t="str">
        <x:v>Repeat purchase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 t="str">
        <x:v>ORD-00109</x:v>
      </x:c>
      <x:c r="B110" s="1" t="str">
        <x:v>ACC-0033</x:v>
      </x:c>
      <x:c r="C110" s="19" t="n">
        <x:v>45430</x:v>
      </x:c>
      <x:c r="D110" s="1" t="str">
        <x:v>Pouch Filler</x:v>
      </x:c>
      <x:c r="E110" s="1" t="str">
        <x:v>South</x:v>
      </x:c>
      <x:c r="F110" s="20" t="n">
        <x:v>184800</x:v>
      </x:c>
      <x:c r="G110" s="1" t="str">
        <x:v>New business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 t="str">
        <x:v>ORD-00110</x:v>
      </x:c>
      <x:c r="B111" s="1" t="str">
        <x:v>ACC-0033</x:v>
      </x:c>
      <x:c r="C111" s="19" t="n">
        <x:v>45737</x:v>
      </x:c>
      <x:c r="D111" s="1" t="str">
        <x:v>Cartoning Machine</x:v>
      </x:c>
      <x:c r="E111" s="1" t="str">
        <x:v>South</x:v>
      </x:c>
      <x:c r="F111" s="20" t="n">
        <x:v>127500</x:v>
      </x:c>
      <x:c r="G111" s="1" t="str">
        <x:v>Repeat purchase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 t="str">
        <x:v>ORD-00111</x:v>
      </x:c>
      <x:c r="B112" s="1" t="str">
        <x:v>ACC-0034</x:v>
      </x:c>
      <x:c r="C112" s="19" t="n">
        <x:v>45571</x:v>
      </x:c>
      <x:c r="D112" s="1" t="str">
        <x:v>Pouch Filler</x:v>
      </x:c>
      <x:c r="E112" s="1" t="str">
        <x:v>West</x:v>
      </x:c>
      <x:c r="F112" s="20" t="n">
        <x:v>33700</x:v>
      </x:c>
      <x:c r="G112" s="1" t="str">
        <x:v>New business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 t="str">
        <x:v>ORD-00112</x:v>
      </x:c>
      <x:c r="B113" s="1" t="str">
        <x:v>ACC-0034</x:v>
      </x:c>
      <x:c r="C113" s="19" t="n">
        <x:v>45771</x:v>
      </x:c>
      <x:c r="D113" s="1" t="str">
        <x:v>Pouch Filler</x:v>
      </x:c>
      <x:c r="E113" s="1" t="str">
        <x:v>West</x:v>
      </x:c>
      <x:c r="F113" s="20" t="n">
        <x:v>148800</x:v>
      </x:c>
      <x:c r="G113" s="1" t="str">
        <x:v>Repeat purchase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 t="str">
        <x:v>ORD-00113</x:v>
      </x:c>
      <x:c r="B114" s="1" t="str">
        <x:v>ACC-0035</x:v>
      </x:c>
      <x:c r="C114" s="19" t="n">
        <x:v>45966</x:v>
      </x:c>
      <x:c r="D114" s="1" t="str">
        <x:v>Labeling System</x:v>
      </x:c>
      <x:c r="E114" s="1" t="str">
        <x:v>West</x:v>
      </x:c>
      <x:c r="F114" s="20" t="n">
        <x:v>141100</x:v>
      </x:c>
      <x:c r="G114" s="1" t="str">
        <x:v>New business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 t="str">
        <x:v>ORD-00114</x:v>
      </x:c>
      <x:c r="B115" s="1" t="str">
        <x:v>ACC-0035</x:v>
      </x:c>
      <x:c r="C115" s="19" t="n">
        <x:v>46033</x:v>
      </x:c>
      <x:c r="D115" s="1" t="str">
        <x:v>Pouch Filler</x:v>
      </x:c>
      <x:c r="E115" s="1" t="str">
        <x:v>West</x:v>
      </x:c>
      <x:c r="F115" s="20" t="n">
        <x:v>139300</x:v>
      </x:c>
      <x:c r="G115" s="1" t="str">
        <x:v>Repeat purchase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 t="str">
        <x:v>ORD-00115</x:v>
      </x:c>
      <x:c r="B116" s="1" t="str">
        <x:v>ACC-0035</x:v>
      </x:c>
      <x:c r="C116" s="19" t="n">
        <x:v>46202</x:v>
      </x:c>
      <x:c r="D116" s="1" t="str">
        <x:v>Pouch Filler</x:v>
      </x:c>
      <x:c r="E116" s="1" t="str">
        <x:v>West</x:v>
      </x:c>
      <x:c r="F116" s="20" t="n">
        <x:v>113100</x:v>
      </x:c>
      <x:c r="G116" s="1" t="str">
        <x:v>Repeat purchase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 t="str">
        <x:v>ORD-00116</x:v>
      </x:c>
      <x:c r="B117" s="1" t="str">
        <x:v>ACC-0036</x:v>
      </x:c>
      <x:c r="C117" s="19" t="n">
        <x:v>45895</x:v>
      </x:c>
      <x:c r="D117" s="1" t="str">
        <x:v>Case Packer</x:v>
      </x:c>
      <x:c r="E117" s="1" t="str">
        <x:v>West</x:v>
      </x:c>
      <x:c r="F117" s="20" t="n">
        <x:v>183800</x:v>
      </x:c>
      <x:c r="G117" s="1" t="str">
        <x:v>New business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 t="str">
        <x:v>ORD-00117</x:v>
      </x:c>
      <x:c r="B118" s="1" t="str">
        <x:v>ACC-0036</x:v>
      </x:c>
      <x:c r="C118" s="19" t="n">
        <x:v>45943</x:v>
      </x:c>
      <x:c r="D118" s="1" t="str">
        <x:v>Cartoning Machine</x:v>
      </x:c>
      <x:c r="E118" s="1" t="str">
        <x:v>West</x:v>
      </x:c>
      <x:c r="F118" s="20" t="n">
        <x:v>101700</x:v>
      </x:c>
      <x:c r="G118" s="1" t="str">
        <x:v>Repeat purchase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 t="str">
        <x:v>ORD-00118</x:v>
      </x:c>
      <x:c r="B119" s="1" t="str">
        <x:v>ACC-0036</x:v>
      </x:c>
      <x:c r="C119" s="19" t="n">
        <x:v>46043</x:v>
      </x:c>
      <x:c r="D119" s="1" t="str">
        <x:v>Service &amp; Parts</x:v>
      </x:c>
      <x:c r="E119" s="1" t="str">
        <x:v>West</x:v>
      </x:c>
      <x:c r="F119" s="20" t="n">
        <x:v>33100</x:v>
      </x:c>
      <x:c r="G119" s="1" t="str">
        <x:v>Repeat purchase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 t="str">
        <x:v>ORD-00119</x:v>
      </x:c>
      <x:c r="B120" s="1" t="str">
        <x:v>ACC-0036</x:v>
      </x:c>
      <x:c r="C120" s="19" t="n">
        <x:v>46187</x:v>
      </x:c>
      <x:c r="D120" s="1" t="str">
        <x:v>Labeling System</x:v>
      </x:c>
      <x:c r="E120" s="1" t="str">
        <x:v>West</x:v>
      </x:c>
      <x:c r="F120" s="20" t="n">
        <x:v>165900</x:v>
      </x:c>
      <x:c r="G120" s="1" t="str">
        <x:v>Repeat purchase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 t="str">
        <x:v>ORD-00120</x:v>
      </x:c>
      <x:c r="B121" s="1" t="str">
        <x:v>ACC-0037</x:v>
      </x:c>
      <x:c r="C121" s="19" t="n">
        <x:v>45589</x:v>
      </x:c>
      <x:c r="D121" s="1" t="str">
        <x:v>Pouch Filler</x:v>
      </x:c>
      <x:c r="E121" s="1" t="str">
        <x:v>Northeast</x:v>
      </x:c>
      <x:c r="F121" s="20" t="n">
        <x:v>69700</x:v>
      </x:c>
      <x:c r="G121" s="1" t="str">
        <x:v>New business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 t="str">
        <x:v>ORD-00121</x:v>
      </x:c>
      <x:c r="B122" s="1" t="str">
        <x:v>ACC-0037</x:v>
      </x:c>
      <x:c r="C122" s="19" t="n">
        <x:v>45907</x:v>
      </x:c>
      <x:c r="D122" s="1" t="str">
        <x:v>Cartoning Machine</x:v>
      </x:c>
      <x:c r="E122" s="1" t="str">
        <x:v>Northeast</x:v>
      </x:c>
      <x:c r="F122" s="20" t="n">
        <x:v>118900</x:v>
      </x:c>
      <x:c r="G122" s="1" t="str">
        <x:v>Repeat purchase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 t="str">
        <x:v>ORD-00122</x:v>
      </x:c>
      <x:c r="B123" s="1" t="str">
        <x:v>ACC-0037</x:v>
      </x:c>
      <x:c r="C123" s="19" t="n">
        <x:v>46028</x:v>
      </x:c>
      <x:c r="D123" s="1" t="str">
        <x:v>Cartoning Machine</x:v>
      </x:c>
      <x:c r="E123" s="1" t="str">
        <x:v>Northeast</x:v>
      </x:c>
      <x:c r="F123" s="20" t="n">
        <x:v>138700</x:v>
      </x:c>
      <x:c r="G123" s="1" t="str">
        <x:v>Repeat purchase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 t="str">
        <x:v>ORD-00123</x:v>
      </x:c>
      <x:c r="B124" s="1" t="str">
        <x:v>ACC-0037</x:v>
      </x:c>
      <x:c r="C124" s="19" t="n">
        <x:v>46043</x:v>
      </x:c>
      <x:c r="D124" s="1" t="str">
        <x:v>Service &amp; Parts</x:v>
      </x:c>
      <x:c r="E124" s="1" t="str">
        <x:v>Northeast</x:v>
      </x:c>
      <x:c r="F124" s="20" t="n">
        <x:v>25900</x:v>
      </x:c>
      <x:c r="G124" s="1" t="str">
        <x:v>Repeat purchase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 t="str">
        <x:v>ORD-00124</x:v>
      </x:c>
      <x:c r="B125" s="1" t="str">
        <x:v>ACC-0037</x:v>
      </x:c>
      <x:c r="C125" s="19" t="n">
        <x:v>46085</x:v>
      </x:c>
      <x:c r="D125" s="1" t="str">
        <x:v>Labeling System</x:v>
      </x:c>
      <x:c r="E125" s="1" t="str">
        <x:v>Northeast</x:v>
      </x:c>
      <x:c r="F125" s="20" t="n">
        <x:v>111700</x:v>
      </x:c>
      <x:c r="G125" s="1" t="str">
        <x:v>Repeat purchase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 t="str">
        <x:v>ORD-00125</x:v>
      </x:c>
      <x:c r="B126" s="1" t="str">
        <x:v>ACC-0037</x:v>
      </x:c>
      <x:c r="C126" s="19" t="n">
        <x:v>46102</x:v>
      </x:c>
      <x:c r="D126" s="1" t="str">
        <x:v>Labeling System</x:v>
      </x:c>
      <x:c r="E126" s="1" t="str">
        <x:v>Northeast</x:v>
      </x:c>
      <x:c r="F126" s="20" t="n">
        <x:v>142900</x:v>
      </x:c>
      <x:c r="G126" s="1" t="str">
        <x:v>Repeat purchase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 t="str">
        <x:v>ORD-00126</x:v>
      </x:c>
      <x:c r="B127" s="1" t="str">
        <x:v>ACC-0038</x:v>
      </x:c>
      <x:c r="C127" s="19" t="n">
        <x:v>45927</x:v>
      </x:c>
      <x:c r="D127" s="1" t="str">
        <x:v>Pouch Filler</x:v>
      </x:c>
      <x:c r="E127" s="1" t="str">
        <x:v>West</x:v>
      </x:c>
      <x:c r="F127" s="20" t="n">
        <x:v>65700</x:v>
      </x:c>
      <x:c r="G127" s="1" t="str">
        <x:v>New business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 t="str">
        <x:v>ORD-00127</x:v>
      </x:c>
      <x:c r="B128" s="1" t="str">
        <x:v>ACC-0038</x:v>
      </x:c>
      <x:c r="C128" s="19" t="n">
        <x:v>46001</x:v>
      </x:c>
      <x:c r="D128" s="1" t="str">
        <x:v>Service &amp; Parts</x:v>
      </x:c>
      <x:c r="E128" s="1" t="str">
        <x:v>West</x:v>
      </x:c>
      <x:c r="F128" s="20" t="n">
        <x:v>33000</x:v>
      </x:c>
      <x:c r="G128" s="1" t="str">
        <x:v>Repeat purchase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 t="str">
        <x:v>ORD-00128</x:v>
      </x:c>
      <x:c r="B129" s="1" t="str">
        <x:v>ACC-0038</x:v>
      </x:c>
      <x:c r="C129" s="19" t="n">
        <x:v>46121</x:v>
      </x:c>
      <x:c r="D129" s="1" t="str">
        <x:v>Pouch Filler</x:v>
      </x:c>
      <x:c r="E129" s="1" t="str">
        <x:v>West</x:v>
      </x:c>
      <x:c r="F129" s="20" t="n">
        <x:v>199300</x:v>
      </x:c>
      <x:c r="G129" s="1" t="str">
        <x:v>Repeat purchase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 t="str">
        <x:v>ORD-00129</x:v>
      </x:c>
      <x:c r="B130" s="1" t="str">
        <x:v>ACC-0038</x:v>
      </x:c>
      <x:c r="C130" s="19" t="n">
        <x:v>46138</x:v>
      </x:c>
      <x:c r="D130" s="1" t="str">
        <x:v>Service &amp; Parts</x:v>
      </x:c>
      <x:c r="E130" s="1" t="str">
        <x:v>West</x:v>
      </x:c>
      <x:c r="F130" s="20" t="n">
        <x:v>10900</x:v>
      </x:c>
      <x:c r="G130" s="1" t="str">
        <x:v>Repeat purchase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 t="str">
        <x:v>ORD-00130</x:v>
      </x:c>
      <x:c r="B131" s="1" t="str">
        <x:v>ACC-0039</x:v>
      </x:c>
      <x:c r="C131" s="19" t="n">
        <x:v>45312</x:v>
      </x:c>
      <x:c r="D131" s="1" t="str">
        <x:v>Service &amp; Parts</x:v>
      </x:c>
      <x:c r="E131" s="1" t="str">
        <x:v>South</x:v>
      </x:c>
      <x:c r="F131" s="20" t="n">
        <x:v>13100</x:v>
      </x:c>
      <x:c r="G131" s="1" t="str">
        <x:v>New business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 t="str">
        <x:v>ORD-00131</x:v>
      </x:c>
      <x:c r="B132" s="1" t="str">
        <x:v>ACC-0039</x:v>
      </x:c>
      <x:c r="C132" s="19" t="n">
        <x:v>45356</x:v>
      </x:c>
      <x:c r="D132" s="1" t="str">
        <x:v>Service &amp; Parts</x:v>
      </x:c>
      <x:c r="E132" s="1" t="str">
        <x:v>South</x:v>
      </x:c>
      <x:c r="F132" s="20" t="n">
        <x:v>22300</x:v>
      </x:c>
      <x:c r="G132" s="1" t="str">
        <x:v>Repeat purchase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 t="str">
        <x:v>ORD-00132</x:v>
      </x:c>
      <x:c r="B133" s="1" t="str">
        <x:v>ACC-0039</x:v>
      </x:c>
      <x:c r="C133" s="19" t="n">
        <x:v>45633</x:v>
      </x:c>
      <x:c r="D133" s="1" t="str">
        <x:v>Pouch Filler</x:v>
      </x:c>
      <x:c r="E133" s="1" t="str">
        <x:v>South</x:v>
      </x:c>
      <x:c r="F133" s="20" t="n">
        <x:v>194100</x:v>
      </x:c>
      <x:c r="G133" s="1" t="str">
        <x:v>Repeat purchase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 t="str">
        <x:v>ORD-00133</x:v>
      </x:c>
      <x:c r="B134" s="1" t="str">
        <x:v>ACC-0039</x:v>
      </x:c>
      <x:c r="C134" s="19" t="n">
        <x:v>45663</x:v>
      </x:c>
      <x:c r="D134" s="1" t="str">
        <x:v>Cartoning Machine</x:v>
      </x:c>
      <x:c r="E134" s="1" t="str">
        <x:v>South</x:v>
      </x:c>
      <x:c r="F134" s="20" t="n">
        <x:v>251000</x:v>
      </x:c>
      <x:c r="G134" s="1" t="str">
        <x:v>Repeat purchase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 t="str">
        <x:v>ORD-00134</x:v>
      </x:c>
      <x:c r="B135" s="1" t="str">
        <x:v>ACC-0039</x:v>
      </x:c>
      <x:c r="C135" s="19" t="n">
        <x:v>45816</x:v>
      </x:c>
      <x:c r="D135" s="1" t="str">
        <x:v>Cartoning Machine</x:v>
      </x:c>
      <x:c r="E135" s="1" t="str">
        <x:v>South</x:v>
      </x:c>
      <x:c r="F135" s="20" t="n">
        <x:v>68900</x:v>
      </x:c>
      <x:c r="G135" s="1" t="str">
        <x:v>Repeat purchase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 t="str">
        <x:v>ORD-00135</x:v>
      </x:c>
      <x:c r="B136" s="1" t="str">
        <x:v>ACC-0039</x:v>
      </x:c>
      <x:c r="C136" s="19" t="n">
        <x:v>45859</x:v>
      </x:c>
      <x:c r="D136" s="1" t="str">
        <x:v>Case Packer</x:v>
      </x:c>
      <x:c r="E136" s="1" t="str">
        <x:v>South</x:v>
      </x:c>
      <x:c r="F136" s="20" t="n">
        <x:v>182400</x:v>
      </x:c>
      <x:c r="G136" s="1" t="str">
        <x:v>Repeat purchase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 t="str">
        <x:v>ORD-00136</x:v>
      </x:c>
      <x:c r="B137" s="1" t="str">
        <x:v>ACC-0039</x:v>
      </x:c>
      <x:c r="C137" s="19" t="n">
        <x:v>45932</x:v>
      </x:c>
      <x:c r="D137" s="1" t="str">
        <x:v>Case Packer</x:v>
      </x:c>
      <x:c r="E137" s="1" t="str">
        <x:v>South</x:v>
      </x:c>
      <x:c r="F137" s="20" t="n">
        <x:v>214700</x:v>
      </x:c>
      <x:c r="G137" s="1" t="str">
        <x:v>Repeat purchase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 t="str">
        <x:v>ORD-00137</x:v>
      </x:c>
      <x:c r="B138" s="1" t="str">
        <x:v>ACC-0039</x:v>
      </x:c>
      <x:c r="C138" s="19" t="n">
        <x:v>46124</x:v>
      </x:c>
      <x:c r="D138" s="1" t="str">
        <x:v>Case Packer</x:v>
      </x:c>
      <x:c r="E138" s="1" t="str">
        <x:v>South</x:v>
      </x:c>
      <x:c r="F138" s="20" t="n">
        <x:v>83900</x:v>
      </x:c>
      <x:c r="G138" s="1" t="str">
        <x:v>Repeat purchase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 t="str">
        <x:v>ORD-00138</x:v>
      </x:c>
      <x:c r="B139" s="1" t="str">
        <x:v>ACC-0040</x:v>
      </x:c>
      <x:c r="C139" s="19" t="n">
        <x:v>45721</x:v>
      </x:c>
      <x:c r="D139" s="1" t="str">
        <x:v>Cartoning Machine</x:v>
      </x:c>
      <x:c r="E139" s="1" t="str">
        <x:v>Midwest</x:v>
      </x:c>
      <x:c r="F139" s="20" t="n">
        <x:v>152600</x:v>
      </x:c>
      <x:c r="G139" s="1" t="str">
        <x:v>New business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 t="str">
        <x:v>ORD-00139</x:v>
      </x:c>
      <x:c r="B140" s="1" t="str">
        <x:v>ACC-0040</x:v>
      </x:c>
      <x:c r="C140" s="19" t="n">
        <x:v>45820</x:v>
      </x:c>
      <x:c r="D140" s="1" t="str">
        <x:v>Case Packer</x:v>
      </x:c>
      <x:c r="E140" s="1" t="str">
        <x:v>Midwest</x:v>
      </x:c>
      <x:c r="F140" s="20" t="n">
        <x:v>74200</x:v>
      </x:c>
      <x:c r="G140" s="1" t="str">
        <x:v>Repeat purchase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 t="str">
        <x:v>ORD-00140</x:v>
      </x:c>
      <x:c r="B141" s="1" t="str">
        <x:v>ACC-0040</x:v>
      </x:c>
      <x:c r="C141" s="19" t="n">
        <x:v>45836</x:v>
      </x:c>
      <x:c r="D141" s="1" t="str">
        <x:v>Pouch Filler</x:v>
      </x:c>
      <x:c r="E141" s="1" t="str">
        <x:v>Midwest</x:v>
      </x:c>
      <x:c r="F141" s="20" t="n">
        <x:v>135900</x:v>
      </x:c>
      <x:c r="G141" s="1" t="str">
        <x:v>Repeat purchase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 t="str">
        <x:v>ORD-00141</x:v>
      </x:c>
      <x:c r="B142" s="1" t="str">
        <x:v>ACC-0040</x:v>
      </x:c>
      <x:c r="C142" s="19" t="n">
        <x:v>45841</x:v>
      </x:c>
      <x:c r="D142" s="1" t="str">
        <x:v>Pouch Filler</x:v>
      </x:c>
      <x:c r="E142" s="1" t="str">
        <x:v>Midwest</x:v>
      </x:c>
      <x:c r="F142" s="20" t="n">
        <x:v>125200</x:v>
      </x:c>
      <x:c r="G142" s="1" t="str">
        <x:v>Repeat purchase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 t="str">
        <x:v>ORD-00142</x:v>
      </x:c>
      <x:c r="B143" s="1" t="str">
        <x:v>ACC-0040</x:v>
      </x:c>
      <x:c r="C143" s="19" t="n">
        <x:v>45886</x:v>
      </x:c>
      <x:c r="D143" s="1" t="str">
        <x:v>Labeling System</x:v>
      </x:c>
      <x:c r="E143" s="1" t="str">
        <x:v>Midwest</x:v>
      </x:c>
      <x:c r="F143" s="20" t="n">
        <x:v>174000</x:v>
      </x:c>
      <x:c r="G143" s="1" t="str">
        <x:v>Repeat purchase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 t="str">
        <x:v>ORD-00143</x:v>
      </x:c>
      <x:c r="B144" s="1" t="str">
        <x:v>ACC-0040</x:v>
      </x:c>
      <x:c r="C144" s="19" t="n">
        <x:v>46066</x:v>
      </x:c>
      <x:c r="D144" s="1" t="str">
        <x:v>Case Packer</x:v>
      </x:c>
      <x:c r="E144" s="1" t="str">
        <x:v>Midwest</x:v>
      </x:c>
      <x:c r="F144" s="20" t="n">
        <x:v>103400</x:v>
      </x:c>
      <x:c r="G144" s="1" t="str">
        <x:v>Repeat purchase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 t="str">
        <x:v>ORD-00144</x:v>
      </x:c>
      <x:c r="B145" s="1" t="str">
        <x:v>ACC-0041</x:v>
      </x:c>
      <x:c r="C145" s="19" t="n">
        <x:v>46172</x:v>
      </x:c>
      <x:c r="D145" s="1" t="str">
        <x:v>Service &amp; Parts</x:v>
      </x:c>
      <x:c r="E145" s="1" t="str">
        <x:v>Midwest</x:v>
      </x:c>
      <x:c r="F145" s="20" t="n">
        <x:v>13100</x:v>
      </x:c>
      <x:c r="G145" s="1" t="str">
        <x:v>New business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 t="str">
        <x:v>ORD-00145</x:v>
      </x:c>
      <x:c r="B146" s="1" t="str">
        <x:v>ACC-0041</x:v>
      </x:c>
      <x:c r="C146" s="19" t="n">
        <x:v>46194</x:v>
      </x:c>
      <x:c r="D146" s="1" t="str">
        <x:v>Labeling System</x:v>
      </x:c>
      <x:c r="E146" s="1" t="str">
        <x:v>Midwest</x:v>
      </x:c>
      <x:c r="F146" s="20" t="n">
        <x:v>192100</x:v>
      </x:c>
      <x:c r="G146" s="1" t="str">
        <x:v>Repeat purchase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 t="str">
        <x:v>ORD-00146</x:v>
      </x:c>
      <x:c r="B147" s="1" t="str">
        <x:v>ACC-0042</x:v>
      </x:c>
      <x:c r="C147" s="19" t="n">
        <x:v>45460</x:v>
      </x:c>
      <x:c r="D147" s="1" t="str">
        <x:v>Cartoning Machine</x:v>
      </x:c>
      <x:c r="E147" s="1" t="str">
        <x:v>Midwest</x:v>
      </x:c>
      <x:c r="F147" s="20" t="n">
        <x:v>176800</x:v>
      </x:c>
      <x:c r="G147" s="1" t="str">
        <x:v>New business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 t="str">
        <x:v>ORD-00147</x:v>
      </x:c>
      <x:c r="B148" s="1" t="str">
        <x:v>ACC-0042</x:v>
      </x:c>
      <x:c r="C148" s="19" t="n">
        <x:v>45615</x:v>
      </x:c>
      <x:c r="D148" s="1" t="str">
        <x:v>Cartoning Machine</x:v>
      </x:c>
      <x:c r="E148" s="1" t="str">
        <x:v>Midwest</x:v>
      </x:c>
      <x:c r="F148" s="20" t="n">
        <x:v>260700</x:v>
      </x:c>
      <x:c r="G148" s="1" t="str">
        <x:v>Repeat purchase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 t="str">
        <x:v>ORD-00148</x:v>
      </x:c>
      <x:c r="B149" s="1" t="str">
        <x:v>ACC-0042</x:v>
      </x:c>
      <x:c r="C149" s="19" t="n">
        <x:v>45662</x:v>
      </x:c>
      <x:c r="D149" s="1" t="str">
        <x:v>Case Packer</x:v>
      </x:c>
      <x:c r="E149" s="1" t="str">
        <x:v>Midwest</x:v>
      </x:c>
      <x:c r="F149" s="20" t="n">
        <x:v>225300</x:v>
      </x:c>
      <x:c r="G149" s="1" t="str">
        <x:v>Repeat purchase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 t="str">
        <x:v>ORD-00149</x:v>
      </x:c>
      <x:c r="B150" s="1" t="str">
        <x:v>ACC-0042</x:v>
      </x:c>
      <x:c r="C150" s="19" t="n">
        <x:v>45668</x:v>
      </x:c>
      <x:c r="D150" s="1" t="str">
        <x:v>Pouch Filler</x:v>
      </x:c>
      <x:c r="E150" s="1" t="str">
        <x:v>Midwest</x:v>
      </x:c>
      <x:c r="F150" s="20" t="n">
        <x:v>134500</x:v>
      </x:c>
      <x:c r="G150" s="1" t="str">
        <x:v>Repeat purchase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 t="str">
        <x:v>ORD-00150</x:v>
      </x:c>
      <x:c r="B151" s="1" t="str">
        <x:v>ACC-0042</x:v>
      </x:c>
      <x:c r="C151" s="19" t="n">
        <x:v>46020</x:v>
      </x:c>
      <x:c r="D151" s="1" t="str">
        <x:v>Case Packer</x:v>
      </x:c>
      <x:c r="E151" s="1" t="str">
        <x:v>Midwest</x:v>
      </x:c>
      <x:c r="F151" s="20" t="n">
        <x:v>88400</x:v>
      </x:c>
      <x:c r="G151" s="1" t="str">
        <x:v>Repeat purchase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 t="str">
        <x:v>ORD-00151</x:v>
      </x:c>
      <x:c r="B152" s="1" t="str">
        <x:v>ACC-0042</x:v>
      </x:c>
      <x:c r="C152" s="19" t="n">
        <x:v>46072</x:v>
      </x:c>
      <x:c r="D152" s="1" t="str">
        <x:v>Pouch Filler</x:v>
      </x:c>
      <x:c r="E152" s="1" t="str">
        <x:v>Midwest</x:v>
      </x:c>
      <x:c r="F152" s="20" t="n">
        <x:v>69600</x:v>
      </x:c>
      <x:c r="G152" s="1" t="str">
        <x:v>Repeat purchase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 t="str">
        <x:v>ORD-00152</x:v>
      </x:c>
      <x:c r="B153" s="1" t="str">
        <x:v>ACC-0042</x:v>
      </x:c>
      <x:c r="C153" s="19" t="n">
        <x:v>46090</x:v>
      </x:c>
      <x:c r="D153" s="1" t="str">
        <x:v>Labeling System</x:v>
      </x:c>
      <x:c r="E153" s="1" t="str">
        <x:v>Midwest</x:v>
      </x:c>
      <x:c r="F153" s="20" t="n">
        <x:v>272700</x:v>
      </x:c>
      <x:c r="G153" s="1" t="str">
        <x:v>Repeat purchase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 t="str">
        <x:v>ORD-00153</x:v>
      </x:c>
      <x:c r="B154" s="1" t="str">
        <x:v>ACC-0043</x:v>
      </x:c>
      <x:c r="C154" s="19" t="n">
        <x:v>45573</x:v>
      </x:c>
      <x:c r="D154" s="1" t="str">
        <x:v>Labeling System</x:v>
      </x:c>
      <x:c r="E154" s="1" t="str">
        <x:v>West</x:v>
      </x:c>
      <x:c r="F154" s="20" t="n">
        <x:v>58200</x:v>
      </x:c>
      <x:c r="G154" s="1" t="str">
        <x:v>New business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 t="str">
        <x:v>ORD-00154</x:v>
      </x:c>
      <x:c r="B155" s="1" t="str">
        <x:v>ACC-0043</x:v>
      </x:c>
      <x:c r="C155" s="19" t="n">
        <x:v>45600</x:v>
      </x:c>
      <x:c r="D155" s="1" t="str">
        <x:v>Cartoning Machine</x:v>
      </x:c>
      <x:c r="E155" s="1" t="str">
        <x:v>West</x:v>
      </x:c>
      <x:c r="F155" s="20" t="n">
        <x:v>47500</x:v>
      </x:c>
      <x:c r="G155" s="1" t="str">
        <x:v>Repeat purchase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 t="str">
        <x:v>ORD-00155</x:v>
      </x:c>
      <x:c r="B156" s="1" t="str">
        <x:v>ACC-0043</x:v>
      </x:c>
      <x:c r="C156" s="19" t="n">
        <x:v>45638</x:v>
      </x:c>
      <x:c r="D156" s="1" t="str">
        <x:v>Service &amp; Parts</x:v>
      </x:c>
      <x:c r="E156" s="1" t="str">
        <x:v>West</x:v>
      </x:c>
      <x:c r="F156" s="20" t="n">
        <x:v>9100</x:v>
      </x:c>
      <x:c r="G156" s="1" t="str">
        <x:v>Repeat purchase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 t="str">
        <x:v>ORD-00156</x:v>
      </x:c>
      <x:c r="B157" s="1" t="str">
        <x:v>ACC-0043</x:v>
      </x:c>
      <x:c r="C157" s="19" t="n">
        <x:v>45653</x:v>
      </x:c>
      <x:c r="D157" s="1" t="str">
        <x:v>Case Packer</x:v>
      </x:c>
      <x:c r="E157" s="1" t="str">
        <x:v>West</x:v>
      </x:c>
      <x:c r="F157" s="20" t="n">
        <x:v>141000</x:v>
      </x:c>
      <x:c r="G157" s="1" t="str">
        <x:v>Repeat purchase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 t="str">
        <x:v>ORD-00157</x:v>
      </x:c>
      <x:c r="B158" s="1" t="str">
        <x:v>ACC-0043</x:v>
      </x:c>
      <x:c r="C158" s="19" t="n">
        <x:v>46167</x:v>
      </x:c>
      <x:c r="D158" s="1" t="str">
        <x:v>Service &amp; Parts</x:v>
      </x:c>
      <x:c r="E158" s="1" t="str">
        <x:v>West</x:v>
      </x:c>
      <x:c r="F158" s="20" t="n">
        <x:v>14100</x:v>
      </x:c>
      <x:c r="G158" s="1" t="str">
        <x:v>Repeat purchase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 t="str">
        <x:v>ORD-00158</x:v>
      </x:c>
      <x:c r="B159" s="1" t="str">
        <x:v>ACC-0044</x:v>
      </x:c>
      <x:c r="C159" s="19" t="n">
        <x:v>45456</x:v>
      </x:c>
      <x:c r="D159" s="1" t="str">
        <x:v>Service &amp; Parts</x:v>
      </x:c>
      <x:c r="E159" s="1" t="str">
        <x:v>South</x:v>
      </x:c>
      <x:c r="F159" s="20" t="n">
        <x:v>45100</x:v>
      </x:c>
      <x:c r="G159" s="1" t="str">
        <x:v>New business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 t="str">
        <x:v>ORD-00159</x:v>
      </x:c>
      <x:c r="B160" s="1" t="str">
        <x:v>ACC-0044</x:v>
      </x:c>
      <x:c r="C160" s="19" t="n">
        <x:v>45600</x:v>
      </x:c>
      <x:c r="D160" s="1" t="str">
        <x:v>Cartoning Machine</x:v>
      </x:c>
      <x:c r="E160" s="1" t="str">
        <x:v>South</x:v>
      </x:c>
      <x:c r="F160" s="20" t="n">
        <x:v>159200</x:v>
      </x:c>
      <x:c r="G160" s="1" t="str">
        <x:v>Repeat purchase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 t="str">
        <x:v>ORD-00160</x:v>
      </x:c>
      <x:c r="B161" s="1" t="str">
        <x:v>ACC-0044</x:v>
      </x:c>
      <x:c r="C161" s="19" t="n">
        <x:v>46096</x:v>
      </x:c>
      <x:c r="D161" s="1" t="str">
        <x:v>Service &amp; Parts</x:v>
      </x:c>
      <x:c r="E161" s="1" t="str">
        <x:v>South</x:v>
      </x:c>
      <x:c r="F161" s="20" t="n">
        <x:v>35100</x:v>
      </x:c>
      <x:c r="G161" s="1" t="str">
        <x:v>Repeat purchase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 t="str">
        <x:v>ORD-00161</x:v>
      </x:c>
      <x:c r="B162" s="1" t="str">
        <x:v>ACC-0045</x:v>
      </x:c>
      <x:c r="C162" s="19" t="n">
        <x:v>45612</x:v>
      </x:c>
      <x:c r="D162" s="1" t="str">
        <x:v>Case Packer</x:v>
      </x:c>
      <x:c r="E162" s="1" t="str">
        <x:v>South</x:v>
      </x:c>
      <x:c r="F162" s="20" t="n">
        <x:v>60200</x:v>
      </x:c>
      <x:c r="G162" s="1" t="str">
        <x:v>New business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 t="str">
        <x:v>ORD-00162</x:v>
      </x:c>
      <x:c r="B163" s="1" t="str">
        <x:v>ACC-0045</x:v>
      </x:c>
      <x:c r="C163" s="19" t="n">
        <x:v>45620</x:v>
      </x:c>
      <x:c r="D163" s="1" t="str">
        <x:v>Service &amp; Parts</x:v>
      </x:c>
      <x:c r="E163" s="1" t="str">
        <x:v>South</x:v>
      </x:c>
      <x:c r="F163" s="20" t="n">
        <x:v>8900</x:v>
      </x:c>
      <x:c r="G163" s="1" t="str">
        <x:v>Repeat purchase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 t="str">
        <x:v>ORD-00163</x:v>
      </x:c>
      <x:c r="B164" s="1" t="str">
        <x:v>ACC-0045</x:v>
      </x:c>
      <x:c r="C164" s="19" t="n">
        <x:v>46097</x:v>
      </x:c>
      <x:c r="D164" s="1" t="str">
        <x:v>Service &amp; Parts</x:v>
      </x:c>
      <x:c r="E164" s="1" t="str">
        <x:v>South</x:v>
      </x:c>
      <x:c r="F164" s="20" t="n">
        <x:v>16300</x:v>
      </x:c>
      <x:c r="G164" s="1" t="str">
        <x:v>Repeat purchase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 t="str">
        <x:v>ORD-00164</x:v>
      </x:c>
      <x:c r="B165" s="1" t="str">
        <x:v>ACC-0045</x:v>
      </x:c>
      <x:c r="C165" s="19" t="n">
        <x:v>46150</x:v>
      </x:c>
      <x:c r="D165" s="1" t="str">
        <x:v>Pouch Filler</x:v>
      </x:c>
      <x:c r="E165" s="1" t="str">
        <x:v>South</x:v>
      </x:c>
      <x:c r="F165" s="20" t="n">
        <x:v>133800</x:v>
      </x:c>
      <x:c r="G165" s="1" t="str">
        <x:v>Repeat purchase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 t="str">
        <x:v>ORD-00165</x:v>
      </x:c>
      <x:c r="B166" s="1" t="str">
        <x:v>ACC-0046</x:v>
      </x:c>
      <x:c r="C166" s="19" t="n">
        <x:v>45689</x:v>
      </x:c>
      <x:c r="D166" s="1" t="str">
        <x:v>Case Packer</x:v>
      </x:c>
      <x:c r="E166" s="1" t="str">
        <x:v>Northeast</x:v>
      </x:c>
      <x:c r="F166" s="20" t="n">
        <x:v>174700</x:v>
      </x:c>
      <x:c r="G166" s="1" t="str">
        <x:v>New business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 t="str">
        <x:v>ORD-00166</x:v>
      </x:c>
      <x:c r="B167" s="1" t="str">
        <x:v>ACC-0046</x:v>
      </x:c>
      <x:c r="C167" s="19" t="n">
        <x:v>45742</x:v>
      </x:c>
      <x:c r="D167" s="1" t="str">
        <x:v>Pouch Filler</x:v>
      </x:c>
      <x:c r="E167" s="1" t="str">
        <x:v>Northeast</x:v>
      </x:c>
      <x:c r="F167" s="20" t="n">
        <x:v>166300</x:v>
      </x:c>
      <x:c r="G167" s="1" t="str">
        <x:v>Repeat purchase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 t="str">
        <x:v>ORD-00167</x:v>
      </x:c>
      <x:c r="B168" s="1" t="str">
        <x:v>ACC-0046</x:v>
      </x:c>
      <x:c r="C168" s="19" t="n">
        <x:v>45816</x:v>
      </x:c>
      <x:c r="D168" s="1" t="str">
        <x:v>Labeling System</x:v>
      </x:c>
      <x:c r="E168" s="1" t="str">
        <x:v>Northeast</x:v>
      </x:c>
      <x:c r="F168" s="20" t="n">
        <x:v>156300</x:v>
      </x:c>
      <x:c r="G168" s="1" t="str">
        <x:v>Repeat purchase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 t="str">
        <x:v>ORD-00168</x:v>
      </x:c>
      <x:c r="B169" s="1" t="str">
        <x:v>ACC-0046</x:v>
      </x:c>
      <x:c r="C169" s="19" t="n">
        <x:v>45934</x:v>
      </x:c>
      <x:c r="D169" s="1" t="str">
        <x:v>Service &amp; Parts</x:v>
      </x:c>
      <x:c r="E169" s="1" t="str">
        <x:v>Northeast</x:v>
      </x:c>
      <x:c r="F169" s="20" t="n">
        <x:v>19400</x:v>
      </x:c>
      <x:c r="G169" s="1" t="str">
        <x:v>Repeat purchase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 t="str">
        <x:v>ORD-00169</x:v>
      </x:c>
      <x:c r="B170" s="1" t="str">
        <x:v>ACC-0046</x:v>
      </x:c>
      <x:c r="C170" s="19" t="n">
        <x:v>46137</x:v>
      </x:c>
      <x:c r="D170" s="1" t="str">
        <x:v>Labeling System</x:v>
      </x:c>
      <x:c r="E170" s="1" t="str">
        <x:v>Northeast</x:v>
      </x:c>
      <x:c r="F170" s="20" t="n">
        <x:v>187400</x:v>
      </x:c>
      <x:c r="G170" s="1" t="str">
        <x:v>Repeat purchase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 t="str">
        <x:v>ORD-00170</x:v>
      </x:c>
      <x:c r="B171" s="1" t="str">
        <x:v>ACC-0046</x:v>
      </x:c>
      <x:c r="C171" s="19" t="n">
        <x:v>46179</x:v>
      </x:c>
      <x:c r="D171" s="1" t="str">
        <x:v>Cartoning Machine</x:v>
      </x:c>
      <x:c r="E171" s="1" t="str">
        <x:v>Northeast</x:v>
      </x:c>
      <x:c r="F171" s="20" t="n">
        <x:v>108900</x:v>
      </x:c>
      <x:c r="G171" s="1" t="str">
        <x:v>Repeat purchase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 t="str">
        <x:v>ORD-00171</x:v>
      </x:c>
      <x:c r="B172" s="1" t="str">
        <x:v>ACC-0047</x:v>
      </x:c>
      <x:c r="C172" s="19" t="n">
        <x:v>45689</x:v>
      </x:c>
      <x:c r="D172" s="1" t="str">
        <x:v>Pouch Filler</x:v>
      </x:c>
      <x:c r="E172" s="1" t="str">
        <x:v>South</x:v>
      </x:c>
      <x:c r="F172" s="20" t="n">
        <x:v>46400</x:v>
      </x:c>
      <x:c r="G172" s="1" t="str">
        <x:v>New business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 t="str">
        <x:v>ORD-00172</x:v>
      </x:c>
      <x:c r="B173" s="1" t="str">
        <x:v>ACC-0047</x:v>
      </x:c>
      <x:c r="C173" s="19" t="n">
        <x:v>45722</x:v>
      </x:c>
      <x:c r="D173" s="1" t="str">
        <x:v>Case Packer</x:v>
      </x:c>
      <x:c r="E173" s="1" t="str">
        <x:v>South</x:v>
      </x:c>
      <x:c r="F173" s="20" t="n">
        <x:v>63600</x:v>
      </x:c>
      <x:c r="G173" s="1" t="str">
        <x:v>Repeat purchase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 t="str">
        <x:v>ORD-00173</x:v>
      </x:c>
      <x:c r="B174" s="1" t="str">
        <x:v>ACC-0047</x:v>
      </x:c>
      <x:c r="C174" s="19" t="n">
        <x:v>45766</x:v>
      </x:c>
      <x:c r="D174" s="1" t="str">
        <x:v>Labeling System</x:v>
      </x:c>
      <x:c r="E174" s="1" t="str">
        <x:v>South</x:v>
      </x:c>
      <x:c r="F174" s="20" t="n">
        <x:v>76200</x:v>
      </x:c>
      <x:c r="G174" s="1" t="str">
        <x:v>Repeat purchase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 t="str">
        <x:v>ORD-00174</x:v>
      </x:c>
      <x:c r="B175" s="1" t="str">
        <x:v>ACC-0047</x:v>
      </x:c>
      <x:c r="C175" s="19" t="n">
        <x:v>45778</x:v>
      </x:c>
      <x:c r="D175" s="1" t="str">
        <x:v>Service &amp; Parts</x:v>
      </x:c>
      <x:c r="E175" s="1" t="str">
        <x:v>South</x:v>
      </x:c>
      <x:c r="F175" s="20" t="n">
        <x:v>27800</x:v>
      </x:c>
      <x:c r="G175" s="1" t="str">
        <x:v>Repeat purchase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 t="str">
        <x:v>ORD-00175</x:v>
      </x:c>
      <x:c r="B176" s="1" t="str">
        <x:v>ACC-0047</x:v>
      </x:c>
      <x:c r="C176" s="19" t="n">
        <x:v>45838</x:v>
      </x:c>
      <x:c r="D176" s="1" t="str">
        <x:v>Labeling System</x:v>
      </x:c>
      <x:c r="E176" s="1" t="str">
        <x:v>South</x:v>
      </x:c>
      <x:c r="F176" s="20" t="n">
        <x:v>185200</x:v>
      </x:c>
      <x:c r="G176" s="1" t="str">
        <x:v>Repeat purchase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 t="str">
        <x:v>ORD-00176</x:v>
      </x:c>
      <x:c r="B177" s="1" t="str">
        <x:v>ACC-0047</x:v>
      </x:c>
      <x:c r="C177" s="19" t="n">
        <x:v>45944</x:v>
      </x:c>
      <x:c r="D177" s="1" t="str">
        <x:v>Case Packer</x:v>
      </x:c>
      <x:c r="E177" s="1" t="str">
        <x:v>South</x:v>
      </x:c>
      <x:c r="F177" s="20" t="n">
        <x:v>201200</x:v>
      </x:c>
      <x:c r="G177" s="1" t="str">
        <x:v>Repeat purchase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 t="str">
        <x:v>ORD-00177</x:v>
      </x:c>
      <x:c r="B178" s="1" t="str">
        <x:v>ACC-0048</x:v>
      </x:c>
      <x:c r="C178" s="19" t="n">
        <x:v>45493</x:v>
      </x:c>
      <x:c r="D178" s="1" t="str">
        <x:v>Cartoning Machine</x:v>
      </x:c>
      <x:c r="E178" s="1" t="str">
        <x:v>Midwest</x:v>
      </x:c>
      <x:c r="F178" s="20" t="n">
        <x:v>66100</x:v>
      </x:c>
      <x:c r="G178" s="1" t="str">
        <x:v>New business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 t="str">
        <x:v>ORD-00178</x:v>
      </x:c>
      <x:c r="B179" s="1" t="str">
        <x:v>ACC-0048</x:v>
      </x:c>
      <x:c r="C179" s="19" t="n">
        <x:v>45496</x:v>
      </x:c>
      <x:c r="D179" s="1" t="str">
        <x:v>Pouch Filler</x:v>
      </x:c>
      <x:c r="E179" s="1" t="str">
        <x:v>Midwest</x:v>
      </x:c>
      <x:c r="F179" s="20" t="n">
        <x:v>51200</x:v>
      </x:c>
      <x:c r="G179" s="1" t="str">
        <x:v>Repeat purchase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 t="str">
        <x:v>ORD-00179</x:v>
      </x:c>
      <x:c r="B180" s="1" t="str">
        <x:v>ACC-0048</x:v>
      </x:c>
      <x:c r="C180" s="19" t="n">
        <x:v>45807</x:v>
      </x:c>
      <x:c r="D180" s="1" t="str">
        <x:v>Labeling System</x:v>
      </x:c>
      <x:c r="E180" s="1" t="str">
        <x:v>Midwest</x:v>
      </x:c>
      <x:c r="F180" s="20" t="n">
        <x:v>133300</x:v>
      </x:c>
      <x:c r="G180" s="1" t="str">
        <x:v>Repeat purchase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 t="str">
        <x:v>ORD-00180</x:v>
      </x:c>
      <x:c r="B181" s="1" t="str">
        <x:v>ACC-0048</x:v>
      </x:c>
      <x:c r="C181" s="19" t="n">
        <x:v>45845</x:v>
      </x:c>
      <x:c r="D181" s="1" t="str">
        <x:v>Case Packer</x:v>
      </x:c>
      <x:c r="E181" s="1" t="str">
        <x:v>Midwest</x:v>
      </x:c>
      <x:c r="F181" s="20" t="n">
        <x:v>124100</x:v>
      </x:c>
      <x:c r="G181" s="1" t="str">
        <x:v>Repeat purchase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 t="str">
        <x:v>ORD-00181</x:v>
      </x:c>
      <x:c r="B182" s="1" t="str">
        <x:v>ACC-0049</x:v>
      </x:c>
      <x:c r="C182" s="19" t="n">
        <x:v>45541</x:v>
      </x:c>
      <x:c r="D182" s="1" t="str">
        <x:v>Case Packer</x:v>
      </x:c>
      <x:c r="E182" s="1" t="str">
        <x:v>Midwest</x:v>
      </x:c>
      <x:c r="F182" s="20" t="n">
        <x:v>48300</x:v>
      </x:c>
      <x:c r="G182" s="1" t="str">
        <x:v>New business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 t="str">
        <x:v>ORD-00182</x:v>
      </x:c>
      <x:c r="B183" s="1" t="str">
        <x:v>ACC-0049</x:v>
      </x:c>
      <x:c r="C183" s="19" t="n">
        <x:v>45976</x:v>
      </x:c>
      <x:c r="D183" s="1" t="str">
        <x:v>Service &amp; Parts</x:v>
      </x:c>
      <x:c r="E183" s="1" t="str">
        <x:v>Midwest</x:v>
      </x:c>
      <x:c r="F183" s="20" t="n">
        <x:v>12200</x:v>
      </x:c>
      <x:c r="G183" s="1" t="str">
        <x:v>Repeat purchase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 t="str">
        <x:v>ORD-00183</x:v>
      </x:c>
      <x:c r="B184" s="1" t="str">
        <x:v>ACC-0049</x:v>
      </x:c>
      <x:c r="C184" s="19" t="n">
        <x:v>45997</x:v>
      </x:c>
      <x:c r="D184" s="1" t="str">
        <x:v>Case Packer</x:v>
      </x:c>
      <x:c r="E184" s="1" t="str">
        <x:v>Midwest</x:v>
      </x:c>
      <x:c r="F184" s="20" t="n">
        <x:v>93500</x:v>
      </x:c>
      <x:c r="G184" s="1" t="str">
        <x:v>Repeat purchase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 t="str">
        <x:v>ORD-00184</x:v>
      </x:c>
      <x:c r="B185" s="1" t="str">
        <x:v>ACC-0049</x:v>
      </x:c>
      <x:c r="C185" s="19" t="n">
        <x:v>46195</x:v>
      </x:c>
      <x:c r="D185" s="1" t="str">
        <x:v>Labeling System</x:v>
      </x:c>
      <x:c r="E185" s="1" t="str">
        <x:v>Midwest</x:v>
      </x:c>
      <x:c r="F185" s="20" t="n">
        <x:v>123300</x:v>
      </x:c>
      <x:c r="G185" s="1" t="str">
        <x:v>Repeat purchase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 t="str">
        <x:v>ORD-00185</x:v>
      </x:c>
      <x:c r="B186" s="1" t="str">
        <x:v>ACC-0049</x:v>
      </x:c>
      <x:c r="C186" s="19" t="n">
        <x:v>46197</x:v>
      </x:c>
      <x:c r="D186" s="1" t="str">
        <x:v>Pouch Filler</x:v>
      </x:c>
      <x:c r="E186" s="1" t="str">
        <x:v>Midwest</x:v>
      </x:c>
      <x:c r="F186" s="20" t="n">
        <x:v>81700</x:v>
      </x:c>
      <x:c r="G186" s="1" t="str">
        <x:v>Repeat purchase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 t="str">
        <x:v>ORD-00186</x:v>
      </x:c>
      <x:c r="B187" s="1" t="str">
        <x:v>ACC-0050</x:v>
      </x:c>
      <x:c r="C187" s="19" t="n">
        <x:v>45488</x:v>
      </x:c>
      <x:c r="D187" s="1" t="str">
        <x:v>Labeling System</x:v>
      </x:c>
      <x:c r="E187" s="1" t="str">
        <x:v>Midwest</x:v>
      </x:c>
      <x:c r="F187" s="20" t="n">
        <x:v>95100</x:v>
      </x:c>
      <x:c r="G187" s="1" t="str">
        <x:v>New business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 t="str">
        <x:v>ORD-00187</x:v>
      </x:c>
      <x:c r="B188" s="1" t="str">
        <x:v>ACC-0050</x:v>
      </x:c>
      <x:c r="C188" s="19" t="n">
        <x:v>45720</x:v>
      </x:c>
      <x:c r="D188" s="1" t="str">
        <x:v>Cartoning Machine</x:v>
      </x:c>
      <x:c r="E188" s="1" t="str">
        <x:v>Midwest</x:v>
      </x:c>
      <x:c r="F188" s="20" t="n">
        <x:v>82500</x:v>
      </x:c>
      <x:c r="G188" s="1" t="str">
        <x:v>Repeat purchase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 t="str">
        <x:v>ORD-00188</x:v>
      </x:c>
      <x:c r="B189" s="1" t="str">
        <x:v>ACC-0051</x:v>
      </x:c>
      <x:c r="C189" s="19" t="n">
        <x:v>45610</x:v>
      </x:c>
      <x:c r="D189" s="1" t="str">
        <x:v>Case Packer</x:v>
      </x:c>
      <x:c r="E189" s="1" t="str">
        <x:v>Midwest</x:v>
      </x:c>
      <x:c r="F189" s="20" t="n">
        <x:v>163800</x:v>
      </x:c>
      <x:c r="G189" s="1" t="str">
        <x:v>New business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 t="str">
        <x:v>ORD-00189</x:v>
      </x:c>
      <x:c r="B190" s="1" t="str">
        <x:v>ACC-0051</x:v>
      </x:c>
      <x:c r="C190" s="19" t="n">
        <x:v>45784</x:v>
      </x:c>
      <x:c r="D190" s="1" t="str">
        <x:v>Case Packer</x:v>
      </x:c>
      <x:c r="E190" s="1" t="str">
        <x:v>Midwest</x:v>
      </x:c>
      <x:c r="F190" s="20" t="n">
        <x:v>161500</x:v>
      </x:c>
      <x:c r="G190" s="1" t="str">
        <x:v>Repeat purchase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 t="str">
        <x:v>ORD-00190</x:v>
      </x:c>
      <x:c r="B191" s="1" t="str">
        <x:v>ACC-0051</x:v>
      </x:c>
      <x:c r="C191" s="19" t="n">
        <x:v>46081</x:v>
      </x:c>
      <x:c r="D191" s="1" t="str">
        <x:v>Cartoning Machine</x:v>
      </x:c>
      <x:c r="E191" s="1" t="str">
        <x:v>Midwest</x:v>
      </x:c>
      <x:c r="F191" s="20" t="n">
        <x:v>181700</x:v>
      </x:c>
      <x:c r="G191" s="1" t="str">
        <x:v>Repeat purchase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 t="str">
        <x:v>ORD-00191</x:v>
      </x:c>
      <x:c r="B192" s="1" t="str">
        <x:v>ACC-0052</x:v>
      </x:c>
      <x:c r="C192" s="19" t="n">
        <x:v>46090</x:v>
      </x:c>
      <x:c r="D192" s="1" t="str">
        <x:v>Case Packer</x:v>
      </x:c>
      <x:c r="E192" s="1" t="str">
        <x:v>West</x:v>
      </x:c>
      <x:c r="F192" s="20" t="n">
        <x:v>240800</x:v>
      </x:c>
      <x:c r="G192" s="1" t="str">
        <x:v>New business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 t="str">
        <x:v>ORD-00192</x:v>
      </x:c>
      <x:c r="B193" s="1" t="str">
        <x:v>ACC-0052</x:v>
      </x:c>
      <x:c r="C193" s="19" t="n">
        <x:v>46158</x:v>
      </x:c>
      <x:c r="D193" s="1" t="str">
        <x:v>Case Packer</x:v>
      </x:c>
      <x:c r="E193" s="1" t="str">
        <x:v>West</x:v>
      </x:c>
      <x:c r="F193" s="20" t="n">
        <x:v>88600</x:v>
      </x:c>
      <x:c r="G193" s="1" t="str">
        <x:v>Repeat purchase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 t="str">
        <x:v>ORD-00193</x:v>
      </x:c>
      <x:c r="B194" s="1" t="str">
        <x:v>ACC-0053</x:v>
      </x:c>
      <x:c r="C194" s="19" t="n">
        <x:v>45339</x:v>
      </x:c>
      <x:c r="D194" s="1" t="str">
        <x:v>Cartoning Machine</x:v>
      </x:c>
      <x:c r="E194" s="1" t="str">
        <x:v>Midwest</x:v>
      </x:c>
      <x:c r="F194" s="20" t="n">
        <x:v>283500</x:v>
      </x:c>
      <x:c r="G194" s="1" t="str">
        <x:v>New business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 t="str">
        <x:v>ORD-00194</x:v>
      </x:c>
      <x:c r="B195" s="1" t="str">
        <x:v>ACC-0053</x:v>
      </x:c>
      <x:c r="C195" s="19" t="n">
        <x:v>45491</x:v>
      </x:c>
      <x:c r="D195" s="1" t="str">
        <x:v>Cartoning Machine</x:v>
      </x:c>
      <x:c r="E195" s="1" t="str">
        <x:v>Midwest</x:v>
      </x:c>
      <x:c r="F195" s="20" t="n">
        <x:v>123500</x:v>
      </x:c>
      <x:c r="G195" s="1" t="str">
        <x:v>Repeat purchase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 t="str">
        <x:v>ORD-00195</x:v>
      </x:c>
      <x:c r="B196" s="1" t="str">
        <x:v>ACC-0053</x:v>
      </x:c>
      <x:c r="C196" s="19" t="n">
        <x:v>45546</x:v>
      </x:c>
      <x:c r="D196" s="1" t="str">
        <x:v>Case Packer</x:v>
      </x:c>
      <x:c r="E196" s="1" t="str">
        <x:v>Midwest</x:v>
      </x:c>
      <x:c r="F196" s="20" t="n">
        <x:v>249400</x:v>
      </x:c>
      <x:c r="G196" s="1" t="str">
        <x:v>Repeat purchase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 t="str">
        <x:v>ORD-00196</x:v>
      </x:c>
      <x:c r="B197" s="1" t="str">
        <x:v>ACC-0053</x:v>
      </x:c>
      <x:c r="C197" s="19" t="n">
        <x:v>45688</x:v>
      </x:c>
      <x:c r="D197" s="1" t="str">
        <x:v>Pouch Filler</x:v>
      </x:c>
      <x:c r="E197" s="1" t="str">
        <x:v>Midwest</x:v>
      </x:c>
      <x:c r="F197" s="20" t="n">
        <x:v>135000</x:v>
      </x:c>
      <x:c r="G197" s="1" t="str">
        <x:v>Repeat purchase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 t="str">
        <x:v>ORD-00197</x:v>
      </x:c>
      <x:c r="B198" s="1" t="str">
        <x:v>ACC-0053</x:v>
      </x:c>
      <x:c r="C198" s="19" t="n">
        <x:v>45713</x:v>
      </x:c>
      <x:c r="D198" s="1" t="str">
        <x:v>Pouch Filler</x:v>
      </x:c>
      <x:c r="E198" s="1" t="str">
        <x:v>Midwest</x:v>
      </x:c>
      <x:c r="F198" s="20" t="n">
        <x:v>61500</x:v>
      </x:c>
      <x:c r="G198" s="1" t="str">
        <x:v>Repeat purchase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 t="str">
        <x:v>ORD-00198</x:v>
      </x:c>
      <x:c r="B199" s="1" t="str">
        <x:v>ACC-0053</x:v>
      </x:c>
      <x:c r="C199" s="19" t="n">
        <x:v>45833</x:v>
      </x:c>
      <x:c r="D199" s="1" t="str">
        <x:v>Service &amp; Parts</x:v>
      </x:c>
      <x:c r="E199" s="1" t="str">
        <x:v>Midwest</x:v>
      </x:c>
      <x:c r="F199" s="20" t="n">
        <x:v>28600</x:v>
      </x:c>
      <x:c r="G199" s="1" t="str">
        <x:v>Repeat purchase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 t="str">
        <x:v>ORD-00199</x:v>
      </x:c>
      <x:c r="B200" s="1" t="str">
        <x:v>ACC-0053</x:v>
      </x:c>
      <x:c r="C200" s="19" t="n">
        <x:v>46202</x:v>
      </x:c>
      <x:c r="D200" s="1" t="str">
        <x:v>Labeling System</x:v>
      </x:c>
      <x:c r="E200" s="1" t="str">
        <x:v>Midwest</x:v>
      </x:c>
      <x:c r="F200" s="20" t="n">
        <x:v>120300</x:v>
      </x:c>
      <x:c r="G200" s="1" t="str">
        <x:v>Repeat purchase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 t="str">
        <x:v>ORD-00200</x:v>
      </x:c>
      <x:c r="B201" s="1" t="str">
        <x:v>ACC-0054</x:v>
      </x:c>
      <x:c r="C201" s="19" t="n">
        <x:v>45563</x:v>
      </x:c>
      <x:c r="D201" s="1" t="str">
        <x:v>Case Packer</x:v>
      </x:c>
      <x:c r="E201" s="1" t="str">
        <x:v>South</x:v>
      </x:c>
      <x:c r="F201" s="20" t="n">
        <x:v>218000</x:v>
      </x:c>
      <x:c r="G201" s="1" t="str">
        <x:v>New business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 t="str">
        <x:v>ORD-00201</x:v>
      </x:c>
      <x:c r="B202" s="1" t="str">
        <x:v>ACC-0054</x:v>
      </x:c>
      <x:c r="C202" s="19" t="n">
        <x:v>45567</x:v>
      </x:c>
      <x:c r="D202" s="1" t="str">
        <x:v>Pouch Filler</x:v>
      </x:c>
      <x:c r="E202" s="1" t="str">
        <x:v>South</x:v>
      </x:c>
      <x:c r="F202" s="20" t="n">
        <x:v>172300</x:v>
      </x:c>
      <x:c r="G202" s="1" t="str">
        <x:v>Repeat purchase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 t="str">
        <x:v>ORD-00202</x:v>
      </x:c>
      <x:c r="B203" s="1" t="str">
        <x:v>ACC-0054</x:v>
      </x:c>
      <x:c r="C203" s="19" t="n">
        <x:v>45587</x:v>
      </x:c>
      <x:c r="D203" s="1" t="str">
        <x:v>Case Packer</x:v>
      </x:c>
      <x:c r="E203" s="1" t="str">
        <x:v>South</x:v>
      </x:c>
      <x:c r="F203" s="20" t="n">
        <x:v>248300</x:v>
      </x:c>
      <x:c r="G203" s="1" t="str">
        <x:v>Repeat purchase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 t="str">
        <x:v>ORD-00203</x:v>
      </x:c>
      <x:c r="B204" s="1" t="str">
        <x:v>ACC-0054</x:v>
      </x:c>
      <x:c r="C204" s="19" t="n">
        <x:v>45674</x:v>
      </x:c>
      <x:c r="D204" s="1" t="str">
        <x:v>Labeling System</x:v>
      </x:c>
      <x:c r="E204" s="1" t="str">
        <x:v>South</x:v>
      </x:c>
      <x:c r="F204" s="20" t="n">
        <x:v>188900</x:v>
      </x:c>
      <x:c r="G204" s="1" t="str">
        <x:v>Repeat purchase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 t="str">
        <x:v>ORD-00204</x:v>
      </x:c>
      <x:c r="B205" s="1" t="str">
        <x:v>ACC-0054</x:v>
      </x:c>
      <x:c r="C205" s="19" t="n">
        <x:v>45972</x:v>
      </x:c>
      <x:c r="D205" s="1" t="str">
        <x:v>Cartoning Machine</x:v>
      </x:c>
      <x:c r="E205" s="1" t="str">
        <x:v>South</x:v>
      </x:c>
      <x:c r="F205" s="20" t="n">
        <x:v>152300</x:v>
      </x:c>
      <x:c r="G205" s="1" t="str">
        <x:v>Repeat purchase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 t="str">
        <x:v>ORD-00205</x:v>
      </x:c>
      <x:c r="B206" s="1" t="str">
        <x:v>ACC-0055</x:v>
      </x:c>
      <x:c r="C206" s="19" t="n">
        <x:v>45683</x:v>
      </x:c>
      <x:c r="D206" s="1" t="str">
        <x:v>Case Packer</x:v>
      </x:c>
      <x:c r="E206" s="1" t="str">
        <x:v>West</x:v>
      </x:c>
      <x:c r="F206" s="20" t="n">
        <x:v>75000</x:v>
      </x:c>
      <x:c r="G206" s="1" t="str">
        <x:v>New business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 t="str">
        <x:v>ORD-00206</x:v>
      </x:c>
      <x:c r="B207" s="1" t="str">
        <x:v>ACC-0055</x:v>
      </x:c>
      <x:c r="C207" s="19" t="n">
        <x:v>45860</x:v>
      </x:c>
      <x:c r="D207" s="1" t="str">
        <x:v>Labeling System</x:v>
      </x:c>
      <x:c r="E207" s="1" t="str">
        <x:v>West</x:v>
      </x:c>
      <x:c r="F207" s="20" t="n">
        <x:v>63000</x:v>
      </x:c>
      <x:c r="G207" s="1" t="str">
        <x:v>Repeat purchase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 t="str">
        <x:v>ORD-00207</x:v>
      </x:c>
      <x:c r="B208" s="1" t="str">
        <x:v>ACC-0055</x:v>
      </x:c>
      <x:c r="C208" s="19" t="n">
        <x:v>45898</x:v>
      </x:c>
      <x:c r="D208" s="1" t="str">
        <x:v>Case Packer</x:v>
      </x:c>
      <x:c r="E208" s="1" t="str">
        <x:v>West</x:v>
      </x:c>
      <x:c r="F208" s="20" t="n">
        <x:v>63500</x:v>
      </x:c>
      <x:c r="G208" s="1" t="str">
        <x:v>Repeat purchase</x:v>
      </x:c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 t="str">
        <x:v>ORD-00208</x:v>
      </x:c>
      <x:c r="B209" s="1" t="str">
        <x:v>ACC-0056</x:v>
      </x:c>
      <x:c r="C209" s="19" t="n">
        <x:v>45426</x:v>
      </x:c>
      <x:c r="D209" s="1" t="str">
        <x:v>Labeling System</x:v>
      </x:c>
      <x:c r="E209" s="1" t="str">
        <x:v>West</x:v>
      </x:c>
      <x:c r="F209" s="20" t="n">
        <x:v>142700</x:v>
      </x:c>
      <x:c r="G209" s="1" t="str">
        <x:v>New business</x:v>
      </x:c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 t="str">
        <x:v>ORD-00209</x:v>
      </x:c>
      <x:c r="B210" s="1" t="str">
        <x:v>ACC-0056</x:v>
      </x:c>
      <x:c r="C210" s="19" t="n">
        <x:v>45546</x:v>
      </x:c>
      <x:c r="D210" s="1" t="str">
        <x:v>Service &amp; Parts</x:v>
      </x:c>
      <x:c r="E210" s="1" t="str">
        <x:v>West</x:v>
      </x:c>
      <x:c r="F210" s="20" t="n">
        <x:v>12500</x:v>
      </x:c>
      <x:c r="G210" s="1" t="str">
        <x:v>Repeat purchase</x:v>
      </x:c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 t="str">
        <x:v>ORD-00210</x:v>
      </x:c>
      <x:c r="B211" s="1" t="str">
        <x:v>ACC-0056</x:v>
      </x:c>
      <x:c r="C211" s="19" t="n">
        <x:v>45667</x:v>
      </x:c>
      <x:c r="D211" s="1" t="str">
        <x:v>Pouch Filler</x:v>
      </x:c>
      <x:c r="E211" s="1" t="str">
        <x:v>West</x:v>
      </x:c>
      <x:c r="F211" s="20" t="n">
        <x:v>154200</x:v>
      </x:c>
      <x:c r="G211" s="1" t="str">
        <x:v>Repeat purchase</x:v>
      </x:c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 t="str">
        <x:v>ORD-00211</x:v>
      </x:c>
      <x:c r="B212" s="1" t="str">
        <x:v>ACC-0056</x:v>
      </x:c>
      <x:c r="C212" s="19" t="n">
        <x:v>45712</x:v>
      </x:c>
      <x:c r="D212" s="1" t="str">
        <x:v>Cartoning Machine</x:v>
      </x:c>
      <x:c r="E212" s="1" t="str">
        <x:v>West</x:v>
      </x:c>
      <x:c r="F212" s="20" t="n">
        <x:v>132700</x:v>
      </x:c>
      <x:c r="G212" s="1" t="str">
        <x:v>Repeat purchase</x:v>
      </x:c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 t="str">
        <x:v>ORD-00212</x:v>
      </x:c>
      <x:c r="B213" s="1" t="str">
        <x:v>ACC-0057</x:v>
      </x:c>
      <x:c r="C213" s="19" t="n">
        <x:v>45400</x:v>
      </x:c>
      <x:c r="D213" s="1" t="str">
        <x:v>Cartoning Machine</x:v>
      </x:c>
      <x:c r="E213" s="1" t="str">
        <x:v>West</x:v>
      </x:c>
      <x:c r="F213" s="20" t="n">
        <x:v>145300</x:v>
      </x:c>
      <x:c r="G213" s="1" t="str">
        <x:v>New business</x:v>
      </x:c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 t="str">
        <x:v>ORD-00213</x:v>
      </x:c>
      <x:c r="B214" s="1" t="str">
        <x:v>ACC-0057</x:v>
      </x:c>
      <x:c r="C214" s="19" t="n">
        <x:v>45560</x:v>
      </x:c>
      <x:c r="D214" s="1" t="str">
        <x:v>Labeling System</x:v>
      </x:c>
      <x:c r="E214" s="1" t="str">
        <x:v>West</x:v>
      </x:c>
      <x:c r="F214" s="20" t="n">
        <x:v>46100</x:v>
      </x:c>
      <x:c r="G214" s="1" t="str">
        <x:v>Repeat purchase</x:v>
      </x:c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 t="str">
        <x:v>ORD-00214</x:v>
      </x:c>
      <x:c r="B215" s="1" t="str">
        <x:v>ACC-0057</x:v>
      </x:c>
      <x:c r="C215" s="19" t="n">
        <x:v>45948</x:v>
      </x:c>
      <x:c r="D215" s="1" t="str">
        <x:v>Pouch Filler</x:v>
      </x:c>
      <x:c r="E215" s="1" t="str">
        <x:v>West</x:v>
      </x:c>
      <x:c r="F215" s="20" t="n">
        <x:v>146500</x:v>
      </x:c>
      <x:c r="G215" s="1" t="str">
        <x:v>Repeat purchase</x:v>
      </x:c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 t="str">
        <x:v>ORD-00215</x:v>
      </x:c>
      <x:c r="B216" s="1" t="str">
        <x:v>ACC-0058</x:v>
      </x:c>
      <x:c r="C216" s="19" t="n">
        <x:v>45983</x:v>
      </x:c>
      <x:c r="D216" s="1" t="str">
        <x:v>Case Packer</x:v>
      </x:c>
      <x:c r="E216" s="1" t="str">
        <x:v>Midwest</x:v>
      </x:c>
      <x:c r="F216" s="20" t="n">
        <x:v>141500</x:v>
      </x:c>
      <x:c r="G216" s="1" t="str">
        <x:v>New business</x:v>
      </x:c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 t="str">
        <x:v>ORD-00216</x:v>
      </x:c>
      <x:c r="B217" s="1" t="str">
        <x:v>ACC-0058</x:v>
      </x:c>
      <x:c r="C217" s="19" t="n">
        <x:v>45987</x:v>
      </x:c>
      <x:c r="D217" s="1" t="str">
        <x:v>Cartoning Machine</x:v>
      </x:c>
      <x:c r="E217" s="1" t="str">
        <x:v>Midwest</x:v>
      </x:c>
      <x:c r="F217" s="20" t="n">
        <x:v>103500</x:v>
      </x:c>
      <x:c r="G217" s="1" t="str">
        <x:v>Repeat purchase</x:v>
      </x:c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 t="str">
        <x:v>ORD-00217</x:v>
      </x:c>
      <x:c r="B218" s="1" t="str">
        <x:v>ACC-0058</x:v>
      </x:c>
      <x:c r="C218" s="19" t="n">
        <x:v>46156</x:v>
      </x:c>
      <x:c r="D218" s="1" t="str">
        <x:v>Pouch Filler</x:v>
      </x:c>
      <x:c r="E218" s="1" t="str">
        <x:v>Midwest</x:v>
      </x:c>
      <x:c r="F218" s="20" t="n">
        <x:v>134300</x:v>
      </x:c>
      <x:c r="G218" s="1" t="str">
        <x:v>Repeat purchase</x:v>
      </x:c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 t="str">
        <x:v>ORD-00218</x:v>
      </x:c>
      <x:c r="B219" s="1" t="str">
        <x:v>ACC-0058</x:v>
      </x:c>
      <x:c r="C219" s="19" t="n">
        <x:v>46170</x:v>
      </x:c>
      <x:c r="D219" s="1" t="str">
        <x:v>Pouch Filler</x:v>
      </x:c>
      <x:c r="E219" s="1" t="str">
        <x:v>Midwest</x:v>
      </x:c>
      <x:c r="F219" s="20" t="n">
        <x:v>75200</x:v>
      </x:c>
      <x:c r="G219" s="1" t="str">
        <x:v>Repeat purchase</x:v>
      </x:c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 t="str">
        <x:v>ORD-00219</x:v>
      </x:c>
      <x:c r="B220" s="1" t="str">
        <x:v>ACC-0059</x:v>
      </x:c>
      <x:c r="C220" s="19" t="n">
        <x:v>45729</x:v>
      </x:c>
      <x:c r="D220" s="1" t="str">
        <x:v>Labeling System</x:v>
      </x:c>
      <x:c r="E220" s="1" t="str">
        <x:v>South</x:v>
      </x:c>
      <x:c r="F220" s="20" t="n">
        <x:v>75000</x:v>
      </x:c>
      <x:c r="G220" s="1" t="str">
        <x:v>New business</x:v>
      </x:c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 t="str">
        <x:v>ORD-00220</x:v>
      </x:c>
      <x:c r="B221" s="1" t="str">
        <x:v>ACC-0059</x:v>
      </x:c>
      <x:c r="C221" s="19" t="n">
        <x:v>45898</x:v>
      </x:c>
      <x:c r="D221" s="1" t="str">
        <x:v>Service &amp; Parts</x:v>
      </x:c>
      <x:c r="E221" s="1" t="str">
        <x:v>South</x:v>
      </x:c>
      <x:c r="F221" s="20" t="n">
        <x:v>21600</x:v>
      </x:c>
      <x:c r="G221" s="1" t="str">
        <x:v>Repeat purchase</x:v>
      </x:c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 t="str">
        <x:v>ORD-00221</x:v>
      </x:c>
      <x:c r="B222" s="1" t="str">
        <x:v>ACC-0059</x:v>
      </x:c>
      <x:c r="C222" s="19" t="n">
        <x:v>46132</x:v>
      </x:c>
      <x:c r="D222" s="1" t="str">
        <x:v>Service &amp; Parts</x:v>
      </x:c>
      <x:c r="E222" s="1" t="str">
        <x:v>South</x:v>
      </x:c>
      <x:c r="F222" s="20" t="n">
        <x:v>6700</x:v>
      </x:c>
      <x:c r="G222" s="1" t="str">
        <x:v>Repeat purchase</x:v>
      </x:c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 t="str">
        <x:v>ORD-00222</x:v>
      </x:c>
      <x:c r="B223" s="1" t="str">
        <x:v>ACC-0060</x:v>
      </x:c>
      <x:c r="C223" s="19" t="n">
        <x:v>45911</x:v>
      </x:c>
      <x:c r="D223" s="1" t="str">
        <x:v>Pouch Filler</x:v>
      </x:c>
      <x:c r="E223" s="1" t="str">
        <x:v>Midwest</x:v>
      </x:c>
      <x:c r="F223" s="20" t="n">
        <x:v>255700</x:v>
      </x:c>
      <x:c r="G223" s="1" t="str">
        <x:v>New business</x:v>
      </x:c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 t="str">
        <x:v>ORD-00223</x:v>
      </x:c>
      <x:c r="B224" s="1" t="str">
        <x:v>ACC-0060</x:v>
      </x:c>
      <x:c r="C224" s="19" t="n">
        <x:v>45931</x:v>
      </x:c>
      <x:c r="D224" s="1" t="str">
        <x:v>Service &amp; Parts</x:v>
      </x:c>
      <x:c r="E224" s="1" t="str">
        <x:v>Midwest</x:v>
      </x:c>
      <x:c r="F224" s="20" t="n">
        <x:v>11500</x:v>
      </x:c>
      <x:c r="G224" s="1" t="str">
        <x:v>Repeat purchase</x:v>
      </x:c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 t="str">
        <x:v>ORD-00224</x:v>
      </x:c>
      <x:c r="B225" s="1" t="str">
        <x:v>ACC-0060</x:v>
      </x:c>
      <x:c r="C225" s="19" t="n">
        <x:v>45999</x:v>
      </x:c>
      <x:c r="D225" s="1" t="str">
        <x:v>Labeling System</x:v>
      </x:c>
      <x:c r="E225" s="1" t="str">
        <x:v>Midwest</x:v>
      </x:c>
      <x:c r="F225" s="20" t="n">
        <x:v>173100</x:v>
      </x:c>
      <x:c r="G225" s="1" t="str">
        <x:v>Repeat purchase</x:v>
      </x:c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 t="str">
        <x:v>ORD-00225</x:v>
      </x:c>
      <x:c r="B226" s="1" t="str">
        <x:v>ACC-0061</x:v>
      </x:c>
      <x:c r="C226" s="19" t="n">
        <x:v>46007</x:v>
      </x:c>
      <x:c r="D226" s="1" t="str">
        <x:v>Labeling System</x:v>
      </x:c>
      <x:c r="E226" s="1" t="str">
        <x:v>West</x:v>
      </x:c>
      <x:c r="F226" s="20" t="n">
        <x:v>146500</x:v>
      </x:c>
      <x:c r="G226" s="1" t="str">
        <x:v>New business</x:v>
      </x:c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 t="str">
        <x:v>ORD-00226</x:v>
      </x:c>
      <x:c r="B227" s="1" t="str">
        <x:v>ACC-0061</x:v>
      </x:c>
      <x:c r="C227" s="19" t="n">
        <x:v>46084</x:v>
      </x:c>
      <x:c r="D227" s="1" t="str">
        <x:v>Pouch Filler</x:v>
      </x:c>
      <x:c r="E227" s="1" t="str">
        <x:v>West</x:v>
      </x:c>
      <x:c r="F227" s="20" t="n">
        <x:v>91200</x:v>
      </x:c>
      <x:c r="G227" s="1" t="str">
        <x:v>Repeat purchase</x:v>
      </x:c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 t="str">
        <x:v>ORD-00227</x:v>
      </x:c>
      <x:c r="B228" s="1" t="str">
        <x:v>ACC-0061</x:v>
      </x:c>
      <x:c r="C228" s="19" t="n">
        <x:v>46155</x:v>
      </x:c>
      <x:c r="D228" s="1" t="str">
        <x:v>Case Packer</x:v>
      </x:c>
      <x:c r="E228" s="1" t="str">
        <x:v>West</x:v>
      </x:c>
      <x:c r="F228" s="20" t="n">
        <x:v>67200</x:v>
      </x:c>
      <x:c r="G228" s="1" t="str">
        <x:v>Repeat purchase</x:v>
      </x:c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 t="str">
        <x:v>ORD-00228</x:v>
      </x:c>
      <x:c r="B229" s="1" t="str">
        <x:v>ACC-0062</x:v>
      </x:c>
      <x:c r="C229" s="19" t="n">
        <x:v>45834</x:v>
      </x:c>
      <x:c r="D229" s="1" t="str">
        <x:v>Cartoning Machine</x:v>
      </x:c>
      <x:c r="E229" s="1" t="str">
        <x:v>West</x:v>
      </x:c>
      <x:c r="F229" s="20" t="n">
        <x:v>137400</x:v>
      </x:c>
      <x:c r="G229" s="1" t="str">
        <x:v>New business</x:v>
      </x:c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 t="str">
        <x:v>ORD-00229</x:v>
      </x:c>
      <x:c r="B230" s="1" t="str">
        <x:v>ACC-0063</x:v>
      </x:c>
      <x:c r="C230" s="19" t="n">
        <x:v>46107</x:v>
      </x:c>
      <x:c r="D230" s="1" t="str">
        <x:v>Case Packer</x:v>
      </x:c>
      <x:c r="E230" s="1" t="str">
        <x:v>South</x:v>
      </x:c>
      <x:c r="F230" s="20" t="n">
        <x:v>204100</x:v>
      </x:c>
      <x:c r="G230" s="1" t="str">
        <x:v>New business</x:v>
      </x:c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 t="str">
        <x:v>ORD-00230</x:v>
      </x:c>
      <x:c r="B231" s="1" t="str">
        <x:v>ACC-0063</x:v>
      </x:c>
      <x:c r="C231" s="19" t="n">
        <x:v>46154</x:v>
      </x:c>
      <x:c r="D231" s="1" t="str">
        <x:v>Cartoning Machine</x:v>
      </x:c>
      <x:c r="E231" s="1" t="str">
        <x:v>South</x:v>
      </x:c>
      <x:c r="F231" s="20" t="n">
        <x:v>193000</x:v>
      </x:c>
      <x:c r="G231" s="1" t="str">
        <x:v>Repeat purchase</x:v>
      </x:c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 t="str">
        <x:v>ORD-00231</x:v>
      </x:c>
      <x:c r="B232" s="1" t="str">
        <x:v>ACC-0064</x:v>
      </x:c>
      <x:c r="C232" s="19" t="n">
        <x:v>45298</x:v>
      </x:c>
      <x:c r="D232" s="1" t="str">
        <x:v>Pouch Filler</x:v>
      </x:c>
      <x:c r="E232" s="1" t="str">
        <x:v>Northeast</x:v>
      </x:c>
      <x:c r="F232" s="20" t="n">
        <x:v>218700</x:v>
      </x:c>
      <x:c r="G232" s="1" t="str">
        <x:v>New business</x:v>
      </x:c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 t="str">
        <x:v>ORD-00232</x:v>
      </x:c>
      <x:c r="B233" s="1" t="str">
        <x:v>ACC-0064</x:v>
      </x:c>
      <x:c r="C233" s="19" t="n">
        <x:v>45365</x:v>
      </x:c>
      <x:c r="D233" s="1" t="str">
        <x:v>Pouch Filler</x:v>
      </x:c>
      <x:c r="E233" s="1" t="str">
        <x:v>Northeast</x:v>
      </x:c>
      <x:c r="F233" s="20" t="n">
        <x:v>180600</x:v>
      </x:c>
      <x:c r="G233" s="1" t="str">
        <x:v>Repeat purchase</x:v>
      </x:c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 t="str">
        <x:v>ORD-00233</x:v>
      </x:c>
      <x:c r="B234" s="1" t="str">
        <x:v>ACC-0064</x:v>
      </x:c>
      <x:c r="C234" s="19" t="n">
        <x:v>45471</x:v>
      </x:c>
      <x:c r="D234" s="1" t="str">
        <x:v>Pouch Filler</x:v>
      </x:c>
      <x:c r="E234" s="1" t="str">
        <x:v>Northeast</x:v>
      </x:c>
      <x:c r="F234" s="20" t="n">
        <x:v>82600</x:v>
      </x:c>
      <x:c r="G234" s="1" t="str">
        <x:v>Repeat purchase</x:v>
      </x:c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 t="str">
        <x:v>ORD-00234</x:v>
      </x:c>
      <x:c r="B235" s="1" t="str">
        <x:v>ACC-0064</x:v>
      </x:c>
      <x:c r="C235" s="19" t="n">
        <x:v>46190</x:v>
      </x:c>
      <x:c r="D235" s="1" t="str">
        <x:v>Case Packer</x:v>
      </x:c>
      <x:c r="E235" s="1" t="str">
        <x:v>Northeast</x:v>
      </x:c>
      <x:c r="F235" s="20" t="n">
        <x:v>75900</x:v>
      </x:c>
      <x:c r="G235" s="1" t="str">
        <x:v>Repeat purchase</x:v>
      </x:c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 t="str">
        <x:v>ORD-00235</x:v>
      </x:c>
      <x:c r="B236" s="1" t="str">
        <x:v>ACC-0065</x:v>
      </x:c>
      <x:c r="C236" s="19" t="n">
        <x:v>45885</x:v>
      </x:c>
      <x:c r="D236" s="1" t="str">
        <x:v>Service &amp; Parts</x:v>
      </x:c>
      <x:c r="E236" s="1" t="str">
        <x:v>West</x:v>
      </x:c>
      <x:c r="F236" s="20" t="n">
        <x:v>43300</x:v>
      </x:c>
      <x:c r="G236" s="1" t="str">
        <x:v>New business</x:v>
      </x:c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 t="str">
        <x:v>ORD-00236</x:v>
      </x:c>
      <x:c r="B237" s="1" t="str">
        <x:v>ACC-0065</x:v>
      </x:c>
      <x:c r="C237" s="19" t="n">
        <x:v>45934</x:v>
      </x:c>
      <x:c r="D237" s="1" t="str">
        <x:v>Labeling System</x:v>
      </x:c>
      <x:c r="E237" s="1" t="str">
        <x:v>West</x:v>
      </x:c>
      <x:c r="F237" s="20" t="n">
        <x:v>222700</x:v>
      </x:c>
      <x:c r="G237" s="1" t="str">
        <x:v>Repeat purchase</x:v>
      </x:c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 t="str">
        <x:v>ORD-00237</x:v>
      </x:c>
      <x:c r="B238" s="1" t="str">
        <x:v>ACC-0065</x:v>
      </x:c>
      <x:c r="C238" s="19" t="n">
        <x:v>46046</x:v>
      </x:c>
      <x:c r="D238" s="1" t="str">
        <x:v>Case Packer</x:v>
      </x:c>
      <x:c r="E238" s="1" t="str">
        <x:v>West</x:v>
      </x:c>
      <x:c r="F238" s="20" t="n">
        <x:v>252300</x:v>
      </x:c>
      <x:c r="G238" s="1" t="str">
        <x:v>Repeat purchase</x:v>
      </x:c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 t="str">
        <x:v>ORD-00238</x:v>
      </x:c>
      <x:c r="B239" s="1" t="str">
        <x:v>ACC-0065</x:v>
      </x:c>
      <x:c r="C239" s="19" t="n">
        <x:v>46068</x:v>
      </x:c>
      <x:c r="D239" s="1" t="str">
        <x:v>Service &amp; Parts</x:v>
      </x:c>
      <x:c r="E239" s="1" t="str">
        <x:v>West</x:v>
      </x:c>
      <x:c r="F239" s="20" t="n">
        <x:v>32300</x:v>
      </x:c>
      <x:c r="G239" s="1" t="str">
        <x:v>Repeat purchase</x:v>
      </x:c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 t="str">
        <x:v>ORD-00239</x:v>
      </x:c>
      <x:c r="B240" s="1" t="str">
        <x:v>ACC-0065</x:v>
      </x:c>
      <x:c r="C240" s="19" t="n">
        <x:v>46085</x:v>
      </x:c>
      <x:c r="D240" s="1" t="str">
        <x:v>Labeling System</x:v>
      </x:c>
      <x:c r="E240" s="1" t="str">
        <x:v>West</x:v>
      </x:c>
      <x:c r="F240" s="20" t="n">
        <x:v>244700</x:v>
      </x:c>
      <x:c r="G240" s="1" t="str">
        <x:v>Repeat purchase</x:v>
      </x:c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 t="str">
        <x:v>ORD-00240</x:v>
      </x:c>
      <x:c r="B241" s="1" t="str">
        <x:v>ACC-0066</x:v>
      </x:c>
      <x:c r="C241" s="19" t="n">
        <x:v>45435</x:v>
      </x:c>
      <x:c r="D241" s="1" t="str">
        <x:v>Cartoning Machine</x:v>
      </x:c>
      <x:c r="E241" s="1" t="str">
        <x:v>South</x:v>
      </x:c>
      <x:c r="F241" s="20" t="n">
        <x:v>147800</x:v>
      </x:c>
      <x:c r="G241" s="1" t="str">
        <x:v>New business</x:v>
      </x:c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 t="str">
        <x:v>ORD-00241</x:v>
      </x:c>
      <x:c r="B242" s="1" t="str">
        <x:v>ACC-0066</x:v>
      </x:c>
      <x:c r="C242" s="19" t="n">
        <x:v>45712</x:v>
      </x:c>
      <x:c r="D242" s="1" t="str">
        <x:v>Labeling System</x:v>
      </x:c>
      <x:c r="E242" s="1" t="str">
        <x:v>South</x:v>
      </x:c>
      <x:c r="F242" s="20" t="n">
        <x:v>55700</x:v>
      </x:c>
      <x:c r="G242" s="1" t="str">
        <x:v>Repeat purchase</x:v>
      </x:c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 t="str">
        <x:v>ORD-00242</x:v>
      </x:c>
      <x:c r="B243" s="1" t="str">
        <x:v>ACC-0066</x:v>
      </x:c>
      <x:c r="C243" s="19" t="n">
        <x:v>45940</x:v>
      </x:c>
      <x:c r="D243" s="1" t="str">
        <x:v>Cartoning Machine</x:v>
      </x:c>
      <x:c r="E243" s="1" t="str">
        <x:v>South</x:v>
      </x:c>
      <x:c r="F243" s="20" t="n">
        <x:v>132000</x:v>
      </x:c>
      <x:c r="G243" s="1" t="str">
        <x:v>Repeat purchase</x:v>
      </x:c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 t="str">
        <x:v>ORD-00243</x:v>
      </x:c>
      <x:c r="B244" s="1" t="str">
        <x:v>ACC-0067</x:v>
      </x:c>
      <x:c r="C244" s="19" t="n">
        <x:v>45911</x:v>
      </x:c>
      <x:c r="D244" s="1" t="str">
        <x:v>Case Packer</x:v>
      </x:c>
      <x:c r="E244" s="1" t="str">
        <x:v>Northeast</x:v>
      </x:c>
      <x:c r="F244" s="20" t="n">
        <x:v>74800</x:v>
      </x:c>
      <x:c r="G244" s="1" t="str">
        <x:v>New business</x:v>
      </x:c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 t="str">
        <x:v>ORD-00244</x:v>
      </x:c>
      <x:c r="B245" s="1" t="str">
        <x:v>ACC-0067</x:v>
      </x:c>
      <x:c r="C245" s="19" t="n">
        <x:v>45924</x:v>
      </x:c>
      <x:c r="D245" s="1" t="str">
        <x:v>Cartoning Machine</x:v>
      </x:c>
      <x:c r="E245" s="1" t="str">
        <x:v>Northeast</x:v>
      </x:c>
      <x:c r="F245" s="20" t="n">
        <x:v>278100</x:v>
      </x:c>
      <x:c r="G245" s="1" t="str">
        <x:v>Repeat purchase</x:v>
      </x:c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 t="str">
        <x:v>ORD-00245</x:v>
      </x:c>
      <x:c r="B246" s="1" t="str">
        <x:v>ACC-0067</x:v>
      </x:c>
      <x:c r="C246" s="19" t="n">
        <x:v>46056</x:v>
      </x:c>
      <x:c r="D246" s="1" t="str">
        <x:v>Service &amp; Parts</x:v>
      </x:c>
      <x:c r="E246" s="1" t="str">
        <x:v>Northeast</x:v>
      </x:c>
      <x:c r="F246" s="20" t="n">
        <x:v>13600</x:v>
      </x:c>
      <x:c r="G246" s="1" t="str">
        <x:v>Repeat purchase</x:v>
      </x:c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 t="str">
        <x:v>ORD-00246</x:v>
      </x:c>
      <x:c r="B247" s="1" t="str">
        <x:v>ACC-0067</x:v>
      </x:c>
      <x:c r="C247" s="19" t="n">
        <x:v>46165</x:v>
      </x:c>
      <x:c r="D247" s="1" t="str">
        <x:v>Service &amp; Parts</x:v>
      </x:c>
      <x:c r="E247" s="1" t="str">
        <x:v>Northeast</x:v>
      </x:c>
      <x:c r="F247" s="20" t="n">
        <x:v>15600</x:v>
      </x:c>
      <x:c r="G247" s="1" t="str">
        <x:v>Repeat purchase</x:v>
      </x:c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 t="str">
        <x:v>ORD-00247</x:v>
      </x:c>
      <x:c r="B248" s="1" t="str">
        <x:v>ACC-0067</x:v>
      </x:c>
      <x:c r="C248" s="19" t="n">
        <x:v>46192</x:v>
      </x:c>
      <x:c r="D248" s="1" t="str">
        <x:v>Service &amp; Parts</x:v>
      </x:c>
      <x:c r="E248" s="1" t="str">
        <x:v>Northeast</x:v>
      </x:c>
      <x:c r="F248" s="20" t="n">
        <x:v>44700</x:v>
      </x:c>
      <x:c r="G248" s="1" t="str">
        <x:v>Repeat purchase</x:v>
      </x:c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 t="str">
        <x:v>ORD-00248</x:v>
      </x:c>
      <x:c r="B249" s="1" t="str">
        <x:v>ACC-0068</x:v>
      </x:c>
      <x:c r="C249" s="19" t="n">
        <x:v>45687</x:v>
      </x:c>
      <x:c r="D249" s="1" t="str">
        <x:v>Pouch Filler</x:v>
      </x:c>
      <x:c r="E249" s="1" t="str">
        <x:v>South</x:v>
      </x:c>
      <x:c r="F249" s="20" t="n">
        <x:v>113600</x:v>
      </x:c>
      <x:c r="G249" s="1" t="str">
        <x:v>New business</x:v>
      </x:c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 t="str">
        <x:v>ORD-00249</x:v>
      </x:c>
      <x:c r="B250" s="1" t="str">
        <x:v>ACC-0068</x:v>
      </x:c>
      <x:c r="C250" s="19" t="n">
        <x:v>46119</x:v>
      </x:c>
      <x:c r="D250" s="1" t="str">
        <x:v>Labeling System</x:v>
      </x:c>
      <x:c r="E250" s="1" t="str">
        <x:v>South</x:v>
      </x:c>
      <x:c r="F250" s="20" t="n">
        <x:v>191600</x:v>
      </x:c>
      <x:c r="G250" s="1" t="str">
        <x:v>Repeat purchase</x:v>
      </x:c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 t="str">
        <x:v>ORD-00250</x:v>
      </x:c>
      <x:c r="B251" s="1" t="str">
        <x:v>ACC-0069</x:v>
      </x:c>
      <x:c r="C251" s="19" t="n">
        <x:v>45933</x:v>
      </x:c>
      <x:c r="D251" s="1" t="str">
        <x:v>Labeling System</x:v>
      </x:c>
      <x:c r="E251" s="1" t="str">
        <x:v>South</x:v>
      </x:c>
      <x:c r="F251" s="20" t="n">
        <x:v>88700</x:v>
      </x:c>
      <x:c r="G251" s="1" t="str">
        <x:v>New business</x:v>
      </x:c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 t="str">
        <x:v>ORD-00251</x:v>
      </x:c>
      <x:c r="B252" s="1" t="str">
        <x:v>ACC-0069</x:v>
      </x:c>
      <x:c r="C252" s="19" t="n">
        <x:v>45997</x:v>
      </x:c>
      <x:c r="D252" s="1" t="str">
        <x:v>Pouch Filler</x:v>
      </x:c>
      <x:c r="E252" s="1" t="str">
        <x:v>South</x:v>
      </x:c>
      <x:c r="F252" s="20" t="n">
        <x:v>136200</x:v>
      </x:c>
      <x:c r="G252" s="1" t="str">
        <x:v>Repeat purchase</x:v>
      </x:c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 t="str">
        <x:v>ORD-00252</x:v>
      </x:c>
      <x:c r="B253" s="1" t="str">
        <x:v>ACC-0069</x:v>
      </x:c>
      <x:c r="C253" s="19" t="n">
        <x:v>46073</x:v>
      </x:c>
      <x:c r="D253" s="1" t="str">
        <x:v>Cartoning Machine</x:v>
      </x:c>
      <x:c r="E253" s="1" t="str">
        <x:v>South</x:v>
      </x:c>
      <x:c r="F253" s="20" t="n">
        <x:v>238100</x:v>
      </x:c>
      <x:c r="G253" s="1" t="str">
        <x:v>Repeat purchase</x:v>
      </x:c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 t="str">
        <x:v>ORD-00253</x:v>
      </x:c>
      <x:c r="B254" s="1" t="str">
        <x:v>ACC-0069</x:v>
      </x:c>
      <x:c r="C254" s="19" t="n">
        <x:v>46155</x:v>
      </x:c>
      <x:c r="D254" s="1" t="str">
        <x:v>Service &amp; Parts</x:v>
      </x:c>
      <x:c r="E254" s="1" t="str">
        <x:v>South</x:v>
      </x:c>
      <x:c r="F254" s="20" t="n">
        <x:v>46600</x:v>
      </x:c>
      <x:c r="G254" s="1" t="str">
        <x:v>Repeat purchase</x:v>
      </x:c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 t="str">
        <x:v>ORD-00254</x:v>
      </x:c>
      <x:c r="B255" s="1" t="str">
        <x:v>ACC-0070</x:v>
      </x:c>
      <x:c r="C255" s="19" t="n">
        <x:v>45937</x:v>
      </x:c>
      <x:c r="D255" s="1" t="str">
        <x:v>Service &amp; Parts</x:v>
      </x:c>
      <x:c r="E255" s="1" t="str">
        <x:v>South</x:v>
      </x:c>
      <x:c r="F255" s="20" t="n">
        <x:v>46400</x:v>
      </x:c>
      <x:c r="G255" s="1" t="str">
        <x:v>New business</x:v>
      </x:c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 t="str">
        <x:v>ORD-00255</x:v>
      </x:c>
      <x:c r="B256" s="1" t="str">
        <x:v>ACC-0070</x:v>
      </x:c>
      <x:c r="C256" s="19" t="n">
        <x:v>45944</x:v>
      </x:c>
      <x:c r="D256" s="1" t="str">
        <x:v>Case Packer</x:v>
      </x:c>
      <x:c r="E256" s="1" t="str">
        <x:v>South</x:v>
      </x:c>
      <x:c r="F256" s="20" t="n">
        <x:v>153100</x:v>
      </x:c>
      <x:c r="G256" s="1" t="str">
        <x:v>Repeat purchase</x:v>
      </x:c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 t="str">
        <x:v>ORD-00256</x:v>
      </x:c>
      <x:c r="B257" s="1" t="str">
        <x:v>ACC-0070</x:v>
      </x:c>
      <x:c r="C257" s="19" t="n">
        <x:v>46014</x:v>
      </x:c>
      <x:c r="D257" s="1" t="str">
        <x:v>Cartoning Machine</x:v>
      </x:c>
      <x:c r="E257" s="1" t="str">
        <x:v>South</x:v>
      </x:c>
      <x:c r="F257" s="20" t="n">
        <x:v>277500</x:v>
      </x:c>
      <x:c r="G257" s="1" t="str">
        <x:v>Repeat purchase</x:v>
      </x:c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 t="str">
        <x:v>ORD-00257</x:v>
      </x:c>
      <x:c r="B258" s="1" t="str">
        <x:v>ACC-0070</x:v>
      </x:c>
      <x:c r="C258" s="19" t="n">
        <x:v>46038</x:v>
      </x:c>
      <x:c r="D258" s="1" t="str">
        <x:v>Cartoning Machine</x:v>
      </x:c>
      <x:c r="E258" s="1" t="str">
        <x:v>South</x:v>
      </x:c>
      <x:c r="F258" s="20" t="n">
        <x:v>219100</x:v>
      </x:c>
      <x:c r="G258" s="1" t="str">
        <x:v>Repeat purchase</x:v>
      </x:c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 t="str">
        <x:v>ORD-00258</x:v>
      </x:c>
      <x:c r="B259" s="1" t="str">
        <x:v>ACC-0071</x:v>
      </x:c>
      <x:c r="C259" s="19" t="n">
        <x:v>45708</x:v>
      </x:c>
      <x:c r="D259" s="1" t="str">
        <x:v>Labeling System</x:v>
      </x:c>
      <x:c r="E259" s="1" t="str">
        <x:v>Northeast</x:v>
      </x:c>
      <x:c r="F259" s="20" t="n">
        <x:v>279100</x:v>
      </x:c>
      <x:c r="G259" s="1" t="str">
        <x:v>New business</x:v>
      </x:c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 t="str">
        <x:v>ORD-00259</x:v>
      </x:c>
      <x:c r="B260" s="1" t="str">
        <x:v>ACC-0071</x:v>
      </x:c>
      <x:c r="C260" s="19" t="n">
        <x:v>45754</x:v>
      </x:c>
      <x:c r="D260" s="1" t="str">
        <x:v>Pouch Filler</x:v>
      </x:c>
      <x:c r="E260" s="1" t="str">
        <x:v>Northeast</x:v>
      </x:c>
      <x:c r="F260" s="20" t="n">
        <x:v>82000</x:v>
      </x:c>
      <x:c r="G260" s="1" t="str">
        <x:v>Repeat purchase</x:v>
      </x:c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 t="str">
        <x:v>ORD-00260</x:v>
      </x:c>
      <x:c r="B261" s="1" t="str">
        <x:v>ACC-0071</x:v>
      </x:c>
      <x:c r="C261" s="19" t="n">
        <x:v>45952</x:v>
      </x:c>
      <x:c r="D261" s="1" t="str">
        <x:v>Labeling System</x:v>
      </x:c>
      <x:c r="E261" s="1" t="str">
        <x:v>Northeast</x:v>
      </x:c>
      <x:c r="F261" s="20" t="n">
        <x:v>248000</x:v>
      </x:c>
      <x:c r="G261" s="1" t="str">
        <x:v>Repeat purchase</x:v>
      </x:c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 t="str">
        <x:v>ORD-00261</x:v>
      </x:c>
      <x:c r="B262" s="1" t="str">
        <x:v>ACC-0071</x:v>
      </x:c>
      <x:c r="C262" s="19" t="n">
        <x:v>45956</x:v>
      </x:c>
      <x:c r="D262" s="1" t="str">
        <x:v>Cartoning Machine</x:v>
      </x:c>
      <x:c r="E262" s="1" t="str">
        <x:v>Northeast</x:v>
      </x:c>
      <x:c r="F262" s="20" t="n">
        <x:v>253500</x:v>
      </x:c>
      <x:c r="G262" s="1" t="str">
        <x:v>Repeat purchase</x:v>
      </x:c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 t="str">
        <x:v>ORD-00262</x:v>
      </x:c>
      <x:c r="B263" s="1" t="str">
        <x:v>ACC-0071</x:v>
      </x:c>
      <x:c r="C263" s="19" t="n">
        <x:v>46080</x:v>
      </x:c>
      <x:c r="D263" s="1" t="str">
        <x:v>Pouch Filler</x:v>
      </x:c>
      <x:c r="E263" s="1" t="str">
        <x:v>Northeast</x:v>
      </x:c>
      <x:c r="F263" s="20" t="n">
        <x:v>121700</x:v>
      </x:c>
      <x:c r="G263" s="1" t="str">
        <x:v>Repeat purchase</x:v>
      </x:c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 t="str">
        <x:v>ORD-00263</x:v>
      </x:c>
      <x:c r="B264" s="1" t="str">
        <x:v>ACC-0071</x:v>
      </x:c>
      <x:c r="C264" s="19" t="n">
        <x:v>46087</x:v>
      </x:c>
      <x:c r="D264" s="1" t="str">
        <x:v>Pouch Filler</x:v>
      </x:c>
      <x:c r="E264" s="1" t="str">
        <x:v>Northeast</x:v>
      </x:c>
      <x:c r="F264" s="20" t="n">
        <x:v>180300</x:v>
      </x:c>
      <x:c r="G264" s="1" t="str">
        <x:v>Repeat purchase</x:v>
      </x:c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 t="str">
        <x:v>ORD-00264</x:v>
      </x:c>
      <x:c r="B265" s="1" t="str">
        <x:v>ACC-0071</x:v>
      </x:c>
      <x:c r="C265" s="19" t="n">
        <x:v>46179</x:v>
      </x:c>
      <x:c r="D265" s="1" t="str">
        <x:v>Pouch Filler</x:v>
      </x:c>
      <x:c r="E265" s="1" t="str">
        <x:v>Northeast</x:v>
      </x:c>
      <x:c r="F265" s="20" t="n">
        <x:v>130400</x:v>
      </x:c>
      <x:c r="G265" s="1" t="str">
        <x:v>Repeat purchase</x:v>
      </x:c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 t="str">
        <x:v>ORD-00265</x:v>
      </x:c>
      <x:c r="B266" s="1" t="str">
        <x:v>ACC-0072</x:v>
      </x:c>
      <x:c r="C266" s="19" t="n">
        <x:v>45928</x:v>
      </x:c>
      <x:c r="D266" s="1" t="str">
        <x:v>Case Packer</x:v>
      </x:c>
      <x:c r="E266" s="1" t="str">
        <x:v>South</x:v>
      </x:c>
      <x:c r="F266" s="20" t="n">
        <x:v>136600</x:v>
      </x:c>
      <x:c r="G266" s="1" t="str">
        <x:v>New business</x:v>
      </x:c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 t="str">
        <x:v>ORD-00266</x:v>
      </x:c>
      <x:c r="B267" s="1" t="str">
        <x:v>ACC-0072</x:v>
      </x:c>
      <x:c r="C267" s="19" t="n">
        <x:v>46115</x:v>
      </x:c>
      <x:c r="D267" s="1" t="str">
        <x:v>Labeling System</x:v>
      </x:c>
      <x:c r="E267" s="1" t="str">
        <x:v>South</x:v>
      </x:c>
      <x:c r="F267" s="20" t="n">
        <x:v>78600</x:v>
      </x:c>
      <x:c r="G267" s="1" t="str">
        <x:v>Repeat purchase</x:v>
      </x:c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 t="str">
        <x:v>ORD-00267</x:v>
      </x:c>
      <x:c r="B268" s="1" t="str">
        <x:v>ACC-0073</x:v>
      </x:c>
      <x:c r="C268" s="19" t="n">
        <x:v>45942</x:v>
      </x:c>
      <x:c r="D268" s="1" t="str">
        <x:v>Cartoning Machine</x:v>
      </x:c>
      <x:c r="E268" s="1" t="str">
        <x:v>Midwest</x:v>
      </x:c>
      <x:c r="F268" s="20" t="n">
        <x:v>106300</x:v>
      </x:c>
      <x:c r="G268" s="1" t="str">
        <x:v>New business</x:v>
      </x:c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 t="str">
        <x:v>ORD-00268</x:v>
      </x:c>
      <x:c r="B269" s="1" t="str">
        <x:v>ACC-0073</x:v>
      </x:c>
      <x:c r="C269" s="19" t="n">
        <x:v>46011</x:v>
      </x:c>
      <x:c r="D269" s="1" t="str">
        <x:v>Pouch Filler</x:v>
      </x:c>
      <x:c r="E269" s="1" t="str">
        <x:v>Midwest</x:v>
      </x:c>
      <x:c r="F269" s="20" t="n">
        <x:v>267800</x:v>
      </x:c>
      <x:c r="G269" s="1" t="str">
        <x:v>Repeat purchase</x:v>
      </x:c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 t="str">
        <x:v>ORD-00269</x:v>
      </x:c>
      <x:c r="B270" s="1" t="str">
        <x:v>ACC-0073</x:v>
      </x:c>
      <x:c r="C270" s="19" t="n">
        <x:v>46047</x:v>
      </x:c>
      <x:c r="D270" s="1" t="str">
        <x:v>Labeling System</x:v>
      </x:c>
      <x:c r="E270" s="1" t="str">
        <x:v>Midwest</x:v>
      </x:c>
      <x:c r="F270" s="20" t="n">
        <x:v>263600</x:v>
      </x:c>
      <x:c r="G270" s="1" t="str">
        <x:v>Repeat purchase</x:v>
      </x:c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 t="str">
        <x:v>ORD-00270</x:v>
      </x:c>
      <x:c r="B271" s="1" t="str">
        <x:v>ACC-0073</x:v>
      </x:c>
      <x:c r="C271" s="19" t="n">
        <x:v>46115</x:v>
      </x:c>
      <x:c r="D271" s="1" t="str">
        <x:v>Case Packer</x:v>
      </x:c>
      <x:c r="E271" s="1" t="str">
        <x:v>Midwest</x:v>
      </x:c>
      <x:c r="F271" s="20" t="n">
        <x:v>102100</x:v>
      </x:c>
      <x:c r="G271" s="1" t="str">
        <x:v>Repeat purchase</x:v>
      </x:c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 t="str">
        <x:v>ORD-00271</x:v>
      </x:c>
      <x:c r="B272" s="1" t="str">
        <x:v>ACC-0074</x:v>
      </x:c>
      <x:c r="C272" s="19" t="n">
        <x:v>45646</x:v>
      </x:c>
      <x:c r="D272" s="1" t="str">
        <x:v>Cartoning Machine</x:v>
      </x:c>
      <x:c r="E272" s="1" t="str">
        <x:v>West</x:v>
      </x:c>
      <x:c r="F272" s="20" t="n">
        <x:v>150700</x:v>
      </x:c>
      <x:c r="G272" s="1" t="str">
        <x:v>New business</x:v>
      </x:c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 t="str">
        <x:v>ORD-00272</x:v>
      </x:c>
      <x:c r="B273" s="1" t="str">
        <x:v>ACC-0074</x:v>
      </x:c>
      <x:c r="C273" s="19" t="n">
        <x:v>45651</x:v>
      </x:c>
      <x:c r="D273" s="1" t="str">
        <x:v>Service &amp; Parts</x:v>
      </x:c>
      <x:c r="E273" s="1" t="str">
        <x:v>West</x:v>
      </x:c>
      <x:c r="F273" s="20" t="n">
        <x:v>23900</x:v>
      </x:c>
      <x:c r="G273" s="1" t="str">
        <x:v>Repeat purchase</x:v>
      </x:c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 t="str">
        <x:v>ORD-00273</x:v>
      </x:c>
      <x:c r="B274" s="1" t="str">
        <x:v>ACC-0074</x:v>
      </x:c>
      <x:c r="C274" s="19" t="n">
        <x:v>45729</x:v>
      </x:c>
      <x:c r="D274" s="1" t="str">
        <x:v>Service &amp; Parts</x:v>
      </x:c>
      <x:c r="E274" s="1" t="str">
        <x:v>West</x:v>
      </x:c>
      <x:c r="F274" s="20" t="n">
        <x:v>24000</x:v>
      </x:c>
      <x:c r="G274" s="1" t="str">
        <x:v>Repeat purchase</x:v>
      </x:c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 t="str">
        <x:v>ORD-00274</x:v>
      </x:c>
      <x:c r="B275" s="1" t="str">
        <x:v>ACC-0074</x:v>
      </x:c>
      <x:c r="C275" s="19" t="n">
        <x:v>45904</x:v>
      </x:c>
      <x:c r="D275" s="1" t="str">
        <x:v>Service &amp; Parts</x:v>
      </x:c>
      <x:c r="E275" s="1" t="str">
        <x:v>West</x:v>
      </x:c>
      <x:c r="F275" s="20" t="n">
        <x:v>36200</x:v>
      </x:c>
      <x:c r="G275" s="1" t="str">
        <x:v>Repeat purchase</x:v>
      </x:c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 t="str">
        <x:v>ORD-00275</x:v>
      </x:c>
      <x:c r="B276" s="1" t="str">
        <x:v>ACC-0074</x:v>
      </x:c>
      <x:c r="C276" s="19" t="n">
        <x:v>46016</x:v>
      </x:c>
      <x:c r="D276" s="1" t="str">
        <x:v>Pouch Filler</x:v>
      </x:c>
      <x:c r="E276" s="1" t="str">
        <x:v>West</x:v>
      </x:c>
      <x:c r="F276" s="20" t="n">
        <x:v>135300</x:v>
      </x:c>
      <x:c r="G276" s="1" t="str">
        <x:v>Repeat purchase</x:v>
      </x:c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 t="str">
        <x:v>ORD-00276</x:v>
      </x:c>
      <x:c r="B277" s="1" t="str">
        <x:v>ACC-0074</x:v>
      </x:c>
      <x:c r="C277" s="19" t="n">
        <x:v>46182</x:v>
      </x:c>
      <x:c r="D277" s="1" t="str">
        <x:v>Service &amp; Parts</x:v>
      </x:c>
      <x:c r="E277" s="1" t="str">
        <x:v>West</x:v>
      </x:c>
      <x:c r="F277" s="20" t="n">
        <x:v>27600</x:v>
      </x:c>
      <x:c r="G277" s="1" t="str">
        <x:v>Repeat purchase</x:v>
      </x:c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 t="str">
        <x:v>ORD-00277</x:v>
      </x:c>
      <x:c r="B278" s="1" t="str">
        <x:v>ACC-0074</x:v>
      </x:c>
      <x:c r="C278" s="19" t="n">
        <x:v>46185</x:v>
      </x:c>
      <x:c r="D278" s="1" t="str">
        <x:v>Pouch Filler</x:v>
      </x:c>
      <x:c r="E278" s="1" t="str">
        <x:v>West</x:v>
      </x:c>
      <x:c r="F278" s="20" t="n">
        <x:v>131700</x:v>
      </x:c>
      <x:c r="G278" s="1" t="str">
        <x:v>Repeat purchase</x:v>
      </x:c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 t="str">
        <x:v>ORD-00278</x:v>
      </x:c>
      <x:c r="B279" s="1" t="str">
        <x:v>ACC-0075</x:v>
      </x:c>
      <x:c r="C279" s="19" t="n">
        <x:v>45586</x:v>
      </x:c>
      <x:c r="D279" s="1" t="str">
        <x:v>Pouch Filler</x:v>
      </x:c>
      <x:c r="E279" s="1" t="str">
        <x:v>Northeast</x:v>
      </x:c>
      <x:c r="F279" s="20" t="n">
        <x:v>139600</x:v>
      </x:c>
      <x:c r="G279" s="1" t="str">
        <x:v>New business</x:v>
      </x:c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 t="str">
        <x:v>ORD-00279</x:v>
      </x:c>
      <x:c r="B280" s="1" t="str">
        <x:v>ACC-0075</x:v>
      </x:c>
      <x:c r="C280" s="19" t="n">
        <x:v>45657</x:v>
      </x:c>
      <x:c r="D280" s="1" t="str">
        <x:v>Case Packer</x:v>
      </x:c>
      <x:c r="E280" s="1" t="str">
        <x:v>Northeast</x:v>
      </x:c>
      <x:c r="F280" s="20" t="n">
        <x:v>34000</x:v>
      </x:c>
      <x:c r="G280" s="1" t="str">
        <x:v>Repeat purchase</x:v>
      </x:c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 t="str">
        <x:v>ORD-00280</x:v>
      </x:c>
      <x:c r="B281" s="1" t="str">
        <x:v>ACC-0075</x:v>
      </x:c>
      <x:c r="C281" s="19" t="n">
        <x:v>45661</x:v>
      </x:c>
      <x:c r="D281" s="1" t="str">
        <x:v>Pouch Filler</x:v>
      </x:c>
      <x:c r="E281" s="1" t="str">
        <x:v>Northeast</x:v>
      </x:c>
      <x:c r="F281" s="20" t="n">
        <x:v>128200</x:v>
      </x:c>
      <x:c r="G281" s="1" t="str">
        <x:v>Repeat purchase</x:v>
      </x:c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 t="str">
        <x:v>ORD-00281</x:v>
      </x:c>
      <x:c r="B282" s="1" t="str">
        <x:v>ACC-0075</x:v>
      </x:c>
      <x:c r="C282" s="19" t="n">
        <x:v>45678</x:v>
      </x:c>
      <x:c r="D282" s="1" t="str">
        <x:v>Labeling System</x:v>
      </x:c>
      <x:c r="E282" s="1" t="str">
        <x:v>Northeast</x:v>
      </x:c>
      <x:c r="F282" s="20" t="n">
        <x:v>83100</x:v>
      </x:c>
      <x:c r="G282" s="1" t="str">
        <x:v>Repeat purchase</x:v>
      </x:c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 t="str">
        <x:v>ORD-00282</x:v>
      </x:c>
      <x:c r="B283" s="1" t="str">
        <x:v>ACC-0076</x:v>
      </x:c>
      <x:c r="C283" s="19" t="n">
        <x:v>45465</x:v>
      </x:c>
      <x:c r="D283" s="1" t="str">
        <x:v>Service &amp; Parts</x:v>
      </x:c>
      <x:c r="E283" s="1" t="str">
        <x:v>South</x:v>
      </x:c>
      <x:c r="F283" s="20" t="n">
        <x:v>22000</x:v>
      </x:c>
      <x:c r="G283" s="1" t="str">
        <x:v>New business</x:v>
      </x:c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 t="str">
        <x:v>ORD-00283</x:v>
      </x:c>
      <x:c r="B284" s="1" t="str">
        <x:v>ACC-0076</x:v>
      </x:c>
      <x:c r="C284" s="19" t="n">
        <x:v>45675</x:v>
      </x:c>
      <x:c r="D284" s="1" t="str">
        <x:v>Case Packer</x:v>
      </x:c>
      <x:c r="E284" s="1" t="str">
        <x:v>South</x:v>
      </x:c>
      <x:c r="F284" s="20" t="n">
        <x:v>231700</x:v>
      </x:c>
      <x:c r="G284" s="1" t="str">
        <x:v>Repeat purchase</x:v>
      </x:c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 t="str">
        <x:v>ORD-00284</x:v>
      </x:c>
      <x:c r="B285" s="1" t="str">
        <x:v>ACC-0076</x:v>
      </x:c>
      <x:c r="C285" s="19" t="n">
        <x:v>45690</x:v>
      </x:c>
      <x:c r="D285" s="1" t="str">
        <x:v>Cartoning Machine</x:v>
      </x:c>
      <x:c r="E285" s="1" t="str">
        <x:v>South</x:v>
      </x:c>
      <x:c r="F285" s="20" t="n">
        <x:v>101400</x:v>
      </x:c>
      <x:c r="G285" s="1" t="str">
        <x:v>Repeat purchase</x:v>
      </x:c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 t="str">
        <x:v>ORD-00285</x:v>
      </x:c>
      <x:c r="B286" s="1" t="str">
        <x:v>ACC-0076</x:v>
      </x:c>
      <x:c r="C286" s="19" t="n">
        <x:v>45873</x:v>
      </x:c>
      <x:c r="D286" s="1" t="str">
        <x:v>Labeling System</x:v>
      </x:c>
      <x:c r="E286" s="1" t="str">
        <x:v>South</x:v>
      </x:c>
      <x:c r="F286" s="20" t="n">
        <x:v>130200</x:v>
      </x:c>
      <x:c r="G286" s="1" t="str">
        <x:v>Repeat purchase</x:v>
      </x:c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 t="str">
        <x:v>ORD-00286</x:v>
      </x:c>
      <x:c r="B287" s="1" t="str">
        <x:v>ACC-0076</x:v>
      </x:c>
      <x:c r="C287" s="19" t="n">
        <x:v>46053</x:v>
      </x:c>
      <x:c r="D287" s="1" t="str">
        <x:v>Pouch Filler</x:v>
      </x:c>
      <x:c r="E287" s="1" t="str">
        <x:v>South</x:v>
      </x:c>
      <x:c r="F287" s="20" t="n">
        <x:v>117500</x:v>
      </x:c>
      <x:c r="G287" s="1" t="str">
        <x:v>Repeat purchase</x:v>
      </x:c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 t="str">
        <x:v>ORD-00287</x:v>
      </x:c>
      <x:c r="B288" s="1" t="str">
        <x:v>ACC-0076</x:v>
      </x:c>
      <x:c r="C288" s="19" t="n">
        <x:v>46127</x:v>
      </x:c>
      <x:c r="D288" s="1" t="str">
        <x:v>Labeling System</x:v>
      </x:c>
      <x:c r="E288" s="1" t="str">
        <x:v>South</x:v>
      </x:c>
      <x:c r="F288" s="20" t="n">
        <x:v>160300</x:v>
      </x:c>
      <x:c r="G288" s="1" t="str">
        <x:v>Repeat purchase</x:v>
      </x:c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 t="str">
        <x:v>ORD-00288</x:v>
      </x:c>
      <x:c r="B289" s="1" t="str">
        <x:v>ACC-0077</x:v>
      </x:c>
      <x:c r="C289" s="19" t="n">
        <x:v>45635</x:v>
      </x:c>
      <x:c r="D289" s="1" t="str">
        <x:v>Labeling System</x:v>
      </x:c>
      <x:c r="E289" s="1" t="str">
        <x:v>Northeast</x:v>
      </x:c>
      <x:c r="F289" s="20" t="n">
        <x:v>39100</x:v>
      </x:c>
      <x:c r="G289" s="1" t="str">
        <x:v>New business</x:v>
      </x:c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 t="str">
        <x:v>ORD-00289</x:v>
      </x:c>
      <x:c r="B290" s="1" t="str">
        <x:v>ACC-0077</x:v>
      </x:c>
      <x:c r="C290" s="19" t="n">
        <x:v>45825</x:v>
      </x:c>
      <x:c r="D290" s="1" t="str">
        <x:v>Labeling System</x:v>
      </x:c>
      <x:c r="E290" s="1" t="str">
        <x:v>Northeast</x:v>
      </x:c>
      <x:c r="F290" s="20" t="n">
        <x:v>109100</x:v>
      </x:c>
      <x:c r="G290" s="1" t="str">
        <x:v>Repeat purchase</x:v>
      </x:c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 t="str">
        <x:v>ORD-00290</x:v>
      </x:c>
      <x:c r="B291" s="1" t="str">
        <x:v>ACC-0077</x:v>
      </x:c>
      <x:c r="C291" s="19" t="n">
        <x:v>45897</x:v>
      </x:c>
      <x:c r="D291" s="1" t="str">
        <x:v>Cartoning Machine</x:v>
      </x:c>
      <x:c r="E291" s="1" t="str">
        <x:v>Northeast</x:v>
      </x:c>
      <x:c r="F291" s="20" t="n">
        <x:v>94700</x:v>
      </x:c>
      <x:c r="G291" s="1" t="str">
        <x:v>Repeat purchase</x:v>
      </x:c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 t="str">
        <x:v>ORD-00291</x:v>
      </x:c>
      <x:c r="B292" s="1" t="str">
        <x:v>ACC-0077</x:v>
      </x:c>
      <x:c r="C292" s="19" t="n">
        <x:v>45979</x:v>
      </x:c>
      <x:c r="D292" s="1" t="str">
        <x:v>Service &amp; Parts</x:v>
      </x:c>
      <x:c r="E292" s="1" t="str">
        <x:v>Northeast</x:v>
      </x:c>
      <x:c r="F292" s="20" t="n">
        <x:v>7000</x:v>
      </x:c>
      <x:c r="G292" s="1" t="str">
        <x:v>Repeat purchase</x:v>
      </x:c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 t="str">
        <x:v>ORD-00292</x:v>
      </x:c>
      <x:c r="B293" s="1" t="str">
        <x:v>ACC-0078</x:v>
      </x:c>
      <x:c r="C293" s="19" t="n">
        <x:v>45622</x:v>
      </x:c>
      <x:c r="D293" s="1" t="str">
        <x:v>Case Packer</x:v>
      </x:c>
      <x:c r="E293" s="1" t="str">
        <x:v>Northeast</x:v>
      </x:c>
      <x:c r="F293" s="20" t="n">
        <x:v>194100</x:v>
      </x:c>
      <x:c r="G293" s="1" t="str">
        <x:v>New business</x:v>
      </x:c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 t="str">
        <x:v>ORD-00293</x:v>
      </x:c>
      <x:c r="B294" s="1" t="str">
        <x:v>ACC-0078</x:v>
      </x:c>
      <x:c r="C294" s="19" t="n">
        <x:v>45737</x:v>
      </x:c>
      <x:c r="D294" s="1" t="str">
        <x:v>Case Packer</x:v>
      </x:c>
      <x:c r="E294" s="1" t="str">
        <x:v>Northeast</x:v>
      </x:c>
      <x:c r="F294" s="20" t="n">
        <x:v>225900</x:v>
      </x:c>
      <x:c r="G294" s="1" t="str">
        <x:v>Repeat purchase</x:v>
      </x:c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 t="str">
        <x:v>ORD-00294</x:v>
      </x:c>
      <x:c r="B295" s="1" t="str">
        <x:v>ACC-0078</x:v>
      </x:c>
      <x:c r="C295" s="19" t="n">
        <x:v>45835</x:v>
      </x:c>
      <x:c r="D295" s="1" t="str">
        <x:v>Cartoning Machine</x:v>
      </x:c>
      <x:c r="E295" s="1" t="str">
        <x:v>Northeast</x:v>
      </x:c>
      <x:c r="F295" s="20" t="n">
        <x:v>188000</x:v>
      </x:c>
      <x:c r="G295" s="1" t="str">
        <x:v>Repeat purchase</x:v>
      </x:c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 t="str">
        <x:v>ORD-00295</x:v>
      </x:c>
      <x:c r="B296" s="1" t="str">
        <x:v>ACC-0078</x:v>
      </x:c>
      <x:c r="C296" s="19" t="n">
        <x:v>45845</x:v>
      </x:c>
      <x:c r="D296" s="1" t="str">
        <x:v>Case Packer</x:v>
      </x:c>
      <x:c r="E296" s="1" t="str">
        <x:v>Northeast</x:v>
      </x:c>
      <x:c r="F296" s="20" t="n">
        <x:v>220400</x:v>
      </x:c>
      <x:c r="G296" s="1" t="str">
        <x:v>Repeat purchase</x:v>
      </x:c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 t="str">
        <x:v>ORD-00296</x:v>
      </x:c>
      <x:c r="B297" s="1" t="str">
        <x:v>ACC-0078</x:v>
      </x:c>
      <x:c r="C297" s="19" t="n">
        <x:v>45857</x:v>
      </x:c>
      <x:c r="D297" s="1" t="str">
        <x:v>Labeling System</x:v>
      </x:c>
      <x:c r="E297" s="1" t="str">
        <x:v>Northeast</x:v>
      </x:c>
      <x:c r="F297" s="20" t="n">
        <x:v>123500</x:v>
      </x:c>
      <x:c r="G297" s="1" t="str">
        <x:v>Repeat purchase</x:v>
      </x:c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 t="str">
        <x:v>ORD-00297</x:v>
      </x:c>
      <x:c r="B298" s="1" t="str">
        <x:v>ACC-0078</x:v>
      </x:c>
      <x:c r="C298" s="19" t="n">
        <x:v>45877</x:v>
      </x:c>
      <x:c r="D298" s="1" t="str">
        <x:v>Labeling System</x:v>
      </x:c>
      <x:c r="E298" s="1" t="str">
        <x:v>Northeast</x:v>
      </x:c>
      <x:c r="F298" s="20" t="n">
        <x:v>256900</x:v>
      </x:c>
      <x:c r="G298" s="1" t="str">
        <x:v>Repeat purchase</x:v>
      </x:c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 t="str">
        <x:v>ORD-00298</x:v>
      </x:c>
      <x:c r="B299" s="1" t="str">
        <x:v>ACC-0078</x:v>
      </x:c>
      <x:c r="C299" s="19" t="n">
        <x:v>45900</x:v>
      </x:c>
      <x:c r="D299" s="1" t="str">
        <x:v>Cartoning Machine</x:v>
      </x:c>
      <x:c r="E299" s="1" t="str">
        <x:v>Northeast</x:v>
      </x:c>
      <x:c r="F299" s="20" t="n">
        <x:v>110400</x:v>
      </x:c>
      <x:c r="G299" s="1" t="str">
        <x:v>Repeat purchase</x:v>
      </x:c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 t="str">
        <x:v>ORD-00299</x:v>
      </x:c>
      <x:c r="B300" s="1" t="str">
        <x:v>ACC-0078</x:v>
      </x:c>
      <x:c r="C300" s="19" t="n">
        <x:v>45956</x:v>
      </x:c>
      <x:c r="D300" s="1" t="str">
        <x:v>Case Packer</x:v>
      </x:c>
      <x:c r="E300" s="1" t="str">
        <x:v>Northeast</x:v>
      </x:c>
      <x:c r="F300" s="20" t="n">
        <x:v>63700</x:v>
      </x:c>
      <x:c r="G300" s="1" t="str">
        <x:v>Repeat purchase</x:v>
      </x:c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 t="str">
        <x:v>ORD-00300</x:v>
      </x:c>
      <x:c r="B301" s="1" t="str">
        <x:v>ACC-0079</x:v>
      </x:c>
      <x:c r="C301" s="19" t="n">
        <x:v>45963</x:v>
      </x:c>
      <x:c r="D301" s="1" t="str">
        <x:v>Pouch Filler</x:v>
      </x:c>
      <x:c r="E301" s="1" t="str">
        <x:v>South</x:v>
      </x:c>
      <x:c r="F301" s="20" t="n">
        <x:v>139400</x:v>
      </x:c>
      <x:c r="G301" s="1" t="str">
        <x:v>New business</x:v>
      </x:c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 t="str">
        <x:v>ORD-00301</x:v>
      </x:c>
      <x:c r="B302" s="1" t="str">
        <x:v>ACC-0079</x:v>
      </x:c>
      <x:c r="C302" s="19" t="n">
        <x:v>46055</x:v>
      </x:c>
      <x:c r="D302" s="1" t="str">
        <x:v>Pouch Filler</x:v>
      </x:c>
      <x:c r="E302" s="1" t="str">
        <x:v>South</x:v>
      </x:c>
      <x:c r="F302" s="20" t="n">
        <x:v>142400</x:v>
      </x:c>
      <x:c r="G302" s="1" t="str">
        <x:v>Repeat purchase</x:v>
      </x:c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 t="str">
        <x:v>ORD-00302</x:v>
      </x:c>
      <x:c r="B303" s="1" t="str">
        <x:v>ACC-0079</x:v>
      </x:c>
      <x:c r="C303" s="19" t="n">
        <x:v>46059</x:v>
      </x:c>
      <x:c r="D303" s="1" t="str">
        <x:v>Cartoning Machine</x:v>
      </x:c>
      <x:c r="E303" s="1" t="str">
        <x:v>South</x:v>
      </x:c>
      <x:c r="F303" s="20" t="n">
        <x:v>90000</x:v>
      </x:c>
      <x:c r="G303" s="1" t="str">
        <x:v>Repeat purchase</x:v>
      </x:c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 t="str">
        <x:v>ORD-00303</x:v>
      </x:c>
      <x:c r="B304" s="1" t="str">
        <x:v>ACC-0079</x:v>
      </x:c>
      <x:c r="C304" s="19" t="n">
        <x:v>46072</x:v>
      </x:c>
      <x:c r="D304" s="1" t="str">
        <x:v>Cartoning Machine</x:v>
      </x:c>
      <x:c r="E304" s="1" t="str">
        <x:v>South</x:v>
      </x:c>
      <x:c r="F304" s="20" t="n">
        <x:v>118800</x:v>
      </x:c>
      <x:c r="G304" s="1" t="str">
        <x:v>Repeat purchase</x:v>
      </x:c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 t="str">
        <x:v>ORD-00304</x:v>
      </x:c>
      <x:c r="B305" s="1" t="str">
        <x:v>ACC-0080</x:v>
      </x:c>
      <x:c r="C305" s="19" t="n">
        <x:v>45583</x:v>
      </x:c>
      <x:c r="D305" s="1" t="str">
        <x:v>Pouch Filler</x:v>
      </x:c>
      <x:c r="E305" s="1" t="str">
        <x:v>Midwest</x:v>
      </x:c>
      <x:c r="F305" s="20" t="n">
        <x:v>176300</x:v>
      </x:c>
      <x:c r="G305" s="1" t="str">
        <x:v>New business</x:v>
      </x:c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 t="str">
        <x:v>ORD-00305</x:v>
      </x:c>
      <x:c r="B306" s="1" t="str">
        <x:v>ACC-0080</x:v>
      </x:c>
      <x:c r="C306" s="19" t="n">
        <x:v>45666</x:v>
      </x:c>
      <x:c r="D306" s="1" t="str">
        <x:v>Service &amp; Parts</x:v>
      </x:c>
      <x:c r="E306" s="1" t="str">
        <x:v>Midwest</x:v>
      </x:c>
      <x:c r="F306" s="20" t="n">
        <x:v>23300</x:v>
      </x:c>
      <x:c r="G306" s="1" t="str">
        <x:v>Repeat purchase</x:v>
      </x:c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 t="str">
        <x:v>ORD-00306</x:v>
      </x:c>
      <x:c r="B307" s="1" t="str">
        <x:v>ACC-0080</x:v>
      </x:c>
      <x:c r="C307" s="19" t="n">
        <x:v>45828</x:v>
      </x:c>
      <x:c r="D307" s="1" t="str">
        <x:v>Labeling System</x:v>
      </x:c>
      <x:c r="E307" s="1" t="str">
        <x:v>Midwest</x:v>
      </x:c>
      <x:c r="F307" s="20" t="n">
        <x:v>148700</x:v>
      </x:c>
      <x:c r="G307" s="1" t="str">
        <x:v>Repeat purchase</x:v>
      </x:c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 t="str">
        <x:v>ORD-00307</x:v>
      </x:c>
      <x:c r="B308" s="1" t="str">
        <x:v>ACC-0080</x:v>
      </x:c>
      <x:c r="C308" s="19" t="n">
        <x:v>46132</x:v>
      </x:c>
      <x:c r="D308" s="1" t="str">
        <x:v>Service &amp; Parts</x:v>
      </x:c>
      <x:c r="E308" s="1" t="str">
        <x:v>Midwest</x:v>
      </x:c>
      <x:c r="F308" s="20" t="n">
        <x:v>12000</x:v>
      </x:c>
      <x:c r="G308" s="1" t="str">
        <x:v>Repeat purchase</x:v>
      </x:c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 t="str">
        <x:v>ORD-00308</x:v>
      </x:c>
      <x:c r="B309" s="1" t="str">
        <x:v>ACC-0081</x:v>
      </x:c>
      <x:c r="C309" s="19" t="n">
        <x:v>45688</x:v>
      </x:c>
      <x:c r="D309" s="1" t="str">
        <x:v>Labeling System</x:v>
      </x:c>
      <x:c r="E309" s="1" t="str">
        <x:v>South</x:v>
      </x:c>
      <x:c r="F309" s="20" t="n">
        <x:v>55300</x:v>
      </x:c>
      <x:c r="G309" s="1" t="str">
        <x:v>New business</x:v>
      </x:c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 t="str">
        <x:v>ORD-00309</x:v>
      </x:c>
      <x:c r="B310" s="1" t="str">
        <x:v>ACC-0081</x:v>
      </x:c>
      <x:c r="C310" s="19" t="n">
        <x:v>45739</x:v>
      </x:c>
      <x:c r="D310" s="1" t="str">
        <x:v>Case Packer</x:v>
      </x:c>
      <x:c r="E310" s="1" t="str">
        <x:v>South</x:v>
      </x:c>
      <x:c r="F310" s="20" t="n">
        <x:v>91500</x:v>
      </x:c>
      <x:c r="G310" s="1" t="str">
        <x:v>Repeat purchase</x:v>
      </x:c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 t="str">
        <x:v>ORD-00310</x:v>
      </x:c>
      <x:c r="B311" s="1" t="str">
        <x:v>ACC-0081</x:v>
      </x:c>
      <x:c r="C311" s="19" t="n">
        <x:v>46023</x:v>
      </x:c>
      <x:c r="D311" s="1" t="str">
        <x:v>Service &amp; Parts</x:v>
      </x:c>
      <x:c r="E311" s="1" t="str">
        <x:v>South</x:v>
      </x:c>
      <x:c r="F311" s="20" t="n">
        <x:v>23100</x:v>
      </x:c>
      <x:c r="G311" s="1" t="str">
        <x:v>Repeat purchase</x:v>
      </x:c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 t="str">
        <x:v>ORD-00311</x:v>
      </x:c>
      <x:c r="B312" s="1" t="str">
        <x:v>ACC-0082</x:v>
      </x:c>
      <x:c r="C312" s="19" t="n">
        <x:v>45762</x:v>
      </x:c>
      <x:c r="D312" s="1" t="str">
        <x:v>Service &amp; Parts</x:v>
      </x:c>
      <x:c r="E312" s="1" t="str">
        <x:v>Midwest</x:v>
      </x:c>
      <x:c r="F312" s="20" t="n">
        <x:v>28200</x:v>
      </x:c>
      <x:c r="G312" s="1" t="str">
        <x:v>New business</x:v>
      </x:c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 t="str">
        <x:v>ORD-00312</x:v>
      </x:c>
      <x:c r="B313" s="1" t="str">
        <x:v>ACC-0082</x:v>
      </x:c>
      <x:c r="C313" s="19" t="n">
        <x:v>45815</x:v>
      </x:c>
      <x:c r="D313" s="1" t="str">
        <x:v>Labeling System</x:v>
      </x:c>
      <x:c r="E313" s="1" t="str">
        <x:v>Midwest</x:v>
      </x:c>
      <x:c r="F313" s="20" t="n">
        <x:v>130000</x:v>
      </x:c>
      <x:c r="G313" s="1" t="str">
        <x:v>Repeat purchase</x:v>
      </x:c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 t="str">
        <x:v>ORD-00313</x:v>
      </x:c>
      <x:c r="B314" s="1" t="str">
        <x:v>ACC-0082</x:v>
      </x:c>
      <x:c r="C314" s="19" t="n">
        <x:v>45899</x:v>
      </x:c>
      <x:c r="D314" s="1" t="str">
        <x:v>Service &amp; Parts</x:v>
      </x:c>
      <x:c r="E314" s="1" t="str">
        <x:v>Midwest</x:v>
      </x:c>
      <x:c r="F314" s="20" t="n">
        <x:v>15200</x:v>
      </x:c>
      <x:c r="G314" s="1" t="str">
        <x:v>Repeat purchase</x:v>
      </x:c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 t="str">
        <x:v>ORD-00314</x:v>
      </x:c>
      <x:c r="B315" s="1" t="str">
        <x:v>ACC-0082</x:v>
      </x:c>
      <x:c r="C315" s="19" t="n">
        <x:v>45951</x:v>
      </x:c>
      <x:c r="D315" s="1" t="str">
        <x:v>Service &amp; Parts</x:v>
      </x:c>
      <x:c r="E315" s="1" t="str">
        <x:v>Midwest</x:v>
      </x:c>
      <x:c r="F315" s="20" t="n">
        <x:v>9600</x:v>
      </x:c>
      <x:c r="G315" s="1" t="str">
        <x:v>Repeat purchase</x:v>
      </x:c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 t="str">
        <x:v>ORD-00315</x:v>
      </x:c>
      <x:c r="B316" s="1" t="str">
        <x:v>ACC-0082</x:v>
      </x:c>
      <x:c r="C316" s="19" t="n">
        <x:v>46138</x:v>
      </x:c>
      <x:c r="D316" s="1" t="str">
        <x:v>Service &amp; Parts</x:v>
      </x:c>
      <x:c r="E316" s="1" t="str">
        <x:v>Midwest</x:v>
      </x:c>
      <x:c r="F316" s="20" t="n">
        <x:v>24700</x:v>
      </x:c>
      <x:c r="G316" s="1" t="str">
        <x:v>Repeat purchase</x:v>
      </x:c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 t="str">
        <x:v>ORD-00316</x:v>
      </x:c>
      <x:c r="B317" s="1" t="str">
        <x:v>ACC-0083</x:v>
      </x:c>
      <x:c r="C317" s="19" t="n">
        <x:v>45716</x:v>
      </x:c>
      <x:c r="D317" s="1" t="str">
        <x:v>Cartoning Machine</x:v>
      </x:c>
      <x:c r="E317" s="1" t="str">
        <x:v>Northeast</x:v>
      </x:c>
      <x:c r="F317" s="20" t="n">
        <x:v>78500</x:v>
      </x:c>
      <x:c r="G317" s="1" t="str">
        <x:v>New business</x:v>
      </x:c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 t="str">
        <x:v>ORD-00317</x:v>
      </x:c>
      <x:c r="B318" s="1" t="str">
        <x:v>ACC-0083</x:v>
      </x:c>
      <x:c r="C318" s="19" t="n">
        <x:v>46013</x:v>
      </x:c>
      <x:c r="D318" s="1" t="str">
        <x:v>Case Packer</x:v>
      </x:c>
      <x:c r="E318" s="1" t="str">
        <x:v>Northeast</x:v>
      </x:c>
      <x:c r="F318" s="20" t="n">
        <x:v>104100</x:v>
      </x:c>
      <x:c r="G318" s="1" t="str">
        <x:v>Repeat purchase</x:v>
      </x:c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 t="str">
        <x:v>ORD-00318</x:v>
      </x:c>
      <x:c r="B319" s="1" t="str">
        <x:v>ACC-0083</x:v>
      </x:c>
      <x:c r="C319" s="19" t="n">
        <x:v>46049</x:v>
      </x:c>
      <x:c r="D319" s="1" t="str">
        <x:v>Pouch Filler</x:v>
      </x:c>
      <x:c r="E319" s="1" t="str">
        <x:v>Northeast</x:v>
      </x:c>
      <x:c r="F319" s="20" t="n">
        <x:v>98500</x:v>
      </x:c>
      <x:c r="G319" s="1" t="str">
        <x:v>Repeat purchase</x:v>
      </x:c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 t="str">
        <x:v>ORD-00319</x:v>
      </x:c>
      <x:c r="B320" s="1" t="str">
        <x:v>ACC-0084</x:v>
      </x:c>
      <x:c r="C320" s="19" t="n">
        <x:v>45294</x:v>
      </x:c>
      <x:c r="D320" s="1" t="str">
        <x:v>Service &amp; Parts</x:v>
      </x:c>
      <x:c r="E320" s="1" t="str">
        <x:v>South</x:v>
      </x:c>
      <x:c r="F320" s="20" t="n">
        <x:v>36800</x:v>
      </x:c>
      <x:c r="G320" s="1" t="str">
        <x:v>New business</x:v>
      </x:c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 t="str">
        <x:v>ORD-00320</x:v>
      </x:c>
      <x:c r="B321" s="1" t="str">
        <x:v>ACC-0084</x:v>
      </x:c>
      <x:c r="C321" s="19" t="n">
        <x:v>45376</x:v>
      </x:c>
      <x:c r="D321" s="1" t="str">
        <x:v>Labeling System</x:v>
      </x:c>
      <x:c r="E321" s="1" t="str">
        <x:v>South</x:v>
      </x:c>
      <x:c r="F321" s="20" t="n">
        <x:v>143900</x:v>
      </x:c>
      <x:c r="G321" s="1" t="str">
        <x:v>Repeat purchase</x:v>
      </x:c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 t="str">
        <x:v>ORD-00321</x:v>
      </x:c>
      <x:c r="B322" s="1" t="str">
        <x:v>ACC-0084</x:v>
      </x:c>
      <x:c r="C322" s="19" t="n">
        <x:v>45963</x:v>
      </x:c>
      <x:c r="D322" s="1" t="str">
        <x:v>Pouch Filler</x:v>
      </x:c>
      <x:c r="E322" s="1" t="str">
        <x:v>South</x:v>
      </x:c>
      <x:c r="F322" s="20" t="n">
        <x:v>131400</x:v>
      </x:c>
      <x:c r="G322" s="1" t="str">
        <x:v>Repeat purchase</x:v>
      </x:c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 t="str">
        <x:v>ORD-00322</x:v>
      </x:c>
      <x:c r="B323" s="1" t="str">
        <x:v>ACC-0085</x:v>
      </x:c>
      <x:c r="C323" s="19" t="n">
        <x:v>45622</x:v>
      </x:c>
      <x:c r="D323" s="1" t="str">
        <x:v>Cartoning Machine</x:v>
      </x:c>
      <x:c r="E323" s="1" t="str">
        <x:v>West</x:v>
      </x:c>
      <x:c r="F323" s="20" t="n">
        <x:v>69200</x:v>
      </x:c>
      <x:c r="G323" s="1" t="str">
        <x:v>New business</x:v>
      </x:c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 t="str">
        <x:v>ORD-00323</x:v>
      </x:c>
      <x:c r="B324" s="1" t="str">
        <x:v>ACC-0086</x:v>
      </x:c>
      <x:c r="C324" s="19" t="n">
        <x:v>46091</x:v>
      </x:c>
      <x:c r="D324" s="1" t="str">
        <x:v>Service &amp; Parts</x:v>
      </x:c>
      <x:c r="E324" s="1" t="str">
        <x:v>West</x:v>
      </x:c>
      <x:c r="F324" s="20" t="n">
        <x:v>27900</x:v>
      </x:c>
      <x:c r="G324" s="1" t="str">
        <x:v>New business</x:v>
      </x:c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 t="str">
        <x:v>ORD-00324</x:v>
      </x:c>
      <x:c r="B325" s="1" t="str">
        <x:v>ACC-0086</x:v>
      </x:c>
      <x:c r="C325" s="19" t="n">
        <x:v>46112</x:v>
      </x:c>
      <x:c r="D325" s="1" t="str">
        <x:v>Pouch Filler</x:v>
      </x:c>
      <x:c r="E325" s="1" t="str">
        <x:v>West</x:v>
      </x:c>
      <x:c r="F325" s="20" t="n">
        <x:v>69300</x:v>
      </x:c>
      <x:c r="G325" s="1" t="str">
        <x:v>Repeat purchase</x:v>
      </x:c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 t="str">
        <x:v>ORD-00325</x:v>
      </x:c>
      <x:c r="B326" s="1" t="str">
        <x:v>ACC-0087</x:v>
      </x:c>
      <x:c r="C326" s="19" t="n">
        <x:v>45382</x:v>
      </x:c>
      <x:c r="D326" s="1" t="str">
        <x:v>Service &amp; Parts</x:v>
      </x:c>
      <x:c r="E326" s="1" t="str">
        <x:v>West</x:v>
      </x:c>
      <x:c r="F326" s="20" t="n">
        <x:v>19800</x:v>
      </x:c>
      <x:c r="G326" s="1" t="str">
        <x:v>New business</x:v>
      </x:c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 t="str">
        <x:v>ORD-00326</x:v>
      </x:c>
      <x:c r="B327" s="1" t="str">
        <x:v>ACC-0088</x:v>
      </x:c>
      <x:c r="C327" s="19" t="n">
        <x:v>46079</x:v>
      </x:c>
      <x:c r="D327" s="1" t="str">
        <x:v>Pouch Filler</x:v>
      </x:c>
      <x:c r="E327" s="1" t="str">
        <x:v>South</x:v>
      </x:c>
      <x:c r="F327" s="20" t="n">
        <x:v>160200</x:v>
      </x:c>
      <x:c r="G327" s="1" t="str">
        <x:v>New business</x:v>
      </x:c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 t="str">
        <x:v>ORD-00327</x:v>
      </x:c>
      <x:c r="B328" s="1" t="str">
        <x:v>ACC-0088</x:v>
      </x:c>
      <x:c r="C328" s="19" t="n">
        <x:v>46151</x:v>
      </x:c>
      <x:c r="D328" s="1" t="str">
        <x:v>Pouch Filler</x:v>
      </x:c>
      <x:c r="E328" s="1" t="str">
        <x:v>South</x:v>
      </x:c>
      <x:c r="F328" s="20" t="n">
        <x:v>161200</x:v>
      </x:c>
      <x:c r="G328" s="1" t="str">
        <x:v>Repeat purchase</x:v>
      </x:c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 t="str">
        <x:v>ORD-00328</x:v>
      </x:c>
      <x:c r="B329" s="1" t="str">
        <x:v>ACC-0089</x:v>
      </x:c>
      <x:c r="C329" s="19" t="n">
        <x:v>46061</x:v>
      </x:c>
      <x:c r="D329" s="1" t="str">
        <x:v>Case Packer</x:v>
      </x:c>
      <x:c r="E329" s="1" t="str">
        <x:v>South</x:v>
      </x:c>
      <x:c r="F329" s="20" t="n">
        <x:v>33700</x:v>
      </x:c>
      <x:c r="G329" s="1" t="str">
        <x:v>New business</x:v>
      </x:c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 t="str">
        <x:v>ORD-00329</x:v>
      </x:c>
      <x:c r="B330" s="1" t="str">
        <x:v>ACC-0090</x:v>
      </x:c>
      <x:c r="C330" s="19" t="n">
        <x:v>45986</x:v>
      </x:c>
      <x:c r="D330" s="1" t="str">
        <x:v>Service &amp; Parts</x:v>
      </x:c>
      <x:c r="E330" s="1" t="str">
        <x:v>Midwest</x:v>
      </x:c>
      <x:c r="F330" s="20" t="n">
        <x:v>21300</x:v>
      </x:c>
      <x:c r="G330" s="1" t="str">
        <x:v>New business</x:v>
      </x:c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 t="str">
        <x:v>ORD-00330</x:v>
      </x:c>
      <x:c r="B331" s="1" t="str">
        <x:v>ACC-0090</x:v>
      </x:c>
      <x:c r="C331" s="19" t="n">
        <x:v>46089</x:v>
      </x:c>
      <x:c r="D331" s="1" t="str">
        <x:v>Service &amp; Parts</x:v>
      </x:c>
      <x:c r="E331" s="1" t="str">
        <x:v>Midwest</x:v>
      </x:c>
      <x:c r="F331" s="20" t="n">
        <x:v>23000</x:v>
      </x:c>
      <x:c r="G331" s="1" t="str">
        <x:v>Repeat purchase</x:v>
      </x:c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 t="str">
        <x:v>ORD-00331</x:v>
      </x:c>
      <x:c r="B332" s="1" t="str">
        <x:v>ACC-0091</x:v>
      </x:c>
      <x:c r="C332" s="19" t="n">
        <x:v>45632</x:v>
      </x:c>
      <x:c r="D332" s="1" t="str">
        <x:v>Case Packer</x:v>
      </x:c>
      <x:c r="E332" s="1" t="str">
        <x:v>Northeast</x:v>
      </x:c>
      <x:c r="F332" s="20" t="n">
        <x:v>183500</x:v>
      </x:c>
      <x:c r="G332" s="1" t="str">
        <x:v>New business</x:v>
      </x:c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 t="str">
        <x:v>ORD-00332</x:v>
      </x:c>
      <x:c r="B333" s="1" t="str">
        <x:v>ACC-0091</x:v>
      </x:c>
      <x:c r="C333" s="19" t="n">
        <x:v>45905</x:v>
      </x:c>
      <x:c r="D333" s="1" t="str">
        <x:v>Case Packer</x:v>
      </x:c>
      <x:c r="E333" s="1" t="str">
        <x:v>Northeast</x:v>
      </x:c>
      <x:c r="F333" s="20" t="n">
        <x:v>240300</x:v>
      </x:c>
      <x:c r="G333" s="1" t="str">
        <x:v>Repeat purchase</x:v>
      </x:c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 t="str">
        <x:v>ORD-00333</x:v>
      </x:c>
      <x:c r="B334" s="1" t="str">
        <x:v>ACC-0091</x:v>
      </x:c>
      <x:c r="C334" s="19" t="n">
        <x:v>46064</x:v>
      </x:c>
      <x:c r="D334" s="1" t="str">
        <x:v>Labeling System</x:v>
      </x:c>
      <x:c r="E334" s="1" t="str">
        <x:v>Northeast</x:v>
      </x:c>
      <x:c r="F334" s="20" t="n">
        <x:v>98300</x:v>
      </x:c>
      <x:c r="G334" s="1" t="str">
        <x:v>Repeat purchase</x:v>
      </x:c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 t="str">
        <x:v>ORD-00334</x:v>
      </x:c>
      <x:c r="B335" s="1" t="str">
        <x:v>ACC-0091</x:v>
      </x:c>
      <x:c r="C335" s="19" t="n">
        <x:v>46095</x:v>
      </x:c>
      <x:c r="D335" s="1" t="str">
        <x:v>Labeling System</x:v>
      </x:c>
      <x:c r="E335" s="1" t="str">
        <x:v>Northeast</x:v>
      </x:c>
      <x:c r="F335" s="20" t="n">
        <x:v>262200</x:v>
      </x:c>
      <x:c r="G335" s="1" t="str">
        <x:v>Repeat purchase</x:v>
      </x:c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 t="str">
        <x:v>ORD-00335</x:v>
      </x:c>
      <x:c r="B336" s="1" t="str">
        <x:v>ACC-0091</x:v>
      </x:c>
      <x:c r="C336" s="19" t="n">
        <x:v>46139</x:v>
      </x:c>
      <x:c r="D336" s="1" t="str">
        <x:v>Case Packer</x:v>
      </x:c>
      <x:c r="E336" s="1" t="str">
        <x:v>Northeast</x:v>
      </x:c>
      <x:c r="F336" s="20" t="n">
        <x:v>265700</x:v>
      </x:c>
      <x:c r="G336" s="1" t="str">
        <x:v>Repeat purchase</x:v>
      </x:c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 t="str">
        <x:v>ORD-00336</x:v>
      </x:c>
      <x:c r="B337" s="1" t="str">
        <x:v>ACC-0091</x:v>
      </x:c>
      <x:c r="C337" s="19" t="n">
        <x:v>46191</x:v>
      </x:c>
      <x:c r="D337" s="1" t="str">
        <x:v>Labeling System</x:v>
      </x:c>
      <x:c r="E337" s="1" t="str">
        <x:v>Northeast</x:v>
      </x:c>
      <x:c r="F337" s="20" t="n">
        <x:v>279700</x:v>
      </x:c>
      <x:c r="G337" s="1" t="str">
        <x:v>Repeat purchase</x:v>
      </x:c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 t="str">
        <x:v>ORD-00337</x:v>
      </x:c>
      <x:c r="B338" s="1" t="str">
        <x:v>ACC-0092</x:v>
      </x:c>
      <x:c r="C338" s="19" t="n">
        <x:v>46192</x:v>
      </x:c>
      <x:c r="D338" s="1" t="str">
        <x:v>Service &amp; Parts</x:v>
      </x:c>
      <x:c r="E338" s="1" t="str">
        <x:v>Northeast</x:v>
      </x:c>
      <x:c r="F338" s="20" t="n">
        <x:v>41800</x:v>
      </x:c>
      <x:c r="G338" s="1" t="str">
        <x:v>New business</x:v>
      </x:c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 t="str">
        <x:v>ORD-00338</x:v>
      </x:c>
      <x:c r="B339" s="1" t="str">
        <x:v>ACC-0092</x:v>
      </x:c>
      <x:c r="C339" s="19" t="n">
        <x:v>46197</x:v>
      </x:c>
      <x:c r="D339" s="1" t="str">
        <x:v>Pouch Filler</x:v>
      </x:c>
      <x:c r="E339" s="1" t="str">
        <x:v>Northeast</x:v>
      </x:c>
      <x:c r="F339" s="20" t="n">
        <x:v>273600</x:v>
      </x:c>
      <x:c r="G339" s="1" t="str">
        <x:v>Repeat purchase</x:v>
      </x:c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 t="str">
        <x:v>ORD-00339</x:v>
      </x:c>
      <x:c r="B340" s="1" t="str">
        <x:v>ACC-0093</x:v>
      </x:c>
      <x:c r="C340" s="19" t="n">
        <x:v>45306</x:v>
      </x:c>
      <x:c r="D340" s="1" t="str">
        <x:v>Service &amp; Parts</x:v>
      </x:c>
      <x:c r="E340" s="1" t="str">
        <x:v>Northeast</x:v>
      </x:c>
      <x:c r="F340" s="20" t="n">
        <x:v>28900</x:v>
      </x:c>
      <x:c r="G340" s="1" t="str">
        <x:v>New business</x:v>
      </x:c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 t="str">
        <x:v>ORD-00340</x:v>
      </x:c>
      <x:c r="B341" s="1" t="str">
        <x:v>ACC-0093</x:v>
      </x:c>
      <x:c r="C341" s="19" t="n">
        <x:v>45916</x:v>
      </x:c>
      <x:c r="D341" s="1" t="str">
        <x:v>Labeling System</x:v>
      </x:c>
      <x:c r="E341" s="1" t="str">
        <x:v>Northeast</x:v>
      </x:c>
      <x:c r="F341" s="20" t="n">
        <x:v>150100</x:v>
      </x:c>
      <x:c r="G341" s="1" t="str">
        <x:v>Repeat purchase</x:v>
      </x:c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 t="str">
        <x:v>ORD-00341</x:v>
      </x:c>
      <x:c r="B342" s="1" t="str">
        <x:v>ACC-0094</x:v>
      </x:c>
      <x:c r="C342" s="19" t="n">
        <x:v>45985</x:v>
      </x:c>
      <x:c r="D342" s="1" t="str">
        <x:v>Case Packer</x:v>
      </x:c>
      <x:c r="E342" s="1" t="str">
        <x:v>South</x:v>
      </x:c>
      <x:c r="F342" s="20" t="n">
        <x:v>135900</x:v>
      </x:c>
      <x:c r="G342" s="1" t="str">
        <x:v>New business</x:v>
      </x:c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 t="str">
        <x:v>ORD-00342</x:v>
      </x:c>
      <x:c r="B343" s="1" t="str">
        <x:v>ACC-0094</x:v>
      </x:c>
      <x:c r="C343" s="19" t="n">
        <x:v>46112</x:v>
      </x:c>
      <x:c r="D343" s="1" t="str">
        <x:v>Service &amp; Parts</x:v>
      </x:c>
      <x:c r="E343" s="1" t="str">
        <x:v>South</x:v>
      </x:c>
      <x:c r="F343" s="20" t="n">
        <x:v>19300</x:v>
      </x:c>
      <x:c r="G343" s="1" t="str">
        <x:v>Repeat purchase</x:v>
      </x:c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 t="str">
        <x:v>ORD-00343</x:v>
      </x:c>
      <x:c r="B344" s="1" t="str">
        <x:v>ACC-0094</x:v>
      </x:c>
      <x:c r="C344" s="19" t="n">
        <x:v>46124</x:v>
      </x:c>
      <x:c r="D344" s="1" t="str">
        <x:v>Case Packer</x:v>
      </x:c>
      <x:c r="E344" s="1" t="str">
        <x:v>South</x:v>
      </x:c>
      <x:c r="F344" s="20" t="n">
        <x:v>77000</x:v>
      </x:c>
      <x:c r="G344" s="1" t="str">
        <x:v>Repeat purchase</x:v>
      </x:c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 t="str">
        <x:v>ORD-00344</x:v>
      </x:c>
      <x:c r="B345" s="1" t="str">
        <x:v>ACC-0094</x:v>
      </x:c>
      <x:c r="C345" s="19" t="n">
        <x:v>46174</x:v>
      </x:c>
      <x:c r="D345" s="1" t="str">
        <x:v>Case Packer</x:v>
      </x:c>
      <x:c r="E345" s="1" t="str">
        <x:v>South</x:v>
      </x:c>
      <x:c r="F345" s="20" t="n">
        <x:v>56000</x:v>
      </x:c>
      <x:c r="G345" s="1" t="str">
        <x:v>Repeat purchase</x:v>
      </x:c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 t="str">
        <x:v>ORD-00345</x:v>
      </x:c>
      <x:c r="B346" s="1" t="str">
        <x:v>ACC-0095</x:v>
      </x:c>
      <x:c r="C346" s="19" t="n">
        <x:v>46064</x:v>
      </x:c>
      <x:c r="D346" s="1" t="str">
        <x:v>Case Packer</x:v>
      </x:c>
      <x:c r="E346" s="1" t="str">
        <x:v>West</x:v>
      </x:c>
      <x:c r="F346" s="20" t="n">
        <x:v>161400</x:v>
      </x:c>
      <x:c r="G346" s="1" t="str">
        <x:v>New business</x:v>
      </x:c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 t="str">
        <x:v>ORD-00346</x:v>
      </x:c>
      <x:c r="B347" s="1" t="str">
        <x:v>ACC-0095</x:v>
      </x:c>
      <x:c r="C347" s="19" t="n">
        <x:v>46111</x:v>
      </x:c>
      <x:c r="D347" s="1" t="str">
        <x:v>Pouch Filler</x:v>
      </x:c>
      <x:c r="E347" s="1" t="str">
        <x:v>West</x:v>
      </x:c>
      <x:c r="F347" s="20" t="n">
        <x:v>174600</x:v>
      </x:c>
      <x:c r="G347" s="1" t="str">
        <x:v>Repeat purchase</x:v>
      </x:c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 t="str">
        <x:v>ORD-00347</x:v>
      </x:c>
      <x:c r="B348" s="1" t="str">
        <x:v>ACC-0096</x:v>
      </x:c>
      <x:c r="C348" s="19" t="n">
        <x:v>45294</x:v>
      </x:c>
      <x:c r="D348" s="1" t="str">
        <x:v>Case Packer</x:v>
      </x:c>
      <x:c r="E348" s="1" t="str">
        <x:v>Northeast</x:v>
      </x:c>
      <x:c r="F348" s="20" t="n">
        <x:v>115600</x:v>
      </x:c>
      <x:c r="G348" s="1" t="str">
        <x:v>New business</x:v>
      </x:c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 t="str">
        <x:v>ORD-00348</x:v>
      </x:c>
      <x:c r="B349" s="1" t="str">
        <x:v>ACC-0097</x:v>
      </x:c>
      <x:c r="C349" s="19" t="n">
        <x:v>45698</x:v>
      </x:c>
      <x:c r="D349" s="1" t="str">
        <x:v>Labeling System</x:v>
      </x:c>
      <x:c r="E349" s="1" t="str">
        <x:v>Northeast</x:v>
      </x:c>
      <x:c r="F349" s="20" t="n">
        <x:v>71500</x:v>
      </x:c>
      <x:c r="G349" s="1" t="str">
        <x:v>New business</x:v>
      </x:c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 t="str">
        <x:v>ORD-00349</x:v>
      </x:c>
      <x:c r="B350" s="1" t="str">
        <x:v>ACC-0097</x:v>
      </x:c>
      <x:c r="C350" s="19" t="n">
        <x:v>46203</x:v>
      </x:c>
      <x:c r="D350" s="1" t="str">
        <x:v>Pouch Filler</x:v>
      </x:c>
      <x:c r="E350" s="1" t="str">
        <x:v>Northeast</x:v>
      </x:c>
      <x:c r="F350" s="20" t="n">
        <x:v>141900</x:v>
      </x:c>
      <x:c r="G350" s="1" t="str">
        <x:v>Repeat purchase</x:v>
      </x:c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 t="str">
        <x:v>ORD-00350</x:v>
      </x:c>
      <x:c r="B351" s="1" t="str">
        <x:v>ACC-0098</x:v>
      </x:c>
      <x:c r="C351" s="19" t="n">
        <x:v>45380</x:v>
      </x:c>
      <x:c r="D351" s="1" t="str">
        <x:v>Service &amp; Parts</x:v>
      </x:c>
      <x:c r="E351" s="1" t="str">
        <x:v>South</x:v>
      </x:c>
      <x:c r="F351" s="20" t="n">
        <x:v>24300</x:v>
      </x:c>
      <x:c r="G351" s="1" t="str">
        <x:v>New business</x:v>
      </x:c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 t="str">
        <x:v>ORD-00351</x:v>
      </x:c>
      <x:c r="B352" s="1" t="str">
        <x:v>ACC-0098</x:v>
      </x:c>
      <x:c r="C352" s="19" t="n">
        <x:v>45431</x:v>
      </x:c>
      <x:c r="D352" s="1" t="str">
        <x:v>Service &amp; Parts</x:v>
      </x:c>
      <x:c r="E352" s="1" t="str">
        <x:v>South</x:v>
      </x:c>
      <x:c r="F352" s="20" t="n">
        <x:v>31900</x:v>
      </x:c>
      <x:c r="G352" s="1" t="str">
        <x:v>Repeat purchase</x:v>
      </x:c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 t="str">
        <x:v>ORD-00352</x:v>
      </x:c>
      <x:c r="B353" s="1" t="str">
        <x:v>ACC-0098</x:v>
      </x:c>
      <x:c r="C353" s="19" t="n">
        <x:v>45474</x:v>
      </x:c>
      <x:c r="D353" s="1" t="str">
        <x:v>Service &amp; Parts</x:v>
      </x:c>
      <x:c r="E353" s="1" t="str">
        <x:v>South</x:v>
      </x:c>
      <x:c r="F353" s="20" t="n">
        <x:v>40400</x:v>
      </x:c>
      <x:c r="G353" s="1" t="str">
        <x:v>Repeat purchase</x:v>
      </x:c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 t="str">
        <x:v>ORD-00353</x:v>
      </x:c>
      <x:c r="B354" s="1" t="str">
        <x:v>ACC-0098</x:v>
      </x:c>
      <x:c r="C354" s="19" t="n">
        <x:v>45479</x:v>
      </x:c>
      <x:c r="D354" s="1" t="str">
        <x:v>Case Packer</x:v>
      </x:c>
      <x:c r="E354" s="1" t="str">
        <x:v>South</x:v>
      </x:c>
      <x:c r="F354" s="20" t="n">
        <x:v>148800</x:v>
      </x:c>
      <x:c r="G354" s="1" t="str">
        <x:v>Repeat purchase</x:v>
      </x:c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 t="str">
        <x:v>ORD-00354</x:v>
      </x:c>
      <x:c r="B355" s="1" t="str">
        <x:v>ACC-0098</x:v>
      </x:c>
      <x:c r="C355" s="19" t="n">
        <x:v>45615</x:v>
      </x:c>
      <x:c r="D355" s="1" t="str">
        <x:v>Cartoning Machine</x:v>
      </x:c>
      <x:c r="E355" s="1" t="str">
        <x:v>South</x:v>
      </x:c>
      <x:c r="F355" s="20" t="n">
        <x:v>152600</x:v>
      </x:c>
      <x:c r="G355" s="1" t="str">
        <x:v>Repeat purchase</x:v>
      </x:c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 t="str">
        <x:v>ORD-00355</x:v>
      </x:c>
      <x:c r="B356" s="1" t="str">
        <x:v>ACC-0098</x:v>
      </x:c>
      <x:c r="C356" s="19" t="n">
        <x:v>45679</x:v>
      </x:c>
      <x:c r="D356" s="1" t="str">
        <x:v>Labeling System</x:v>
      </x:c>
      <x:c r="E356" s="1" t="str">
        <x:v>South</x:v>
      </x:c>
      <x:c r="F356" s="20" t="n">
        <x:v>192200</x:v>
      </x:c>
      <x:c r="G356" s="1" t="str">
        <x:v>Repeat purchase</x:v>
      </x:c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 t="str">
        <x:v>ORD-00356</x:v>
      </x:c>
      <x:c r="B357" s="1" t="str">
        <x:v>ACC-0098</x:v>
      </x:c>
      <x:c r="C357" s="19" t="n">
        <x:v>46072</x:v>
      </x:c>
      <x:c r="D357" s="1" t="str">
        <x:v>Case Packer</x:v>
      </x:c>
      <x:c r="E357" s="1" t="str">
        <x:v>South</x:v>
      </x:c>
      <x:c r="F357" s="20" t="n">
        <x:v>261200</x:v>
      </x:c>
      <x:c r="G357" s="1" t="str">
        <x:v>Repeat purchase</x:v>
      </x:c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 t="str">
        <x:v>ORD-00357</x:v>
      </x:c>
      <x:c r="B358" s="1" t="str">
        <x:v>ACC-0099</x:v>
      </x:c>
      <x:c r="C358" s="19" t="n">
        <x:v>45706</x:v>
      </x:c>
      <x:c r="D358" s="1" t="str">
        <x:v>Labeling System</x:v>
      </x:c>
      <x:c r="E358" s="1" t="str">
        <x:v>Northeast</x:v>
      </x:c>
      <x:c r="F358" s="20" t="n">
        <x:v>55200</x:v>
      </x:c>
      <x:c r="G358" s="1" t="str">
        <x:v>New business</x:v>
      </x:c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 t="str">
        <x:v>ORD-00358</x:v>
      </x:c>
      <x:c r="B359" s="1" t="str">
        <x:v>ACC-0099</x:v>
      </x:c>
      <x:c r="C359" s="19" t="n">
        <x:v>45815</x:v>
      </x:c>
      <x:c r="D359" s="1" t="str">
        <x:v>Pouch Filler</x:v>
      </x:c>
      <x:c r="E359" s="1" t="str">
        <x:v>Northeast</x:v>
      </x:c>
      <x:c r="F359" s="20" t="n">
        <x:v>158100</x:v>
      </x:c>
      <x:c r="G359" s="1" t="str">
        <x:v>Repeat purchase</x:v>
      </x:c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 t="str">
        <x:v>ORD-00359</x:v>
      </x:c>
      <x:c r="B360" s="1" t="str">
        <x:v>ACC-0099</x:v>
      </x:c>
      <x:c r="C360" s="19" t="n">
        <x:v>45919</x:v>
      </x:c>
      <x:c r="D360" s="1" t="str">
        <x:v>Service &amp; Parts</x:v>
      </x:c>
      <x:c r="E360" s="1" t="str">
        <x:v>Northeast</x:v>
      </x:c>
      <x:c r="F360" s="20" t="n">
        <x:v>12700</x:v>
      </x:c>
      <x:c r="G360" s="1" t="str">
        <x:v>Repeat purchase</x:v>
      </x:c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 t="str">
        <x:v>ORD-00360</x:v>
      </x:c>
      <x:c r="B361" s="1" t="str">
        <x:v>ACC-0099</x:v>
      </x:c>
      <x:c r="C361" s="19" t="n">
        <x:v>45950</x:v>
      </x:c>
      <x:c r="D361" s="1" t="str">
        <x:v>Service &amp; Parts</x:v>
      </x:c>
      <x:c r="E361" s="1" t="str">
        <x:v>Northeast</x:v>
      </x:c>
      <x:c r="F361" s="20" t="n">
        <x:v>32200</x:v>
      </x:c>
      <x:c r="G361" s="1" t="str">
        <x:v>Repeat purchase</x:v>
      </x:c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 t="str">
        <x:v>ORD-00361</x:v>
      </x:c>
      <x:c r="B362" s="1" t="str">
        <x:v>ACC-0099</x:v>
      </x:c>
      <x:c r="C362" s="19" t="n">
        <x:v>46017</x:v>
      </x:c>
      <x:c r="D362" s="1" t="str">
        <x:v>Cartoning Machine</x:v>
      </x:c>
      <x:c r="E362" s="1" t="str">
        <x:v>Northeast</x:v>
      </x:c>
      <x:c r="F362" s="20" t="n">
        <x:v>109800</x:v>
      </x:c>
      <x:c r="G362" s="1" t="str">
        <x:v>Repeat purchase</x:v>
      </x:c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 t="str">
        <x:v>ORD-00362</x:v>
      </x:c>
      <x:c r="B363" s="1" t="str">
        <x:v>ACC-0099</x:v>
      </x:c>
      <x:c r="C363" s="19" t="n">
        <x:v>46104</x:v>
      </x:c>
      <x:c r="D363" s="1" t="str">
        <x:v>Case Packer</x:v>
      </x:c>
      <x:c r="E363" s="1" t="str">
        <x:v>Northeast</x:v>
      </x:c>
      <x:c r="F363" s="20" t="n">
        <x:v>94700</x:v>
      </x:c>
      <x:c r="G363" s="1" t="str">
        <x:v>Repeat purchase</x:v>
      </x:c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 t="str">
        <x:v>ORD-00363</x:v>
      </x:c>
      <x:c r="B364" s="1" t="str">
        <x:v>ACC-0100</x:v>
      </x:c>
      <x:c r="C364" s="19" t="n">
        <x:v>45703</x:v>
      </x:c>
      <x:c r="D364" s="1" t="str">
        <x:v>Cartoning Machine</x:v>
      </x:c>
      <x:c r="E364" s="1" t="str">
        <x:v>South</x:v>
      </x:c>
      <x:c r="F364" s="20" t="n">
        <x:v>53900</x:v>
      </x:c>
      <x:c r="G364" s="1" t="str">
        <x:v>New business</x:v>
      </x:c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 t="str">
        <x:v>ORD-00364</x:v>
      </x:c>
      <x:c r="B365" s="1" t="str">
        <x:v>ACC-0100</x:v>
      </x:c>
      <x:c r="C365" s="19" t="n">
        <x:v>46078</x:v>
      </x:c>
      <x:c r="D365" s="1" t="str">
        <x:v>Service &amp; Parts</x:v>
      </x:c>
      <x:c r="E365" s="1" t="str">
        <x:v>South</x:v>
      </x:c>
      <x:c r="F365" s="20" t="n">
        <x:v>9100</x:v>
      </x:c>
      <x:c r="G365" s="1" t="str">
        <x:v>Repeat purchase</x:v>
      </x:c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 t="str">
        <x:v>ORD-00365</x:v>
      </x:c>
      <x:c r="B366" s="1" t="str">
        <x:v>ACC-0100</x:v>
      </x:c>
      <x:c r="C366" s="19" t="n">
        <x:v>46180</x:v>
      </x:c>
      <x:c r="D366" s="1" t="str">
        <x:v>Pouch Filler</x:v>
      </x:c>
      <x:c r="E366" s="1" t="str">
        <x:v>South</x:v>
      </x:c>
      <x:c r="F366" s="20" t="n">
        <x:v>74400</x:v>
      </x:c>
      <x:c r="G366" s="1" t="str">
        <x:v>Repeat purchase</x:v>
      </x:c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 t="str">
        <x:v>ORD-00366</x:v>
      </x:c>
      <x:c r="B367" s="1" t="str">
        <x:v>ACC-0101</x:v>
      </x:c>
      <x:c r="C367" s="19" t="n">
        <x:v>45977</x:v>
      </x:c>
      <x:c r="D367" s="1" t="str">
        <x:v>Pouch Filler</x:v>
      </x:c>
      <x:c r="E367" s="1" t="str">
        <x:v>Midwest</x:v>
      </x:c>
      <x:c r="F367" s="20" t="n">
        <x:v>182000</x:v>
      </x:c>
      <x:c r="G367" s="1" t="str">
        <x:v>New business</x:v>
      </x:c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 t="str">
        <x:v>ORD-00367</x:v>
      </x:c>
      <x:c r="B368" s="1" t="str">
        <x:v>ACC-0101</x:v>
      </x:c>
      <x:c r="C368" s="19" t="n">
        <x:v>46022</x:v>
      </x:c>
      <x:c r="D368" s="1" t="str">
        <x:v>Service &amp; Parts</x:v>
      </x:c>
      <x:c r="E368" s="1" t="str">
        <x:v>Midwest</x:v>
      </x:c>
      <x:c r="F368" s="20" t="n">
        <x:v>15500</x:v>
      </x:c>
      <x:c r="G368" s="1" t="str">
        <x:v>Repeat purchase</x:v>
      </x:c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 t="str">
        <x:v>ORD-00368</x:v>
      </x:c>
      <x:c r="B369" s="1" t="str">
        <x:v>ACC-0101</x:v>
      </x:c>
      <x:c r="C369" s="19" t="n">
        <x:v>46038</x:v>
      </x:c>
      <x:c r="D369" s="1" t="str">
        <x:v>Service &amp; Parts</x:v>
      </x:c>
      <x:c r="E369" s="1" t="str">
        <x:v>Midwest</x:v>
      </x:c>
      <x:c r="F369" s="20" t="n">
        <x:v>29000</x:v>
      </x:c>
      <x:c r="G369" s="1" t="str">
        <x:v>Repeat purchase</x:v>
      </x:c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 t="str">
        <x:v>ORD-00369</x:v>
      </x:c>
      <x:c r="B370" s="1" t="str">
        <x:v>ACC-0102</x:v>
      </x:c>
      <x:c r="C370" s="19" t="n">
        <x:v>45510</x:v>
      </x:c>
      <x:c r="D370" s="1" t="str">
        <x:v>Case Packer</x:v>
      </x:c>
      <x:c r="E370" s="1" t="str">
        <x:v>South</x:v>
      </x:c>
      <x:c r="F370" s="20" t="n">
        <x:v>167700</x:v>
      </x:c>
      <x:c r="G370" s="1" t="str">
        <x:v>New business</x:v>
      </x:c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 t="str">
        <x:v>ORD-00370</x:v>
      </x:c>
      <x:c r="B371" s="1" t="str">
        <x:v>ACC-0102</x:v>
      </x:c>
      <x:c r="C371" s="19" t="n">
        <x:v>45701</x:v>
      </x:c>
      <x:c r="D371" s="1" t="str">
        <x:v>Case Packer</x:v>
      </x:c>
      <x:c r="E371" s="1" t="str">
        <x:v>South</x:v>
      </x:c>
      <x:c r="F371" s="20" t="n">
        <x:v>114300</x:v>
      </x:c>
      <x:c r="G371" s="1" t="str">
        <x:v>Repeat purchase</x:v>
      </x:c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 t="str">
        <x:v>ORD-00371</x:v>
      </x:c>
      <x:c r="B372" s="1" t="str">
        <x:v>ACC-0102</x:v>
      </x:c>
      <x:c r="C372" s="19" t="n">
        <x:v>45929</x:v>
      </x:c>
      <x:c r="D372" s="1" t="str">
        <x:v>Cartoning Machine</x:v>
      </x:c>
      <x:c r="E372" s="1" t="str">
        <x:v>South</x:v>
      </x:c>
      <x:c r="F372" s="20" t="n">
        <x:v>127000</x:v>
      </x:c>
      <x:c r="G372" s="1" t="str">
        <x:v>Repeat purchase</x:v>
      </x:c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 t="str">
        <x:v>ORD-00372</x:v>
      </x:c>
      <x:c r="B373" s="1" t="str">
        <x:v>ACC-0103</x:v>
      </x:c>
      <x:c r="C373" s="19" t="n">
        <x:v>45789</x:v>
      </x:c>
      <x:c r="D373" s="1" t="str">
        <x:v>Cartoning Machine</x:v>
      </x:c>
      <x:c r="E373" s="1" t="str">
        <x:v>West</x:v>
      </x:c>
      <x:c r="F373" s="20" t="n">
        <x:v>103600</x:v>
      </x:c>
      <x:c r="G373" s="1" t="str">
        <x:v>New business</x:v>
      </x:c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 t="str">
        <x:v>ORD-00373</x:v>
      </x:c>
      <x:c r="B374" s="1" t="str">
        <x:v>ACC-0103</x:v>
      </x:c>
      <x:c r="C374" s="19" t="n">
        <x:v>46018</x:v>
      </x:c>
      <x:c r="D374" s="1" t="str">
        <x:v>Pouch Filler</x:v>
      </x:c>
      <x:c r="E374" s="1" t="str">
        <x:v>West</x:v>
      </x:c>
      <x:c r="F374" s="20" t="n">
        <x:v>132000</x:v>
      </x:c>
      <x:c r="G374" s="1" t="str">
        <x:v>Repeat purchase</x:v>
      </x:c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 t="str">
        <x:v>ORD-00374</x:v>
      </x:c>
      <x:c r="B375" s="1" t="str">
        <x:v>ACC-0103</x:v>
      </x:c>
      <x:c r="C375" s="19" t="n">
        <x:v>46110</x:v>
      </x:c>
      <x:c r="D375" s="1" t="str">
        <x:v>Labeling System</x:v>
      </x:c>
      <x:c r="E375" s="1" t="str">
        <x:v>West</x:v>
      </x:c>
      <x:c r="F375" s="20" t="n">
        <x:v>37500</x:v>
      </x:c>
      <x:c r="G375" s="1" t="str">
        <x:v>Repeat purchase</x:v>
      </x:c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 t="str">
        <x:v>ORD-00375</x:v>
      </x:c>
      <x:c r="B376" s="1" t="str">
        <x:v>ACC-0104</x:v>
      </x:c>
      <x:c r="C376" s="19" t="n">
        <x:v>46053</x:v>
      </x:c>
      <x:c r="D376" s="1" t="str">
        <x:v>Cartoning Machine</x:v>
      </x:c>
      <x:c r="E376" s="1" t="str">
        <x:v>Northeast</x:v>
      </x:c>
      <x:c r="F376" s="20" t="n">
        <x:v>209200</x:v>
      </x:c>
      <x:c r="G376" s="1" t="str">
        <x:v>New business</x:v>
      </x:c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 t="str">
        <x:v>ORD-00376</x:v>
      </x:c>
      <x:c r="B377" s="1" t="str">
        <x:v>ACC-0104</x:v>
      </x:c>
      <x:c r="C377" s="19" t="n">
        <x:v>46093</x:v>
      </x:c>
      <x:c r="D377" s="1" t="str">
        <x:v>Case Packer</x:v>
      </x:c>
      <x:c r="E377" s="1" t="str">
        <x:v>Northeast</x:v>
      </x:c>
      <x:c r="F377" s="20" t="n">
        <x:v>200200</x:v>
      </x:c>
      <x:c r="G377" s="1" t="str">
        <x:v>Repeat purchase</x:v>
      </x:c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 t="str">
        <x:v>ORD-00377</x:v>
      </x:c>
      <x:c r="B378" s="1" t="str">
        <x:v>ACC-0104</x:v>
      </x:c>
      <x:c r="C378" s="19" t="n">
        <x:v>46167</x:v>
      </x:c>
      <x:c r="D378" s="1" t="str">
        <x:v>Service &amp; Parts</x:v>
      </x:c>
      <x:c r="E378" s="1" t="str">
        <x:v>Northeast</x:v>
      </x:c>
      <x:c r="F378" s="20" t="n">
        <x:v>24100</x:v>
      </x:c>
      <x:c r="G378" s="1" t="str">
        <x:v>Repeat purchase</x:v>
      </x:c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 t="str">
        <x:v>ORD-00378</x:v>
      </x:c>
      <x:c r="B379" s="1" t="str">
        <x:v>ACC-0105</x:v>
      </x:c>
      <x:c r="C379" s="19" t="n">
        <x:v>46044</x:v>
      </x:c>
      <x:c r="D379" s="1" t="str">
        <x:v>Pouch Filler</x:v>
      </x:c>
      <x:c r="E379" s="1" t="str">
        <x:v>South</x:v>
      </x:c>
      <x:c r="F379" s="20" t="n">
        <x:v>128600</x:v>
      </x:c>
      <x:c r="G379" s="1" t="str">
        <x:v>New business</x:v>
      </x:c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 t="str">
        <x:v>ORD-00379</x:v>
      </x:c>
      <x:c r="B380" s="1" t="str">
        <x:v>ACC-0105</x:v>
      </x:c>
      <x:c r="C380" s="19" t="n">
        <x:v>46169</x:v>
      </x:c>
      <x:c r="D380" s="1" t="str">
        <x:v>Case Packer</x:v>
      </x:c>
      <x:c r="E380" s="1" t="str">
        <x:v>South</x:v>
      </x:c>
      <x:c r="F380" s="20" t="n">
        <x:v>48600</x:v>
      </x:c>
      <x:c r="G380" s="1" t="str">
        <x:v>Repeat purchase</x:v>
      </x:c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 t="str">
        <x:v>ORD-00380</x:v>
      </x:c>
      <x:c r="B381" s="1" t="str">
        <x:v>ACC-0106</x:v>
      </x:c>
      <x:c r="C381" s="19" t="n">
        <x:v>46074</x:v>
      </x:c>
      <x:c r="D381" s="1" t="str">
        <x:v>Service &amp; Parts</x:v>
      </x:c>
      <x:c r="E381" s="1" t="str">
        <x:v>West</x:v>
      </x:c>
      <x:c r="F381" s="20" t="n">
        <x:v>16400</x:v>
      </x:c>
      <x:c r="G381" s="1" t="str">
        <x:v>New business</x:v>
      </x:c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 t="str">
        <x:v>ORD-00381</x:v>
      </x:c>
      <x:c r="B382" s="1" t="str">
        <x:v>ACC-0106</x:v>
      </x:c>
      <x:c r="C382" s="19" t="n">
        <x:v>46147</x:v>
      </x:c>
      <x:c r="D382" s="1" t="str">
        <x:v>Service &amp; Parts</x:v>
      </x:c>
      <x:c r="E382" s="1" t="str">
        <x:v>West</x:v>
      </x:c>
      <x:c r="F382" s="20" t="n">
        <x:v>14400</x:v>
      </x:c>
      <x:c r="G382" s="1" t="str">
        <x:v>Repeat purchase</x:v>
      </x:c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 t="str">
        <x:v>ORD-00382</x:v>
      </x:c>
      <x:c r="B383" s="1" t="str">
        <x:v>ACC-0107</x:v>
      </x:c>
      <x:c r="C383" s="19" t="n">
        <x:v>45419</x:v>
      </x:c>
      <x:c r="D383" s="1" t="str">
        <x:v>Case Packer</x:v>
      </x:c>
      <x:c r="E383" s="1" t="str">
        <x:v>Midwest</x:v>
      </x:c>
      <x:c r="F383" s="20" t="n">
        <x:v>86000</x:v>
      </x:c>
      <x:c r="G383" s="1" t="str">
        <x:v>New business</x:v>
      </x:c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 t="str">
        <x:v>ORD-00383</x:v>
      </x:c>
      <x:c r="B384" s="1" t="str">
        <x:v>ACC-0107</x:v>
      </x:c>
      <x:c r="C384" s="19" t="n">
        <x:v>45582</x:v>
      </x:c>
      <x:c r="D384" s="1" t="str">
        <x:v>Service &amp; Parts</x:v>
      </x:c>
      <x:c r="E384" s="1" t="str">
        <x:v>Midwest</x:v>
      </x:c>
      <x:c r="F384" s="20" t="n">
        <x:v>31200</x:v>
      </x:c>
      <x:c r="G384" s="1" t="str">
        <x:v>Repeat purchase</x:v>
      </x:c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 t="str">
        <x:v>ORD-00384</x:v>
      </x:c>
      <x:c r="B385" s="1" t="str">
        <x:v>ACC-0107</x:v>
      </x:c>
      <x:c r="C385" s="19" t="n">
        <x:v>45736</x:v>
      </x:c>
      <x:c r="D385" s="1" t="str">
        <x:v>Case Packer</x:v>
      </x:c>
      <x:c r="E385" s="1" t="str">
        <x:v>Midwest</x:v>
      </x:c>
      <x:c r="F385" s="20" t="n">
        <x:v>62600</x:v>
      </x:c>
      <x:c r="G385" s="1" t="str">
        <x:v>Repeat purchase</x:v>
      </x:c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 t="str">
        <x:v>ORD-00385</x:v>
      </x:c>
      <x:c r="B386" s="1" t="str">
        <x:v>ACC-0107</x:v>
      </x:c>
      <x:c r="C386" s="19" t="n">
        <x:v>45930</x:v>
      </x:c>
      <x:c r="D386" s="1" t="str">
        <x:v>Labeling System</x:v>
      </x:c>
      <x:c r="E386" s="1" t="str">
        <x:v>Midwest</x:v>
      </x:c>
      <x:c r="F386" s="20" t="n">
        <x:v>58900</x:v>
      </x:c>
      <x:c r="G386" s="1" t="str">
        <x:v>Repeat purchase</x:v>
      </x:c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 t="str">
        <x:v>ORD-00386</x:v>
      </x:c>
      <x:c r="B387" s="1" t="str">
        <x:v>ACC-0107</x:v>
      </x:c>
      <x:c r="C387" s="19" t="n">
        <x:v>45986</x:v>
      </x:c>
      <x:c r="D387" s="1" t="str">
        <x:v>Service &amp; Parts</x:v>
      </x:c>
      <x:c r="E387" s="1" t="str">
        <x:v>Midwest</x:v>
      </x:c>
      <x:c r="F387" s="20" t="n">
        <x:v>11800</x:v>
      </x:c>
      <x:c r="G387" s="1" t="str">
        <x:v>Repeat purchase</x:v>
      </x:c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 t="str">
        <x:v>ORD-00387</x:v>
      </x:c>
      <x:c r="B388" s="1" t="str">
        <x:v>ACC-0107</x:v>
      </x:c>
      <x:c r="C388" s="19" t="n">
        <x:v>46181</x:v>
      </x:c>
      <x:c r="D388" s="1" t="str">
        <x:v>Labeling System</x:v>
      </x:c>
      <x:c r="E388" s="1" t="str">
        <x:v>Midwest</x:v>
      </x:c>
      <x:c r="F388" s="20" t="n">
        <x:v>150200</x:v>
      </x:c>
      <x:c r="G388" s="1" t="str">
        <x:v>Repeat purchase</x:v>
      </x:c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 t="str">
        <x:v>ORD-00388</x:v>
      </x:c>
      <x:c r="B389" s="1" t="str">
        <x:v>ACC-0108</x:v>
      </x:c>
      <x:c r="C389" s="19" t="n">
        <x:v>46125</x:v>
      </x:c>
      <x:c r="D389" s="1" t="str">
        <x:v>Labeling System</x:v>
      </x:c>
      <x:c r="E389" s="1" t="str">
        <x:v>South</x:v>
      </x:c>
      <x:c r="F389" s="20" t="n">
        <x:v>168700</x:v>
      </x:c>
      <x:c r="G389" s="1" t="str">
        <x:v>New business</x:v>
      </x:c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 t="str">
        <x:v>ORD-00389</x:v>
      </x:c>
      <x:c r="B390" s="1" t="str">
        <x:v>ACC-0108</x:v>
      </x:c>
      <x:c r="C390" s="19" t="n">
        <x:v>46172</x:v>
      </x:c>
      <x:c r="D390" s="1" t="str">
        <x:v>Service &amp; Parts</x:v>
      </x:c>
      <x:c r="E390" s="1" t="str">
        <x:v>South</x:v>
      </x:c>
      <x:c r="F390" s="20" t="n">
        <x:v>31700</x:v>
      </x:c>
      <x:c r="G390" s="1" t="str">
        <x:v>Repeat purchase</x:v>
      </x:c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 t="str">
        <x:v>ORD-00390</x:v>
      </x:c>
      <x:c r="B391" s="1" t="str">
        <x:v>ACC-0109</x:v>
      </x:c>
      <x:c r="C391" s="19" t="n">
        <x:v>45595</x:v>
      </x:c>
      <x:c r="D391" s="1" t="str">
        <x:v>Case Packer</x:v>
      </x:c>
      <x:c r="E391" s="1" t="str">
        <x:v>Northeast</x:v>
      </x:c>
      <x:c r="F391" s="20" t="n">
        <x:v>68500</x:v>
      </x:c>
      <x:c r="G391" s="1" t="str">
        <x:v>New business</x:v>
      </x:c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 t="str">
        <x:v>ORD-00391</x:v>
      </x:c>
      <x:c r="B392" s="1" t="str">
        <x:v>ACC-0109</x:v>
      </x:c>
      <x:c r="C392" s="19" t="n">
        <x:v>45960</x:v>
      </x:c>
      <x:c r="D392" s="1" t="str">
        <x:v>Service &amp; Parts</x:v>
      </x:c>
      <x:c r="E392" s="1" t="str">
        <x:v>Northeast</x:v>
      </x:c>
      <x:c r="F392" s="20" t="n">
        <x:v>6900</x:v>
      </x:c>
      <x:c r="G392" s="1" t="str">
        <x:v>Repeat purchase</x:v>
      </x:c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 t="str">
        <x:v>ORD-00392</x:v>
      </x:c>
      <x:c r="B393" s="1" t="str">
        <x:v>ACC-0109</x:v>
      </x:c>
      <x:c r="C393" s="19" t="n">
        <x:v>46067</x:v>
      </x:c>
      <x:c r="D393" s="1" t="str">
        <x:v>Cartoning Machine</x:v>
      </x:c>
      <x:c r="E393" s="1" t="str">
        <x:v>Northeast</x:v>
      </x:c>
      <x:c r="F393" s="20" t="n">
        <x:v>98900</x:v>
      </x:c>
      <x:c r="G393" s="1" t="str">
        <x:v>Repeat purchase</x:v>
      </x:c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 t="str">
        <x:v>ORD-00393</x:v>
      </x:c>
      <x:c r="B394" s="1" t="str">
        <x:v>ACC-0110</x:v>
      </x:c>
      <x:c r="C394" s="19" t="n">
        <x:v>45892</x:v>
      </x:c>
      <x:c r="D394" s="1" t="str">
        <x:v>Service &amp; Parts</x:v>
      </x:c>
      <x:c r="E394" s="1" t="str">
        <x:v>Midwest</x:v>
      </x:c>
      <x:c r="F394" s="20" t="n">
        <x:v>31500</x:v>
      </x:c>
      <x:c r="G394" s="1" t="str">
        <x:v>New business</x:v>
      </x:c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 t="str">
        <x:v>ORD-00394</x:v>
      </x:c>
      <x:c r="B395" s="1" t="str">
        <x:v>ACC-0110</x:v>
      </x:c>
      <x:c r="C395" s="19" t="n">
        <x:v>45925</x:v>
      </x:c>
      <x:c r="D395" s="1" t="str">
        <x:v>Case Packer</x:v>
      </x:c>
      <x:c r="E395" s="1" t="str">
        <x:v>Midwest</x:v>
      </x:c>
      <x:c r="F395" s="20" t="n">
        <x:v>97500</x:v>
      </x:c>
      <x:c r="G395" s="1" t="str">
        <x:v>Repeat purchase</x:v>
      </x:c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 t="str">
        <x:v>ORD-00395</x:v>
      </x:c>
      <x:c r="B396" s="1" t="str">
        <x:v>ACC-0110</x:v>
      </x:c>
      <x:c r="C396" s="19" t="n">
        <x:v>46020</x:v>
      </x:c>
      <x:c r="D396" s="1" t="str">
        <x:v>Cartoning Machine</x:v>
      </x:c>
      <x:c r="E396" s="1" t="str">
        <x:v>Midwest</x:v>
      </x:c>
      <x:c r="F396" s="20" t="n">
        <x:v>103400</x:v>
      </x:c>
      <x:c r="G396" s="1" t="str">
        <x:v>Repeat purchase</x:v>
      </x:c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 t="str">
        <x:v>ORD-00396</x:v>
      </x:c>
      <x:c r="B397" s="1" t="str">
        <x:v>ACC-0110</x:v>
      </x:c>
      <x:c r="C397" s="19" t="n">
        <x:v>46051</x:v>
      </x:c>
      <x:c r="D397" s="1" t="str">
        <x:v>Case Packer</x:v>
      </x:c>
      <x:c r="E397" s="1" t="str">
        <x:v>Midwest</x:v>
      </x:c>
      <x:c r="F397" s="20" t="n">
        <x:v>62200</x:v>
      </x:c>
      <x:c r="G397" s="1" t="str">
        <x:v>Repeat purchase</x:v>
      </x:c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 t="str">
        <x:v>ORD-00397</x:v>
      </x:c>
      <x:c r="B398" s="1" t="str">
        <x:v>ACC-0110</x:v>
      </x:c>
      <x:c r="C398" s="19" t="n">
        <x:v>46123</x:v>
      </x:c>
      <x:c r="D398" s="1" t="str">
        <x:v>Pouch Filler</x:v>
      </x:c>
      <x:c r="E398" s="1" t="str">
        <x:v>Midwest</x:v>
      </x:c>
      <x:c r="F398" s="20" t="n">
        <x:v>50600</x:v>
      </x:c>
      <x:c r="G398" s="1" t="str">
        <x:v>Repeat purchase</x:v>
      </x:c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 t="str">
        <x:v>ORD-00398</x:v>
      </x:c>
      <x:c r="B399" s="1" t="str">
        <x:v>ACC-0111</x:v>
      </x:c>
      <x:c r="C399" s="19" t="n">
        <x:v>45407</x:v>
      </x:c>
      <x:c r="D399" s="1" t="str">
        <x:v>Service &amp; Parts</x:v>
      </x:c>
      <x:c r="E399" s="1" t="str">
        <x:v>Northeast</x:v>
      </x:c>
      <x:c r="F399" s="20" t="n">
        <x:v>16100</x:v>
      </x:c>
      <x:c r="G399" s="1" t="str">
        <x:v>New business</x:v>
      </x:c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 t="str">
        <x:v>ORD-00399</x:v>
      </x:c>
      <x:c r="B400" s="1" t="str">
        <x:v>ACC-0111</x:v>
      </x:c>
      <x:c r="C400" s="19" t="n">
        <x:v>45790</x:v>
      </x:c>
      <x:c r="D400" s="1" t="str">
        <x:v>Service &amp; Parts</x:v>
      </x:c>
      <x:c r="E400" s="1" t="str">
        <x:v>Northeast</x:v>
      </x:c>
      <x:c r="F400" s="20" t="n">
        <x:v>19500</x:v>
      </x:c>
      <x:c r="G400" s="1" t="str">
        <x:v>Repeat purchase</x:v>
      </x:c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 t="str">
        <x:v>ORD-00400</x:v>
      </x:c>
      <x:c r="B401" s="1" t="str">
        <x:v>ACC-0111</x:v>
      </x:c>
      <x:c r="C401" s="19" t="n">
        <x:v>46030</x:v>
      </x:c>
      <x:c r="D401" s="1" t="str">
        <x:v>Labeling System</x:v>
      </x:c>
      <x:c r="E401" s="1" t="str">
        <x:v>Northeast</x:v>
      </x:c>
      <x:c r="F401" s="20" t="n">
        <x:v>40300</x:v>
      </x:c>
      <x:c r="G401" s="1" t="str">
        <x:v>Repeat purchase</x:v>
      </x:c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 t="str">
        <x:v>ORD-00401</x:v>
      </x:c>
      <x:c r="B402" s="1" t="str">
        <x:v>ACC-0112</x:v>
      </x:c>
      <x:c r="C402" s="19" t="n">
        <x:v>45991</x:v>
      </x:c>
      <x:c r="D402" s="1" t="str">
        <x:v>Labeling System</x:v>
      </x:c>
      <x:c r="E402" s="1" t="str">
        <x:v>South</x:v>
      </x:c>
      <x:c r="F402" s="20" t="n">
        <x:v>161400</x:v>
      </x:c>
      <x:c r="G402" s="1" t="str">
        <x:v>New business</x:v>
      </x:c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 t="str">
        <x:v>ORD-00402</x:v>
      </x:c>
      <x:c r="B403" s="1" t="str">
        <x:v>ACC-0112</x:v>
      </x:c>
      <x:c r="C403" s="19" t="n">
        <x:v>46118</x:v>
      </x:c>
      <x:c r="D403" s="1" t="str">
        <x:v>Pouch Filler</x:v>
      </x:c>
      <x:c r="E403" s="1" t="str">
        <x:v>South</x:v>
      </x:c>
      <x:c r="F403" s="20" t="n">
        <x:v>219200</x:v>
      </x:c>
      <x:c r="G403" s="1" t="str">
        <x:v>Repeat purchase</x:v>
      </x:c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 t="str">
        <x:v>ORD-00403</x:v>
      </x:c>
      <x:c r="B404" s="1" t="str">
        <x:v>ACC-0112</x:v>
      </x:c>
      <x:c r="C404" s="19" t="n">
        <x:v>46180</x:v>
      </x:c>
      <x:c r="D404" s="1" t="str">
        <x:v>Case Packer</x:v>
      </x:c>
      <x:c r="E404" s="1" t="str">
        <x:v>South</x:v>
      </x:c>
      <x:c r="F404" s="20" t="n">
        <x:v>137800</x:v>
      </x:c>
      <x:c r="G404" s="1" t="str">
        <x:v>Repeat purchase</x:v>
      </x:c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 t="str">
        <x:v>ORD-00404</x:v>
      </x:c>
      <x:c r="B405" s="1" t="str">
        <x:v>ACC-0112</x:v>
      </x:c>
      <x:c r="C405" s="19" t="n">
        <x:v>46186</x:v>
      </x:c>
      <x:c r="D405" s="1" t="str">
        <x:v>Cartoning Machine</x:v>
      </x:c>
      <x:c r="E405" s="1" t="str">
        <x:v>South</x:v>
      </x:c>
      <x:c r="F405" s="20" t="n">
        <x:v>199100</x:v>
      </x:c>
      <x:c r="G405" s="1" t="str">
        <x:v>Repeat purchase</x:v>
      </x:c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 t="str">
        <x:v>ORD-00405</x:v>
      </x:c>
      <x:c r="B406" s="1" t="str">
        <x:v>ACC-0113</x:v>
      </x:c>
      <x:c r="C406" s="19" t="n">
        <x:v>46153</x:v>
      </x:c>
      <x:c r="D406" s="1" t="str">
        <x:v>Pouch Filler</x:v>
      </x:c>
      <x:c r="E406" s="1" t="str">
        <x:v>West</x:v>
      </x:c>
      <x:c r="F406" s="20" t="n">
        <x:v>87900</x:v>
      </x:c>
      <x:c r="G406" s="1" t="str">
        <x:v>New business</x:v>
      </x:c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 t="str">
        <x:v>ORD-00406</x:v>
      </x:c>
      <x:c r="B407" s="1" t="str">
        <x:v>ACC-0113</x:v>
      </x:c>
      <x:c r="C407" s="19" t="n">
        <x:v>46164</x:v>
      </x:c>
      <x:c r="D407" s="1" t="str">
        <x:v>Labeling System</x:v>
      </x:c>
      <x:c r="E407" s="1" t="str">
        <x:v>West</x:v>
      </x:c>
      <x:c r="F407" s="20" t="n">
        <x:v>37000</x:v>
      </x:c>
      <x:c r="G407" s="1" t="str">
        <x:v>Repeat purchase</x:v>
      </x:c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 t="str">
        <x:v>ORD-00407</x:v>
      </x:c>
      <x:c r="B408" s="1" t="str">
        <x:v>ACC-0114</x:v>
      </x:c>
      <x:c r="C408" s="19" t="n">
        <x:v>45609</x:v>
      </x:c>
      <x:c r="D408" s="1" t="str">
        <x:v>Pouch Filler</x:v>
      </x:c>
      <x:c r="E408" s="1" t="str">
        <x:v>West</x:v>
      </x:c>
      <x:c r="F408" s="20" t="n">
        <x:v>143200</x:v>
      </x:c>
      <x:c r="G408" s="1" t="str">
        <x:v>New business</x:v>
      </x:c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 t="str">
        <x:v>ORD-00408</x:v>
      </x:c>
      <x:c r="B409" s="1" t="str">
        <x:v>ACC-0114</x:v>
      </x:c>
      <x:c r="C409" s="19" t="n">
        <x:v>45751</x:v>
      </x:c>
      <x:c r="D409" s="1" t="str">
        <x:v>Pouch Filler</x:v>
      </x:c>
      <x:c r="E409" s="1" t="str">
        <x:v>West</x:v>
      </x:c>
      <x:c r="F409" s="20" t="n">
        <x:v>277300</x:v>
      </x:c>
      <x:c r="G409" s="1" t="str">
        <x:v>Repeat purchase</x:v>
      </x:c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 t="str">
        <x:v>ORD-00409</x:v>
      </x:c>
      <x:c r="B410" s="1" t="str">
        <x:v>ACC-0114</x:v>
      </x:c>
      <x:c r="C410" s="19" t="n">
        <x:v>45759</x:v>
      </x:c>
      <x:c r="D410" s="1" t="str">
        <x:v>Cartoning Machine</x:v>
      </x:c>
      <x:c r="E410" s="1" t="str">
        <x:v>West</x:v>
      </x:c>
      <x:c r="F410" s="20" t="n">
        <x:v>243600</x:v>
      </x:c>
      <x:c r="G410" s="1" t="str">
        <x:v>Repeat purchase</x:v>
      </x:c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 t="str">
        <x:v>ORD-00410</x:v>
      </x:c>
      <x:c r="B411" s="1" t="str">
        <x:v>ACC-0114</x:v>
      </x:c>
      <x:c r="C411" s="19" t="n">
        <x:v>45833</x:v>
      </x:c>
      <x:c r="D411" s="1" t="str">
        <x:v>Labeling System</x:v>
      </x:c>
      <x:c r="E411" s="1" t="str">
        <x:v>West</x:v>
      </x:c>
      <x:c r="F411" s="20" t="n">
        <x:v>137100</x:v>
      </x:c>
      <x:c r="G411" s="1" t="str">
        <x:v>Repeat purchase</x:v>
      </x:c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 t="str">
        <x:v>ORD-00411</x:v>
      </x:c>
      <x:c r="B412" s="1" t="str">
        <x:v>ACC-0115</x:v>
      </x:c>
      <x:c r="C412" s="19" t="n">
        <x:v>45333</x:v>
      </x:c>
      <x:c r="D412" s="1" t="str">
        <x:v>Service &amp; Parts</x:v>
      </x:c>
      <x:c r="E412" s="1" t="str">
        <x:v>Midwest</x:v>
      </x:c>
      <x:c r="F412" s="20" t="n">
        <x:v>33100</x:v>
      </x:c>
      <x:c r="G412" s="1" t="str">
        <x:v>New business</x:v>
      </x:c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 t="str">
        <x:v>ORD-00412</x:v>
      </x:c>
      <x:c r="B413" s="1" t="str">
        <x:v>ACC-0115</x:v>
      </x:c>
      <x:c r="C413" s="19" t="n">
        <x:v>45573</x:v>
      </x:c>
      <x:c r="D413" s="1" t="str">
        <x:v>Case Packer</x:v>
      </x:c>
      <x:c r="E413" s="1" t="str">
        <x:v>Midwest</x:v>
      </x:c>
      <x:c r="F413" s="20" t="n">
        <x:v>90800</x:v>
      </x:c>
      <x:c r="G413" s="1" t="str">
        <x:v>Repeat purchase</x:v>
      </x:c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 t="str">
        <x:v>ORD-00413</x:v>
      </x:c>
      <x:c r="B414" s="1" t="str">
        <x:v>ACC-0116</x:v>
      </x:c>
      <x:c r="C414" s="19" t="n">
        <x:v>45732</x:v>
      </x:c>
      <x:c r="D414" s="1" t="str">
        <x:v>Cartoning Machine</x:v>
      </x:c>
      <x:c r="E414" s="1" t="str">
        <x:v>West</x:v>
      </x:c>
      <x:c r="F414" s="20" t="n">
        <x:v>175400</x:v>
      </x:c>
      <x:c r="G414" s="1" t="str">
        <x:v>New business</x:v>
      </x:c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 t="str">
        <x:v>ORD-00414</x:v>
      </x:c>
      <x:c r="B415" s="1" t="str">
        <x:v>ACC-0116</x:v>
      </x:c>
      <x:c r="C415" s="19" t="n">
        <x:v>45880</x:v>
      </x:c>
      <x:c r="D415" s="1" t="str">
        <x:v>Cartoning Machine</x:v>
      </x:c>
      <x:c r="E415" s="1" t="str">
        <x:v>West</x:v>
      </x:c>
      <x:c r="F415" s="20" t="n">
        <x:v>92700</x:v>
      </x:c>
      <x:c r="G415" s="1" t="str">
        <x:v>Repeat purchase</x:v>
      </x:c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 t="str">
        <x:v>ORD-00415</x:v>
      </x:c>
      <x:c r="B416" s="1" t="str">
        <x:v>ACC-0116</x:v>
      </x:c>
      <x:c r="C416" s="19" t="n">
        <x:v>45912</x:v>
      </x:c>
      <x:c r="D416" s="1" t="str">
        <x:v>Case Packer</x:v>
      </x:c>
      <x:c r="E416" s="1" t="str">
        <x:v>West</x:v>
      </x:c>
      <x:c r="F416" s="20" t="n">
        <x:v>94900</x:v>
      </x:c>
      <x:c r="G416" s="1" t="str">
        <x:v>Repeat purchase</x:v>
      </x:c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 t="str">
        <x:v>ORD-00416</x:v>
      </x:c>
      <x:c r="B417" s="1" t="str">
        <x:v>ACC-0117</x:v>
      </x:c>
      <x:c r="C417" s="19" t="n">
        <x:v>45361</x:v>
      </x:c>
      <x:c r="D417" s="1" t="str">
        <x:v>Pouch Filler</x:v>
      </x:c>
      <x:c r="E417" s="1" t="str">
        <x:v>Northeast</x:v>
      </x:c>
      <x:c r="F417" s="20" t="n">
        <x:v>93900</x:v>
      </x:c>
      <x:c r="G417" s="1" t="str">
        <x:v>New business</x:v>
      </x:c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 t="str">
        <x:v>ORD-00417</x:v>
      </x:c>
      <x:c r="B418" s="1" t="str">
        <x:v>ACC-0118</x:v>
      </x:c>
      <x:c r="C418" s="19" t="n">
        <x:v>45834</x:v>
      </x:c>
      <x:c r="D418" s="1" t="str">
        <x:v>Case Packer</x:v>
      </x:c>
      <x:c r="E418" s="1" t="str">
        <x:v>Midwest</x:v>
      </x:c>
      <x:c r="F418" s="20" t="n">
        <x:v>126300</x:v>
      </x:c>
      <x:c r="G418" s="1" t="str">
        <x:v>New business</x:v>
      </x:c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 t="str">
        <x:v>ORD-00418</x:v>
      </x:c>
      <x:c r="B419" s="1" t="str">
        <x:v>ACC-0118</x:v>
      </x:c>
      <x:c r="C419" s="19" t="n">
        <x:v>45839</x:v>
      </x:c>
      <x:c r="D419" s="1" t="str">
        <x:v>Case Packer</x:v>
      </x:c>
      <x:c r="E419" s="1" t="str">
        <x:v>Midwest</x:v>
      </x:c>
      <x:c r="F419" s="20" t="n">
        <x:v>97500</x:v>
      </x:c>
      <x:c r="G419" s="1" t="str">
        <x:v>Repeat purchase</x:v>
      </x:c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 t="str">
        <x:v>ORD-00419</x:v>
      </x:c>
      <x:c r="B420" s="1" t="str">
        <x:v>ACC-0118</x:v>
      </x:c>
      <x:c r="C420" s="19" t="n">
        <x:v>45981</x:v>
      </x:c>
      <x:c r="D420" s="1" t="str">
        <x:v>Service &amp; Parts</x:v>
      </x:c>
      <x:c r="E420" s="1" t="str">
        <x:v>Midwest</x:v>
      </x:c>
      <x:c r="F420" s="20" t="n">
        <x:v>12000</x:v>
      </x:c>
      <x:c r="G420" s="1" t="str">
        <x:v>Repeat purchase</x:v>
      </x:c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 t="str">
        <x:v>ORD-00420</x:v>
      </x:c>
      <x:c r="B421" s="1" t="str">
        <x:v>ACC-0118</x:v>
      </x:c>
      <x:c r="C421" s="19" t="n">
        <x:v>46036</x:v>
      </x:c>
      <x:c r="D421" s="1" t="str">
        <x:v>Labeling System</x:v>
      </x:c>
      <x:c r="E421" s="1" t="str">
        <x:v>Midwest</x:v>
      </x:c>
      <x:c r="F421" s="20" t="n">
        <x:v>169200</x:v>
      </x:c>
      <x:c r="G421" s="1" t="str">
        <x:v>Repeat purchase</x:v>
      </x:c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 t="str">
        <x:v>ORD-00421</x:v>
      </x:c>
      <x:c r="B422" s="1" t="str">
        <x:v>ACC-0118</x:v>
      </x:c>
      <x:c r="C422" s="19" t="n">
        <x:v>46071</x:v>
      </x:c>
      <x:c r="D422" s="1" t="str">
        <x:v>Pouch Filler</x:v>
      </x:c>
      <x:c r="E422" s="1" t="str">
        <x:v>Midwest</x:v>
      </x:c>
      <x:c r="F422" s="20" t="n">
        <x:v>263400</x:v>
      </x:c>
      <x:c r="G422" s="1" t="str">
        <x:v>Repeat purchase</x:v>
      </x:c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 t="str">
        <x:v>ORD-00422</x:v>
      </x:c>
      <x:c r="B423" s="1" t="str">
        <x:v>ACC-0118</x:v>
      </x:c>
      <x:c r="C423" s="19" t="n">
        <x:v>46169</x:v>
      </x:c>
      <x:c r="D423" s="1" t="str">
        <x:v>Labeling System</x:v>
      </x:c>
      <x:c r="E423" s="1" t="str">
        <x:v>Midwest</x:v>
      </x:c>
      <x:c r="F423" s="20" t="n">
        <x:v>105200</x:v>
      </x:c>
      <x:c r="G423" s="1" t="str">
        <x:v>Repeat purchase</x:v>
      </x:c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 t="str">
        <x:v>ORD-00423</x:v>
      </x:c>
      <x:c r="B424" s="1" t="str">
        <x:v>ACC-0119</x:v>
      </x:c>
      <x:c r="C424" s="19" t="n">
        <x:v>46047</x:v>
      </x:c>
      <x:c r="D424" s="1" t="str">
        <x:v>Pouch Filler</x:v>
      </x:c>
      <x:c r="E424" s="1" t="str">
        <x:v>Midwest</x:v>
      </x:c>
      <x:c r="F424" s="20" t="n">
        <x:v>67100</x:v>
      </x:c>
      <x:c r="G424" s="1" t="str">
        <x:v>New business</x:v>
      </x:c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 t="str">
        <x:v>ORD-00424</x:v>
      </x:c>
      <x:c r="B425" s="1" t="str">
        <x:v>ACC-0119</x:v>
      </x:c>
      <x:c r="C425" s="19" t="n">
        <x:v>46057</x:v>
      </x:c>
      <x:c r="D425" s="1" t="str">
        <x:v>Pouch Filler</x:v>
      </x:c>
      <x:c r="E425" s="1" t="str">
        <x:v>Midwest</x:v>
      </x:c>
      <x:c r="F425" s="20" t="n">
        <x:v>234800</x:v>
      </x:c>
      <x:c r="G425" s="1" t="str">
        <x:v>Repeat purchase</x:v>
      </x:c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 t="str">
        <x:v>ORD-00425</x:v>
      </x:c>
      <x:c r="B426" s="1" t="str">
        <x:v>ACC-0119</x:v>
      </x:c>
      <x:c r="C426" s="19" t="n">
        <x:v>46109</x:v>
      </x:c>
      <x:c r="D426" s="1" t="str">
        <x:v>Cartoning Machine</x:v>
      </x:c>
      <x:c r="E426" s="1" t="str">
        <x:v>Midwest</x:v>
      </x:c>
      <x:c r="F426" s="20" t="n">
        <x:v>112100</x:v>
      </x:c>
      <x:c r="G426" s="1" t="str">
        <x:v>Repeat purchase</x:v>
      </x:c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 t="str">
        <x:v>ORD-00426</x:v>
      </x:c>
      <x:c r="B427" s="1" t="str">
        <x:v>ACC-0120</x:v>
      </x:c>
      <x:c r="C427" s="19" t="n">
        <x:v>46052</x:v>
      </x:c>
      <x:c r="D427" s="1" t="str">
        <x:v>Service &amp; Parts</x:v>
      </x:c>
      <x:c r="E427" s="1" t="str">
        <x:v>Midwest</x:v>
      </x:c>
      <x:c r="F427" s="20" t="n">
        <x:v>31200</x:v>
      </x:c>
      <x:c r="G427" s="1" t="str">
        <x:v>New business</x:v>
      </x:c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 t="str">
        <x:v>ORD-00427</x:v>
      </x:c>
      <x:c r="B428" s="1" t="str">
        <x:v>ACC-0120</x:v>
      </x:c>
      <x:c r="C428" s="19" t="n">
        <x:v>46181</x:v>
      </x:c>
      <x:c r="D428" s="1" t="str">
        <x:v>Service &amp; Parts</x:v>
      </x:c>
      <x:c r="E428" s="1" t="str">
        <x:v>Midwest</x:v>
      </x:c>
      <x:c r="F428" s="20" t="n">
        <x:v>20100</x:v>
      </x:c>
      <x:c r="G428" s="1" t="str">
        <x:v>Repeat purchase</x:v>
      </x:c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 t="str">
        <x:v>ORD-00428</x:v>
      </x:c>
      <x:c r="B429" s="1" t="str">
        <x:v>ACC-0120</x:v>
      </x:c>
      <x:c r="C429" s="19" t="n">
        <x:v>46201</x:v>
      </x:c>
      <x:c r="D429" s="1" t="str">
        <x:v>Service &amp; Parts</x:v>
      </x:c>
      <x:c r="E429" s="1" t="str">
        <x:v>Midwest</x:v>
      </x:c>
      <x:c r="F429" s="20" t="n">
        <x:v>23800</x:v>
      </x:c>
      <x:c r="G429" s="1" t="str">
        <x:v>Repeat purchase</x:v>
      </x:c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 t="str">
        <x:v>ORD-00429</x:v>
      </x:c>
      <x:c r="B430" s="1" t="str">
        <x:v>ACC-0121</x:v>
      </x:c>
      <x:c r="C430" s="19" t="n">
        <x:v>45454</x:v>
      </x:c>
      <x:c r="D430" s="1" t="str">
        <x:v>Cartoning Machine</x:v>
      </x:c>
      <x:c r="E430" s="1" t="str">
        <x:v>Midwest</x:v>
      </x:c>
      <x:c r="F430" s="20" t="n">
        <x:v>47100</x:v>
      </x:c>
      <x:c r="G430" s="1" t="str">
        <x:v>New business</x:v>
      </x:c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 t="str">
        <x:v>ORD-00430</x:v>
      </x:c>
      <x:c r="B431" s="1" t="str">
        <x:v>ACC-0121</x:v>
      </x:c>
      <x:c r="C431" s="19" t="n">
        <x:v>45965</x:v>
      </x:c>
      <x:c r="D431" s="1" t="str">
        <x:v>Cartoning Machine</x:v>
      </x:c>
      <x:c r="E431" s="1" t="str">
        <x:v>Midwest</x:v>
      </x:c>
      <x:c r="F431" s="20" t="n">
        <x:v>124200</x:v>
      </x:c>
      <x:c r="G431" s="1" t="str">
        <x:v>Repeat purchase</x:v>
      </x:c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 t="str">
        <x:v>ORD-00431</x:v>
      </x:c>
      <x:c r="B432" s="1" t="str">
        <x:v>ACC-0121</x:v>
      </x:c>
      <x:c r="C432" s="19" t="n">
        <x:v>45980</x:v>
      </x:c>
      <x:c r="D432" s="1" t="str">
        <x:v>Labeling System</x:v>
      </x:c>
      <x:c r="E432" s="1" t="str">
        <x:v>Midwest</x:v>
      </x:c>
      <x:c r="F432" s="20" t="n">
        <x:v>139300</x:v>
      </x:c>
      <x:c r="G432" s="1" t="str">
        <x:v>Repeat purchase</x:v>
      </x:c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 t="str">
        <x:v>ORD-00432</x:v>
      </x:c>
      <x:c r="B433" s="1" t="str">
        <x:v>ACC-0122</x:v>
      </x:c>
      <x:c r="C433" s="19" t="n">
        <x:v>45541</x:v>
      </x:c>
      <x:c r="D433" s="1" t="str">
        <x:v>Labeling System</x:v>
      </x:c>
      <x:c r="E433" s="1" t="str">
        <x:v>Midwest</x:v>
      </x:c>
      <x:c r="F433" s="20" t="n">
        <x:v>82500</x:v>
      </x:c>
      <x:c r="G433" s="1" t="str">
        <x:v>New business</x:v>
      </x:c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 t="str">
        <x:v>ORD-00433</x:v>
      </x:c>
      <x:c r="B434" s="1" t="str">
        <x:v>ACC-0123</x:v>
      </x:c>
      <x:c r="C434" s="19" t="n">
        <x:v>45507</x:v>
      </x:c>
      <x:c r="D434" s="1" t="str">
        <x:v>Labeling System</x:v>
      </x:c>
      <x:c r="E434" s="1" t="str">
        <x:v>Northeast</x:v>
      </x:c>
      <x:c r="F434" s="20" t="n">
        <x:v>135100</x:v>
      </x:c>
      <x:c r="G434" s="1" t="str">
        <x:v>New business</x:v>
      </x:c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 t="str">
        <x:v>ORD-00434</x:v>
      </x:c>
      <x:c r="B435" s="1" t="str">
        <x:v>ACC-0123</x:v>
      </x:c>
      <x:c r="C435" s="19" t="n">
        <x:v>45592</x:v>
      </x:c>
      <x:c r="D435" s="1" t="str">
        <x:v>Cartoning Machine</x:v>
      </x:c>
      <x:c r="E435" s="1" t="str">
        <x:v>Northeast</x:v>
      </x:c>
      <x:c r="F435" s="20" t="n">
        <x:v>82100</x:v>
      </x:c>
      <x:c r="G435" s="1" t="str">
        <x:v>Repeat purchase</x:v>
      </x:c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 t="str">
        <x:v>ORD-00435</x:v>
      </x:c>
      <x:c r="B436" s="1" t="str">
        <x:v>ACC-0124</x:v>
      </x:c>
      <x:c r="C436" s="19" t="n">
        <x:v>45580</x:v>
      </x:c>
      <x:c r="D436" s="1" t="str">
        <x:v>Labeling System</x:v>
      </x:c>
      <x:c r="E436" s="1" t="str">
        <x:v>Midwest</x:v>
      </x:c>
      <x:c r="F436" s="20" t="n">
        <x:v>85000</x:v>
      </x:c>
      <x:c r="G436" s="1" t="str">
        <x:v>New business</x:v>
      </x:c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 t="str">
        <x:v>ORD-00436</x:v>
      </x:c>
      <x:c r="B437" s="1" t="str">
        <x:v>ACC-0124</x:v>
      </x:c>
      <x:c r="C437" s="19" t="n">
        <x:v>45726</x:v>
      </x:c>
      <x:c r="D437" s="1" t="str">
        <x:v>Labeling System</x:v>
      </x:c>
      <x:c r="E437" s="1" t="str">
        <x:v>Midwest</x:v>
      </x:c>
      <x:c r="F437" s="20" t="n">
        <x:v>136900</x:v>
      </x:c>
      <x:c r="G437" s="1" t="str">
        <x:v>Repeat purchase</x:v>
      </x:c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 t="str">
        <x:v>ORD-00437</x:v>
      </x:c>
      <x:c r="B438" s="1" t="str">
        <x:v>ACC-0124</x:v>
      </x:c>
      <x:c r="C438" s="19" t="n">
        <x:v>45770</x:v>
      </x:c>
      <x:c r="D438" s="1" t="str">
        <x:v>Labeling System</x:v>
      </x:c>
      <x:c r="E438" s="1" t="str">
        <x:v>Midwest</x:v>
      </x:c>
      <x:c r="F438" s="20" t="n">
        <x:v>126000</x:v>
      </x:c>
      <x:c r="G438" s="1" t="str">
        <x:v>Repeat purchase</x:v>
      </x:c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 t="str">
        <x:v>ORD-00438</x:v>
      </x:c>
      <x:c r="B439" s="1" t="str">
        <x:v>ACC-0124</x:v>
      </x:c>
      <x:c r="C439" s="19" t="n">
        <x:v>45827</x:v>
      </x:c>
      <x:c r="D439" s="1" t="str">
        <x:v>Cartoning Machine</x:v>
      </x:c>
      <x:c r="E439" s="1" t="str">
        <x:v>Midwest</x:v>
      </x:c>
      <x:c r="F439" s="20" t="n">
        <x:v>172500</x:v>
      </x:c>
      <x:c r="G439" s="1" t="str">
        <x:v>Repeat purchase</x:v>
      </x:c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 t="str">
        <x:v>ORD-00439</x:v>
      </x:c>
      <x:c r="B440" s="1" t="str">
        <x:v>ACC-0124</x:v>
      </x:c>
      <x:c r="C440" s="19" t="n">
        <x:v>45848</x:v>
      </x:c>
      <x:c r="D440" s="1" t="str">
        <x:v>Labeling System</x:v>
      </x:c>
      <x:c r="E440" s="1" t="str">
        <x:v>Midwest</x:v>
      </x:c>
      <x:c r="F440" s="20" t="n">
        <x:v>57100</x:v>
      </x:c>
      <x:c r="G440" s="1" t="str">
        <x:v>Repeat purchase</x:v>
      </x:c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 t="str">
        <x:v>ORD-00440</x:v>
      </x:c>
      <x:c r="B441" s="1" t="str">
        <x:v>ACC-0125</x:v>
      </x:c>
      <x:c r="C441" s="19" t="n">
        <x:v>45458</x:v>
      </x:c>
      <x:c r="D441" s="1" t="str">
        <x:v>Cartoning Machine</x:v>
      </x:c>
      <x:c r="E441" s="1" t="str">
        <x:v>Northeast</x:v>
      </x:c>
      <x:c r="F441" s="20" t="n">
        <x:v>252700</x:v>
      </x:c>
      <x:c r="G441" s="1" t="str">
        <x:v>New business</x:v>
      </x:c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 t="str">
        <x:v>ORD-00441</x:v>
      </x:c>
      <x:c r="B442" s="1" t="str">
        <x:v>ACC-0125</x:v>
      </x:c>
      <x:c r="C442" s="19" t="n">
        <x:v>45554</x:v>
      </x:c>
      <x:c r="D442" s="1" t="str">
        <x:v>Pouch Filler</x:v>
      </x:c>
      <x:c r="E442" s="1" t="str">
        <x:v>Northeast</x:v>
      </x:c>
      <x:c r="F442" s="20" t="n">
        <x:v>272500</x:v>
      </x:c>
      <x:c r="G442" s="1" t="str">
        <x:v>Repeat purchase</x:v>
      </x:c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 t="str">
        <x:v>ORD-00442</x:v>
      </x:c>
      <x:c r="B443" s="1" t="str">
        <x:v>ACC-0125</x:v>
      </x:c>
      <x:c r="C443" s="19" t="n">
        <x:v>45752</x:v>
      </x:c>
      <x:c r="D443" s="1" t="str">
        <x:v>Pouch Filler</x:v>
      </x:c>
      <x:c r="E443" s="1" t="str">
        <x:v>Northeast</x:v>
      </x:c>
      <x:c r="F443" s="20" t="n">
        <x:v>222100</x:v>
      </x:c>
      <x:c r="G443" s="1" t="str">
        <x:v>Repeat purchase</x:v>
      </x:c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 t="str">
        <x:v>ORD-00443</x:v>
      </x:c>
      <x:c r="B444" s="1" t="str">
        <x:v>ACC-0125</x:v>
      </x:c>
      <x:c r="C444" s="19" t="n">
        <x:v>45951</x:v>
      </x:c>
      <x:c r="D444" s="1" t="str">
        <x:v>Case Packer</x:v>
      </x:c>
      <x:c r="E444" s="1" t="str">
        <x:v>Northeast</x:v>
      </x:c>
      <x:c r="F444" s="20" t="n">
        <x:v>147000</x:v>
      </x:c>
      <x:c r="G444" s="1" t="str">
        <x:v>Repeat purchase</x:v>
      </x:c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 t="str">
        <x:v>ORD-00444</x:v>
      </x:c>
      <x:c r="B445" s="1" t="str">
        <x:v>ACC-0125</x:v>
      </x:c>
      <x:c r="C445" s="19" t="n">
        <x:v>46129</x:v>
      </x:c>
      <x:c r="D445" s="1" t="str">
        <x:v>Labeling System</x:v>
      </x:c>
      <x:c r="E445" s="1" t="str">
        <x:v>Northeast</x:v>
      </x:c>
      <x:c r="F445" s="20" t="n">
        <x:v>192400</x:v>
      </x:c>
      <x:c r="G445" s="1" t="str">
        <x:v>Repeat purchase</x:v>
      </x:c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 t="str">
        <x:v>ORD-00445</x:v>
      </x:c>
      <x:c r="B446" s="1" t="str">
        <x:v>ACC-0126</x:v>
      </x:c>
      <x:c r="C446" s="19" t="n">
        <x:v>45828</x:v>
      </x:c>
      <x:c r="D446" s="1" t="str">
        <x:v>Labeling System</x:v>
      </x:c>
      <x:c r="E446" s="1" t="str">
        <x:v>Northeast</x:v>
      </x:c>
      <x:c r="F446" s="20" t="n">
        <x:v>175600</x:v>
      </x:c>
      <x:c r="G446" s="1" t="str">
        <x:v>New business</x:v>
      </x:c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 t="str">
        <x:v>ORD-00446</x:v>
      </x:c>
      <x:c r="B447" s="1" t="str">
        <x:v>ACC-0126</x:v>
      </x:c>
      <x:c r="C447" s="19" t="n">
        <x:v>45966</x:v>
      </x:c>
      <x:c r="D447" s="1" t="str">
        <x:v>Labeling System</x:v>
      </x:c>
      <x:c r="E447" s="1" t="str">
        <x:v>Northeast</x:v>
      </x:c>
      <x:c r="F447" s="20" t="n">
        <x:v>261200</x:v>
      </x:c>
      <x:c r="G447" s="1" t="str">
        <x:v>Repeat purchase</x:v>
      </x:c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 t="str">
        <x:v>ORD-00447</x:v>
      </x:c>
      <x:c r="B448" s="1" t="str">
        <x:v>ACC-0126</x:v>
      </x:c>
      <x:c r="C448" s="19" t="n">
        <x:v>46013</x:v>
      </x:c>
      <x:c r="D448" s="1" t="str">
        <x:v>Cartoning Machine</x:v>
      </x:c>
      <x:c r="E448" s="1" t="str">
        <x:v>Northeast</x:v>
      </x:c>
      <x:c r="F448" s="20" t="n">
        <x:v>145900</x:v>
      </x:c>
      <x:c r="G448" s="1" t="str">
        <x:v>Repeat purchase</x:v>
      </x:c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 t="str">
        <x:v>ORD-00448</x:v>
      </x:c>
      <x:c r="B449" s="1" t="str">
        <x:v>ACC-0126</x:v>
      </x:c>
      <x:c r="C449" s="19" t="n">
        <x:v>46015</x:v>
      </x:c>
      <x:c r="D449" s="1" t="str">
        <x:v>Labeling System</x:v>
      </x:c>
      <x:c r="E449" s="1" t="str">
        <x:v>Northeast</x:v>
      </x:c>
      <x:c r="F449" s="20" t="n">
        <x:v>95500</x:v>
      </x:c>
      <x:c r="G449" s="1" t="str">
        <x:v>Repeat purchase</x:v>
      </x:c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 t="str">
        <x:v>ORD-00449</x:v>
      </x:c>
      <x:c r="B450" s="1" t="str">
        <x:v>ACC-0126</x:v>
      </x:c>
      <x:c r="C450" s="19" t="n">
        <x:v>46050</x:v>
      </x:c>
      <x:c r="D450" s="1" t="str">
        <x:v>Cartoning Machine</x:v>
      </x:c>
      <x:c r="E450" s="1" t="str">
        <x:v>Northeast</x:v>
      </x:c>
      <x:c r="F450" s="20" t="n">
        <x:v>185700</x:v>
      </x:c>
      <x:c r="G450" s="1" t="str">
        <x:v>Repeat purchase</x:v>
      </x:c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 t="str">
        <x:v>ORD-00450</x:v>
      </x:c>
      <x:c r="B451" s="1" t="str">
        <x:v>ACC-0126</x:v>
      </x:c>
      <x:c r="C451" s="19" t="n">
        <x:v>46179</x:v>
      </x:c>
      <x:c r="D451" s="1" t="str">
        <x:v>Cartoning Machine</x:v>
      </x:c>
      <x:c r="E451" s="1" t="str">
        <x:v>Northeast</x:v>
      </x:c>
      <x:c r="F451" s="20" t="n">
        <x:v>147600</x:v>
      </x:c>
      <x:c r="G451" s="1" t="str">
        <x:v>Repeat purchase</x:v>
      </x:c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 t="str">
        <x:v>ORD-00451</x:v>
      </x:c>
      <x:c r="B452" s="1" t="str">
        <x:v>ACC-0127</x:v>
      </x:c>
      <x:c r="C452" s="19" t="n">
        <x:v>45932</x:v>
      </x:c>
      <x:c r="D452" s="1" t="str">
        <x:v>Cartoning Machine</x:v>
      </x:c>
      <x:c r="E452" s="1" t="str">
        <x:v>Northeast</x:v>
      </x:c>
      <x:c r="F452" s="20" t="n">
        <x:v>183200</x:v>
      </x:c>
      <x:c r="G452" s="1" t="str">
        <x:v>New business</x:v>
      </x:c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 t="str">
        <x:v>ORD-00452</x:v>
      </x:c>
      <x:c r="B453" s="1" t="str">
        <x:v>ACC-0127</x:v>
      </x:c>
      <x:c r="C453" s="19" t="n">
        <x:v>45937</x:v>
      </x:c>
      <x:c r="D453" s="1" t="str">
        <x:v>Case Packer</x:v>
      </x:c>
      <x:c r="E453" s="1" t="str">
        <x:v>Northeast</x:v>
      </x:c>
      <x:c r="F453" s="20" t="n">
        <x:v>178600</x:v>
      </x:c>
      <x:c r="G453" s="1" t="str">
        <x:v>Repeat purchase</x:v>
      </x:c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 t="str">
        <x:v>ORD-00453</x:v>
      </x:c>
      <x:c r="B454" s="1" t="str">
        <x:v>ACC-0127</x:v>
      </x:c>
      <x:c r="C454" s="19" t="n">
        <x:v>45952</x:v>
      </x:c>
      <x:c r="D454" s="1" t="str">
        <x:v>Case Packer</x:v>
      </x:c>
      <x:c r="E454" s="1" t="str">
        <x:v>Northeast</x:v>
      </x:c>
      <x:c r="F454" s="20" t="n">
        <x:v>70500</x:v>
      </x:c>
      <x:c r="G454" s="1" t="str">
        <x:v>Repeat purchase</x:v>
      </x:c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 t="str">
        <x:v>ORD-00454</x:v>
      </x:c>
      <x:c r="B455" s="1" t="str">
        <x:v>ACC-0127</x:v>
      </x:c>
      <x:c r="C455" s="19" t="n">
        <x:v>45972</x:v>
      </x:c>
      <x:c r="D455" s="1" t="str">
        <x:v>Case Packer</x:v>
      </x:c>
      <x:c r="E455" s="1" t="str">
        <x:v>Northeast</x:v>
      </x:c>
      <x:c r="F455" s="20" t="n">
        <x:v>69100</x:v>
      </x:c>
      <x:c r="G455" s="1" t="str">
        <x:v>Repeat purchase</x:v>
      </x:c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 t="str">
        <x:v>ORD-00455</x:v>
      </x:c>
      <x:c r="B456" s="1" t="str">
        <x:v>ACC-0128</x:v>
      </x:c>
      <x:c r="C456" s="19" t="n">
        <x:v>45338</x:v>
      </x:c>
      <x:c r="D456" s="1" t="str">
        <x:v>Pouch Filler</x:v>
      </x:c>
      <x:c r="E456" s="1" t="str">
        <x:v>West</x:v>
      </x:c>
      <x:c r="F456" s="20" t="n">
        <x:v>150900</x:v>
      </x:c>
      <x:c r="G456" s="1" t="str">
        <x:v>New business</x:v>
      </x:c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 t="str">
        <x:v>ORD-00456</x:v>
      </x:c>
      <x:c r="B457" s="1" t="str">
        <x:v>ACC-0128</x:v>
      </x:c>
      <x:c r="C457" s="19" t="n">
        <x:v>45733</x:v>
      </x:c>
      <x:c r="D457" s="1" t="str">
        <x:v>Service &amp; Parts</x:v>
      </x:c>
      <x:c r="E457" s="1" t="str">
        <x:v>West</x:v>
      </x:c>
      <x:c r="F457" s="20" t="n">
        <x:v>33800</x:v>
      </x:c>
      <x:c r="G457" s="1" t="str">
        <x:v>Repeat purchase</x:v>
      </x:c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 t="str">
        <x:v>ORD-00457</x:v>
      </x:c>
      <x:c r="B458" s="1" t="str">
        <x:v>ACC-0128</x:v>
      </x:c>
      <x:c r="C458" s="19" t="n">
        <x:v>45909</x:v>
      </x:c>
      <x:c r="D458" s="1" t="str">
        <x:v>Pouch Filler</x:v>
      </x:c>
      <x:c r="E458" s="1" t="str">
        <x:v>West</x:v>
      </x:c>
      <x:c r="F458" s="20" t="n">
        <x:v>125000</x:v>
      </x:c>
      <x:c r="G458" s="1" t="str">
        <x:v>Repeat purchase</x:v>
      </x:c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 t="str">
        <x:v>ORD-00458</x:v>
      </x:c>
      <x:c r="B459" s="1" t="str">
        <x:v>ACC-0128</x:v>
      </x:c>
      <x:c r="C459" s="19" t="n">
        <x:v>46115</x:v>
      </x:c>
      <x:c r="D459" s="1" t="str">
        <x:v>Pouch Filler</x:v>
      </x:c>
      <x:c r="E459" s="1" t="str">
        <x:v>West</x:v>
      </x:c>
      <x:c r="F459" s="20" t="n">
        <x:v>141000</x:v>
      </x:c>
      <x:c r="G459" s="1" t="str">
        <x:v>Repeat purchase</x:v>
      </x:c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 t="str">
        <x:v>ORD-00459</x:v>
      </x:c>
      <x:c r="B460" s="1" t="str">
        <x:v>ACC-0128</x:v>
      </x:c>
      <x:c r="C460" s="19" t="n">
        <x:v>46124</x:v>
      </x:c>
      <x:c r="D460" s="1" t="str">
        <x:v>Service &amp; Parts</x:v>
      </x:c>
      <x:c r="E460" s="1" t="str">
        <x:v>West</x:v>
      </x:c>
      <x:c r="F460" s="20" t="n">
        <x:v>34800</x:v>
      </x:c>
      <x:c r="G460" s="1" t="str">
        <x:v>Repeat purchase</x:v>
      </x:c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 t="str">
        <x:v>ORD-00460</x:v>
      </x:c>
      <x:c r="B461" s="1" t="str">
        <x:v>ACC-0129</x:v>
      </x:c>
      <x:c r="C461" s="19" t="n">
        <x:v>45686</x:v>
      </x:c>
      <x:c r="D461" s="1" t="str">
        <x:v>Cartoning Machine</x:v>
      </x:c>
      <x:c r="E461" s="1" t="str">
        <x:v>West</x:v>
      </x:c>
      <x:c r="F461" s="20" t="n">
        <x:v>101800</x:v>
      </x:c>
      <x:c r="G461" s="1" t="str">
        <x:v>New business</x:v>
      </x:c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 t="str">
        <x:v>ORD-00461</x:v>
      </x:c>
      <x:c r="B462" s="1" t="str">
        <x:v>ACC-0129</x:v>
      </x:c>
      <x:c r="C462" s="19" t="n">
        <x:v>45702</x:v>
      </x:c>
      <x:c r="D462" s="1" t="str">
        <x:v>Pouch Filler</x:v>
      </x:c>
      <x:c r="E462" s="1" t="str">
        <x:v>West</x:v>
      </x:c>
      <x:c r="F462" s="20" t="n">
        <x:v>235900</x:v>
      </x:c>
      <x:c r="G462" s="1" t="str">
        <x:v>Repeat purchase</x:v>
      </x:c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 t="str">
        <x:v>ORD-00462</x:v>
      </x:c>
      <x:c r="B463" s="1" t="str">
        <x:v>ACC-0129</x:v>
      </x:c>
      <x:c r="C463" s="19" t="n">
        <x:v>45845</x:v>
      </x:c>
      <x:c r="D463" s="1" t="str">
        <x:v>Labeling System</x:v>
      </x:c>
      <x:c r="E463" s="1" t="str">
        <x:v>West</x:v>
      </x:c>
      <x:c r="F463" s="20" t="n">
        <x:v>99200</x:v>
      </x:c>
      <x:c r="G463" s="1" t="str">
        <x:v>Repeat purchase</x:v>
      </x:c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 t="str">
        <x:v>ORD-00463</x:v>
      </x:c>
      <x:c r="B464" s="1" t="str">
        <x:v>ACC-0129</x:v>
      </x:c>
      <x:c r="C464" s="19" t="n">
        <x:v>45887</x:v>
      </x:c>
      <x:c r="D464" s="1" t="str">
        <x:v>Case Packer</x:v>
      </x:c>
      <x:c r="E464" s="1" t="str">
        <x:v>West</x:v>
      </x:c>
      <x:c r="F464" s="20" t="n">
        <x:v>221200</x:v>
      </x:c>
      <x:c r="G464" s="1" t="str">
        <x:v>Repeat purchase</x:v>
      </x:c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 t="str">
        <x:v>ORD-00464</x:v>
      </x:c>
      <x:c r="B465" s="1" t="str">
        <x:v>ACC-0129</x:v>
      </x:c>
      <x:c r="C465" s="19" t="n">
        <x:v>45897</x:v>
      </x:c>
      <x:c r="D465" s="1" t="str">
        <x:v>Service &amp; Parts</x:v>
      </x:c>
      <x:c r="E465" s="1" t="str">
        <x:v>West</x:v>
      </x:c>
      <x:c r="F465" s="20" t="n">
        <x:v>19900</x:v>
      </x:c>
      <x:c r="G465" s="1" t="str">
        <x:v>Repeat purchase</x:v>
      </x:c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 t="str">
        <x:v>ORD-00465</x:v>
      </x:c>
      <x:c r="B466" s="1" t="str">
        <x:v>ACC-0129</x:v>
      </x:c>
      <x:c r="C466" s="19" t="n">
        <x:v>46037</x:v>
      </x:c>
      <x:c r="D466" s="1" t="str">
        <x:v>Labeling System</x:v>
      </x:c>
      <x:c r="E466" s="1" t="str">
        <x:v>West</x:v>
      </x:c>
      <x:c r="F466" s="20" t="n">
        <x:v>172800</x:v>
      </x:c>
      <x:c r="G466" s="1" t="str">
        <x:v>Repeat purchase</x:v>
      </x:c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 t="str">
        <x:v>ORD-00466</x:v>
      </x:c>
      <x:c r="B467" s="1" t="str">
        <x:v>ACC-0130</x:v>
      </x:c>
      <x:c r="C467" s="19" t="n">
        <x:v>45755</x:v>
      </x:c>
      <x:c r="D467" s="1" t="str">
        <x:v>Cartoning Machine</x:v>
      </x:c>
      <x:c r="E467" s="1" t="str">
        <x:v>West</x:v>
      </x:c>
      <x:c r="F467" s="20" t="n">
        <x:v>59300</x:v>
      </x:c>
      <x:c r="G467" s="1" t="str">
        <x:v>New business</x:v>
      </x:c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 t="str">
        <x:v>ORD-00467</x:v>
      </x:c>
      <x:c r="B468" s="1" t="str">
        <x:v>ACC-0130</x:v>
      </x:c>
      <x:c r="C468" s="19" t="n">
        <x:v>45876</x:v>
      </x:c>
      <x:c r="D468" s="1" t="str">
        <x:v>Labeling System</x:v>
      </x:c>
      <x:c r="E468" s="1" t="str">
        <x:v>West</x:v>
      </x:c>
      <x:c r="F468" s="20" t="n">
        <x:v>39500</x:v>
      </x:c>
      <x:c r="G468" s="1" t="str">
        <x:v>Repeat purchase</x:v>
      </x:c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 t="str">
        <x:v>ORD-00468</x:v>
      </x:c>
      <x:c r="B469" s="1" t="str">
        <x:v>ACC-0130</x:v>
      </x:c>
      <x:c r="C469" s="19" t="n">
        <x:v>45878</x:v>
      </x:c>
      <x:c r="D469" s="1" t="str">
        <x:v>Cartoning Machine</x:v>
      </x:c>
      <x:c r="E469" s="1" t="str">
        <x:v>West</x:v>
      </x:c>
      <x:c r="F469" s="20" t="n">
        <x:v>128200</x:v>
      </x:c>
      <x:c r="G469" s="1" t="str">
        <x:v>Repeat purchase</x:v>
      </x:c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 t="str">
        <x:v>ORD-00469</x:v>
      </x:c>
      <x:c r="B470" s="1" t="str">
        <x:v>ACC-0130</x:v>
      </x:c>
      <x:c r="C470" s="19" t="n">
        <x:v>45988</x:v>
      </x:c>
      <x:c r="D470" s="1" t="str">
        <x:v>Service &amp; Parts</x:v>
      </x:c>
      <x:c r="E470" s="1" t="str">
        <x:v>West</x:v>
      </x:c>
      <x:c r="F470" s="20" t="n">
        <x:v>9900</x:v>
      </x:c>
      <x:c r="G470" s="1" t="str">
        <x:v>Repeat purchase</x:v>
      </x:c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 t="str">
        <x:v>ORD-00470</x:v>
      </x:c>
      <x:c r="B471" s="1" t="str">
        <x:v>ACC-0131</x:v>
      </x:c>
      <x:c r="C471" s="19" t="n">
        <x:v>46025</x:v>
      </x:c>
      <x:c r="D471" s="1" t="str">
        <x:v>Labeling System</x:v>
      </x:c>
      <x:c r="E471" s="1" t="str">
        <x:v>West</x:v>
      </x:c>
      <x:c r="F471" s="20" t="n">
        <x:v>185800</x:v>
      </x:c>
      <x:c r="G471" s="1" t="str">
        <x:v>New business</x:v>
      </x:c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 t="str">
        <x:v>ORD-00471</x:v>
      </x:c>
      <x:c r="B472" s="1" t="str">
        <x:v>ACC-0131</x:v>
      </x:c>
      <x:c r="C472" s="19" t="n">
        <x:v>46062</x:v>
      </x:c>
      <x:c r="D472" s="1" t="str">
        <x:v>Labeling System</x:v>
      </x:c>
      <x:c r="E472" s="1" t="str">
        <x:v>West</x:v>
      </x:c>
      <x:c r="F472" s="20" t="n">
        <x:v>233700</x:v>
      </x:c>
      <x:c r="G472" s="1" t="str">
        <x:v>Repeat purchase</x:v>
      </x:c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 t="str">
        <x:v>ORD-00472</x:v>
      </x:c>
      <x:c r="B473" s="1" t="str">
        <x:v>ACC-0131</x:v>
      </x:c>
      <x:c r="C473" s="19" t="n">
        <x:v>46163</x:v>
      </x:c>
      <x:c r="D473" s="1" t="str">
        <x:v>Pouch Filler</x:v>
      </x:c>
      <x:c r="E473" s="1" t="str">
        <x:v>West</x:v>
      </x:c>
      <x:c r="F473" s="20" t="n">
        <x:v>153300</x:v>
      </x:c>
      <x:c r="G473" s="1" t="str">
        <x:v>Repeat purchase</x:v>
      </x:c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 t="str">
        <x:v>ORD-00473</x:v>
      </x:c>
      <x:c r="B474" s="1" t="str">
        <x:v>ACC-0132</x:v>
      </x:c>
      <x:c r="C474" s="19" t="n">
        <x:v>46109</x:v>
      </x:c>
      <x:c r="D474" s="1" t="str">
        <x:v>Pouch Filler</x:v>
      </x:c>
      <x:c r="E474" s="1" t="str">
        <x:v>Northeast</x:v>
      </x:c>
      <x:c r="F474" s="20" t="n">
        <x:v>124600</x:v>
      </x:c>
      <x:c r="G474" s="1" t="str">
        <x:v>New business</x:v>
      </x:c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 t="str">
        <x:v>ORD-00474</x:v>
      </x:c>
      <x:c r="B475" s="1" t="str">
        <x:v>ACC-0132</x:v>
      </x:c>
      <x:c r="C475" s="19" t="n">
        <x:v>46185</x:v>
      </x:c>
      <x:c r="D475" s="1" t="str">
        <x:v>Labeling System</x:v>
      </x:c>
      <x:c r="E475" s="1" t="str">
        <x:v>Northeast</x:v>
      </x:c>
      <x:c r="F475" s="20" t="n">
        <x:v>51300</x:v>
      </x:c>
      <x:c r="G475" s="1" t="str">
        <x:v>Repeat purchase</x:v>
      </x:c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 t="str">
        <x:v>ORD-00475</x:v>
      </x:c>
      <x:c r="B476" s="1" t="str">
        <x:v>ACC-0133</x:v>
      </x:c>
      <x:c r="C476" s="19" t="n">
        <x:v>45950</x:v>
      </x:c>
      <x:c r="D476" s="1" t="str">
        <x:v>Pouch Filler</x:v>
      </x:c>
      <x:c r="E476" s="1" t="str">
        <x:v>Midwest</x:v>
      </x:c>
      <x:c r="F476" s="20" t="n">
        <x:v>128400</x:v>
      </x:c>
      <x:c r="G476" s="1" t="str">
        <x:v>New business</x:v>
      </x:c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 t="str">
        <x:v>ORD-00476</x:v>
      </x:c>
      <x:c r="B477" s="1" t="str">
        <x:v>ACC-0133</x:v>
      </x:c>
      <x:c r="C477" s="19" t="n">
        <x:v>46006</x:v>
      </x:c>
      <x:c r="D477" s="1" t="str">
        <x:v>Cartoning Machine</x:v>
      </x:c>
      <x:c r="E477" s="1" t="str">
        <x:v>Midwest</x:v>
      </x:c>
      <x:c r="F477" s="20" t="n">
        <x:v>76100</x:v>
      </x:c>
      <x:c r="G477" s="1" t="str">
        <x:v>Repeat purchase</x:v>
      </x:c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 t="str">
        <x:v>ORD-00477</x:v>
      </x:c>
      <x:c r="B478" s="1" t="str">
        <x:v>ACC-0134</x:v>
      </x:c>
      <x:c r="C478" s="19" t="n">
        <x:v>45773</x:v>
      </x:c>
      <x:c r="D478" s="1" t="str">
        <x:v>Service &amp; Parts</x:v>
      </x:c>
      <x:c r="E478" s="1" t="str">
        <x:v>West</x:v>
      </x:c>
      <x:c r="F478" s="20" t="n">
        <x:v>28000</x:v>
      </x:c>
      <x:c r="G478" s="1" t="str">
        <x:v>New business</x:v>
      </x:c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 t="str">
        <x:v>ORD-00478</x:v>
      </x:c>
      <x:c r="B479" s="1" t="str">
        <x:v>ACC-0134</x:v>
      </x:c>
      <x:c r="C479" s="19" t="n">
        <x:v>45837</x:v>
      </x:c>
      <x:c r="D479" s="1" t="str">
        <x:v>Cartoning Machine</x:v>
      </x:c>
      <x:c r="E479" s="1" t="str">
        <x:v>West</x:v>
      </x:c>
      <x:c r="F479" s="20" t="n">
        <x:v>255200</x:v>
      </x:c>
      <x:c r="G479" s="1" t="str">
        <x:v>Repeat purchase</x:v>
      </x:c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 t="str">
        <x:v>ORD-00479</x:v>
      </x:c>
      <x:c r="B480" s="1" t="str">
        <x:v>ACC-0134</x:v>
      </x:c>
      <x:c r="C480" s="19" t="n">
        <x:v>45847</x:v>
      </x:c>
      <x:c r="D480" s="1" t="str">
        <x:v>Service &amp; Parts</x:v>
      </x:c>
      <x:c r="E480" s="1" t="str">
        <x:v>West</x:v>
      </x:c>
      <x:c r="F480" s="20" t="n">
        <x:v>15700</x:v>
      </x:c>
      <x:c r="G480" s="1" t="str">
        <x:v>Repeat purchase</x:v>
      </x:c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 t="str">
        <x:v>ORD-00480</x:v>
      </x:c>
      <x:c r="B481" s="1" t="str">
        <x:v>ACC-0134</x:v>
      </x:c>
      <x:c r="C481" s="19" t="n">
        <x:v>45890</x:v>
      </x:c>
      <x:c r="D481" s="1" t="str">
        <x:v>Case Packer</x:v>
      </x:c>
      <x:c r="E481" s="1" t="str">
        <x:v>West</x:v>
      </x:c>
      <x:c r="F481" s="20" t="n">
        <x:v>147500</x:v>
      </x:c>
      <x:c r="G481" s="1" t="str">
        <x:v>Repeat purchase</x:v>
      </x:c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 t="str">
        <x:v>ORD-00481</x:v>
      </x:c>
      <x:c r="B482" s="1" t="str">
        <x:v>ACC-0134</x:v>
      </x:c>
      <x:c r="C482" s="19" t="n">
        <x:v>45934</x:v>
      </x:c>
      <x:c r="D482" s="1" t="str">
        <x:v>Labeling System</x:v>
      </x:c>
      <x:c r="E482" s="1" t="str">
        <x:v>West</x:v>
      </x:c>
      <x:c r="F482" s="20" t="n">
        <x:v>236400</x:v>
      </x:c>
      <x:c r="G482" s="1" t="str">
        <x:v>Repeat purchase</x:v>
      </x:c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 t="str">
        <x:v>ORD-00482</x:v>
      </x:c>
      <x:c r="B483" s="1" t="str">
        <x:v>ACC-0134</x:v>
      </x:c>
      <x:c r="C483" s="19" t="n">
        <x:v>45954</x:v>
      </x:c>
      <x:c r="D483" s="1" t="str">
        <x:v>Case Packer</x:v>
      </x:c>
      <x:c r="E483" s="1" t="str">
        <x:v>West</x:v>
      </x:c>
      <x:c r="F483" s="20" t="n">
        <x:v>136200</x:v>
      </x:c>
      <x:c r="G483" s="1" t="str">
        <x:v>Repeat purchase</x:v>
      </x:c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 t="str">
        <x:v>ORD-00483</x:v>
      </x:c>
      <x:c r="B484" s="1" t="str">
        <x:v>ACC-0134</x:v>
      </x:c>
      <x:c r="C484" s="19" t="n">
        <x:v>46178</x:v>
      </x:c>
      <x:c r="D484" s="1" t="str">
        <x:v>Cartoning Machine</x:v>
      </x:c>
      <x:c r="E484" s="1" t="str">
        <x:v>West</x:v>
      </x:c>
      <x:c r="F484" s="20" t="n">
        <x:v>123100</x:v>
      </x:c>
      <x:c r="G484" s="1" t="str">
        <x:v>Repeat purchase</x:v>
      </x:c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 t="str">
        <x:v>ORD-00484</x:v>
      </x:c>
      <x:c r="B485" s="1" t="str">
        <x:v>ACC-0135</x:v>
      </x:c>
      <x:c r="C485" s="19" t="n">
        <x:v>45763</x:v>
      </x:c>
      <x:c r="D485" s="1" t="str">
        <x:v>Cartoning Machine</x:v>
      </x:c>
      <x:c r="E485" s="1" t="str">
        <x:v>Midwest</x:v>
      </x:c>
      <x:c r="F485" s="20" t="n">
        <x:v>95600</x:v>
      </x:c>
      <x:c r="G485" s="1" t="str">
        <x:v>New business</x:v>
      </x:c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 t="str">
        <x:v>ORD-00485</x:v>
      </x:c>
      <x:c r="B486" s="1" t="str">
        <x:v>ACC-0135</x:v>
      </x:c>
      <x:c r="C486" s="19" t="n">
        <x:v>45915</x:v>
      </x:c>
      <x:c r="D486" s="1" t="str">
        <x:v>Service &amp; Parts</x:v>
      </x:c>
      <x:c r="E486" s="1" t="str">
        <x:v>Midwest</x:v>
      </x:c>
      <x:c r="F486" s="20" t="n">
        <x:v>32400</x:v>
      </x:c>
      <x:c r="G486" s="1" t="str">
        <x:v>Repeat purchase</x:v>
      </x:c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 t="str">
        <x:v>ORD-00486</x:v>
      </x:c>
      <x:c r="B487" s="1" t="str">
        <x:v>ACC-0136</x:v>
      </x:c>
      <x:c r="C487" s="19" t="n">
        <x:v>45770</x:v>
      </x:c>
      <x:c r="D487" s="1" t="str">
        <x:v>Service &amp; Parts</x:v>
      </x:c>
      <x:c r="E487" s="1" t="str">
        <x:v>Northeast</x:v>
      </x:c>
      <x:c r="F487" s="20" t="n">
        <x:v>10700</x:v>
      </x:c>
      <x:c r="G487" s="1" t="str">
        <x:v>New business</x:v>
      </x:c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 t="str">
        <x:v>ORD-00487</x:v>
      </x:c>
      <x:c r="B488" s="1" t="str">
        <x:v>ACC-0136</x:v>
      </x:c>
      <x:c r="C488" s="19" t="n">
        <x:v>45829</x:v>
      </x:c>
      <x:c r="D488" s="1" t="str">
        <x:v>Cartoning Machine</x:v>
      </x:c>
      <x:c r="E488" s="1" t="str">
        <x:v>Northeast</x:v>
      </x:c>
      <x:c r="F488" s="20" t="n">
        <x:v>42000</x:v>
      </x:c>
      <x:c r="G488" s="1" t="str">
        <x:v>Repeat purchase</x:v>
      </x:c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 t="str">
        <x:v>ORD-00488</x:v>
      </x:c>
      <x:c r="B489" s="1" t="str">
        <x:v>ACC-0136</x:v>
      </x:c>
      <x:c r="C489" s="19" t="n">
        <x:v>46035</x:v>
      </x:c>
      <x:c r="D489" s="1" t="str">
        <x:v>Case Packer</x:v>
      </x:c>
      <x:c r="E489" s="1" t="str">
        <x:v>Northeast</x:v>
      </x:c>
      <x:c r="F489" s="20" t="n">
        <x:v>73700</x:v>
      </x:c>
      <x:c r="G489" s="1" t="str">
        <x:v>Repeat purchase</x:v>
      </x:c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 t="str">
        <x:v>ORD-00489</x:v>
      </x:c>
      <x:c r="B490" s="1" t="str">
        <x:v>ACC-0136</x:v>
      </x:c>
      <x:c r="C490" s="19" t="n">
        <x:v>46056</x:v>
      </x:c>
      <x:c r="D490" s="1" t="str">
        <x:v>Case Packer</x:v>
      </x:c>
      <x:c r="E490" s="1" t="str">
        <x:v>Northeast</x:v>
      </x:c>
      <x:c r="F490" s="20" t="n">
        <x:v>96900</x:v>
      </x:c>
      <x:c r="G490" s="1" t="str">
        <x:v>Repeat purchase</x:v>
      </x:c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 t="str">
        <x:v>ORD-00490</x:v>
      </x:c>
      <x:c r="B491" s="1" t="str">
        <x:v>ACC-0137</x:v>
      </x:c>
      <x:c r="C491" s="19" t="n">
        <x:v>45461</x:v>
      </x:c>
      <x:c r="D491" s="1" t="str">
        <x:v>Service &amp; Parts</x:v>
      </x:c>
      <x:c r="E491" s="1" t="str">
        <x:v>Midwest</x:v>
      </x:c>
      <x:c r="F491" s="20" t="n">
        <x:v>12300</x:v>
      </x:c>
      <x:c r="G491" s="1" t="str">
        <x:v>New business</x:v>
      </x:c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 t="str">
        <x:v>ORD-00491</x:v>
      </x:c>
      <x:c r="B492" s="1" t="str">
        <x:v>ACC-0137</x:v>
      </x:c>
      <x:c r="C492" s="19" t="n">
        <x:v>45542</x:v>
      </x:c>
      <x:c r="D492" s="1" t="str">
        <x:v>Case Packer</x:v>
      </x:c>
      <x:c r="E492" s="1" t="str">
        <x:v>Midwest</x:v>
      </x:c>
      <x:c r="F492" s="20" t="n">
        <x:v>207000</x:v>
      </x:c>
      <x:c r="G492" s="1" t="str">
        <x:v>Repeat purchase</x:v>
      </x:c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 t="str">
        <x:v>ORD-00492</x:v>
      </x:c>
      <x:c r="B493" s="1" t="str">
        <x:v>ACC-0137</x:v>
      </x:c>
      <x:c r="C493" s="19" t="n">
        <x:v>45758</x:v>
      </x:c>
      <x:c r="D493" s="1" t="str">
        <x:v>Labeling System</x:v>
      </x:c>
      <x:c r="E493" s="1" t="str">
        <x:v>Midwest</x:v>
      </x:c>
      <x:c r="F493" s="20" t="n">
        <x:v>69100</x:v>
      </x:c>
      <x:c r="G493" s="1" t="str">
        <x:v>Repeat purchase</x:v>
      </x:c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 t="str">
        <x:v>ORD-00493</x:v>
      </x:c>
      <x:c r="B494" s="1" t="str">
        <x:v>ACC-0137</x:v>
      </x:c>
      <x:c r="C494" s="19" t="n">
        <x:v>45781</x:v>
      </x:c>
      <x:c r="D494" s="1" t="str">
        <x:v>Pouch Filler</x:v>
      </x:c>
      <x:c r="E494" s="1" t="str">
        <x:v>Midwest</x:v>
      </x:c>
      <x:c r="F494" s="20" t="n">
        <x:v>152800</x:v>
      </x:c>
      <x:c r="G494" s="1" t="str">
        <x:v>Repeat purchase</x:v>
      </x:c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 t="str">
        <x:v>ORD-00494</x:v>
      </x:c>
      <x:c r="B495" s="1" t="str">
        <x:v>ACC-0138</x:v>
      </x:c>
      <x:c r="C495" s="19" t="n">
        <x:v>45758</x:v>
      </x:c>
      <x:c r="D495" s="1" t="str">
        <x:v>Labeling System</x:v>
      </x:c>
      <x:c r="E495" s="1" t="str">
        <x:v>Midwest</x:v>
      </x:c>
      <x:c r="F495" s="20" t="n">
        <x:v>57900</x:v>
      </x:c>
      <x:c r="G495" s="1" t="str">
        <x:v>New business</x:v>
      </x:c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 t="str">
        <x:v>ORD-00495</x:v>
      </x:c>
      <x:c r="B496" s="1" t="str">
        <x:v>ACC-0138</x:v>
      </x:c>
      <x:c r="C496" s="19" t="n">
        <x:v>45812</x:v>
      </x:c>
      <x:c r="D496" s="1" t="str">
        <x:v>Case Packer</x:v>
      </x:c>
      <x:c r="E496" s="1" t="str">
        <x:v>Midwest</x:v>
      </x:c>
      <x:c r="F496" s="20" t="n">
        <x:v>84700</x:v>
      </x:c>
      <x:c r="G496" s="1" t="str">
        <x:v>Repeat purchase</x:v>
      </x:c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 t="str">
        <x:v>ORD-00496</x:v>
      </x:c>
      <x:c r="B497" s="1" t="str">
        <x:v>ACC-0138</x:v>
      </x:c>
      <x:c r="C497" s="19" t="n">
        <x:v>45988</x:v>
      </x:c>
      <x:c r="D497" s="1" t="str">
        <x:v>Service &amp; Parts</x:v>
      </x:c>
      <x:c r="E497" s="1" t="str">
        <x:v>Midwest</x:v>
      </x:c>
      <x:c r="F497" s="20" t="n">
        <x:v>10300</x:v>
      </x:c>
      <x:c r="G497" s="1" t="str">
        <x:v>Repeat purchase</x:v>
      </x:c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 t="str">
        <x:v>ORD-00497</x:v>
      </x:c>
      <x:c r="B498" s="1" t="str">
        <x:v>ACC-0138</x:v>
      </x:c>
      <x:c r="C498" s="19" t="n">
        <x:v>46085</x:v>
      </x:c>
      <x:c r="D498" s="1" t="str">
        <x:v>Pouch Filler</x:v>
      </x:c>
      <x:c r="E498" s="1" t="str">
        <x:v>Midwest</x:v>
      </x:c>
      <x:c r="F498" s="20" t="n">
        <x:v>141200</x:v>
      </x:c>
      <x:c r="G498" s="1" t="str">
        <x:v>Repeat purchase</x:v>
      </x:c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 t="str">
        <x:v>ORD-00498</x:v>
      </x:c>
      <x:c r="B499" s="1" t="str">
        <x:v>ACC-0139</x:v>
      </x:c>
      <x:c r="C499" s="19" t="n">
        <x:v>45492</x:v>
      </x:c>
      <x:c r="D499" s="1" t="str">
        <x:v>Case Packer</x:v>
      </x:c>
      <x:c r="E499" s="1" t="str">
        <x:v>West</x:v>
      </x:c>
      <x:c r="F499" s="20" t="n">
        <x:v>100000</x:v>
      </x:c>
      <x:c r="G499" s="1" t="str">
        <x:v>New business</x:v>
      </x:c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 t="str">
        <x:v>ORD-00499</x:v>
      </x:c>
      <x:c r="B500" s="1" t="str">
        <x:v>ACC-0139</x:v>
      </x:c>
      <x:c r="C500" s="19" t="n">
        <x:v>45516</x:v>
      </x:c>
      <x:c r="D500" s="1" t="str">
        <x:v>Service &amp; Parts</x:v>
      </x:c>
      <x:c r="E500" s="1" t="str">
        <x:v>West</x:v>
      </x:c>
      <x:c r="F500" s="20" t="n">
        <x:v>29300</x:v>
      </x:c>
      <x:c r="G500" s="1" t="str">
        <x:v>Repeat purchase</x:v>
      </x:c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 t="str">
        <x:v>ORD-00500</x:v>
      </x:c>
      <x:c r="B501" s="1" t="str">
        <x:v>ACC-0139</x:v>
      </x:c>
      <x:c r="C501" s="19" t="n">
        <x:v>45559</x:v>
      </x:c>
      <x:c r="D501" s="1" t="str">
        <x:v>Pouch Filler</x:v>
      </x:c>
      <x:c r="E501" s="1" t="str">
        <x:v>West</x:v>
      </x:c>
      <x:c r="F501" s="20" t="n">
        <x:v>118800</x:v>
      </x:c>
      <x:c r="G501" s="1" t="str">
        <x:v>Repeat purchase</x:v>
      </x:c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 t="str">
        <x:v>ORD-00501</x:v>
      </x:c>
      <x:c r="B502" s="1" t="str">
        <x:v>ACC-0139</x:v>
      </x:c>
      <x:c r="C502" s="19" t="n">
        <x:v>45565</x:v>
      </x:c>
      <x:c r="D502" s="1" t="str">
        <x:v>Cartoning Machine</x:v>
      </x:c>
      <x:c r="E502" s="1" t="str">
        <x:v>West</x:v>
      </x:c>
      <x:c r="F502" s="20" t="n">
        <x:v>86700</x:v>
      </x:c>
      <x:c r="G502" s="1" t="str">
        <x:v>Repeat purchase</x:v>
      </x:c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 t="str">
        <x:v>ORD-00502</x:v>
      </x:c>
      <x:c r="B503" s="1" t="str">
        <x:v>ACC-0139</x:v>
      </x:c>
      <x:c r="C503" s="19" t="n">
        <x:v>45621</x:v>
      </x:c>
      <x:c r="D503" s="1" t="str">
        <x:v>Labeling System</x:v>
      </x:c>
      <x:c r="E503" s="1" t="str">
        <x:v>West</x:v>
      </x:c>
      <x:c r="F503" s="20" t="n">
        <x:v>196500</x:v>
      </x:c>
      <x:c r="G503" s="1" t="str">
        <x:v>Repeat purchase</x:v>
      </x:c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 t="str">
        <x:v>ORD-00503</x:v>
      </x:c>
      <x:c r="B504" s="1" t="str">
        <x:v>ACC-0139</x:v>
      </x:c>
      <x:c r="C504" s="19" t="n">
        <x:v>45919</x:v>
      </x:c>
      <x:c r="D504" s="1" t="str">
        <x:v>Service &amp; Parts</x:v>
      </x:c>
      <x:c r="E504" s="1" t="str">
        <x:v>West</x:v>
      </x:c>
      <x:c r="F504" s="20" t="n">
        <x:v>18100</x:v>
      </x:c>
      <x:c r="G504" s="1" t="str">
        <x:v>Repeat purchase</x:v>
      </x:c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 t="str">
        <x:v>ORD-00504</x:v>
      </x:c>
      <x:c r="B505" s="1" t="str">
        <x:v>ACC-0139</x:v>
      </x:c>
      <x:c r="C505" s="19" t="n">
        <x:v>46052</x:v>
      </x:c>
      <x:c r="D505" s="1" t="str">
        <x:v>Case Packer</x:v>
      </x:c>
      <x:c r="E505" s="1" t="str">
        <x:v>West</x:v>
      </x:c>
      <x:c r="F505" s="20" t="n">
        <x:v>81500</x:v>
      </x:c>
      <x:c r="G505" s="1" t="str">
        <x:v>Repeat purchase</x:v>
      </x:c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 t="str">
        <x:v>ORD-00505</x:v>
      </x:c>
      <x:c r="B506" s="1" t="str">
        <x:v>ACC-0140</x:v>
      </x:c>
      <x:c r="C506" s="19" t="n">
        <x:v>45374</x:v>
      </x:c>
      <x:c r="D506" s="1" t="str">
        <x:v>Labeling System</x:v>
      </x:c>
      <x:c r="E506" s="1" t="str">
        <x:v>Midwest</x:v>
      </x:c>
      <x:c r="F506" s="20" t="n">
        <x:v>204300</x:v>
      </x:c>
      <x:c r="G506" s="1" t="str">
        <x:v>New business</x:v>
      </x:c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 t="str">
        <x:v>ORD-00506</x:v>
      </x:c>
      <x:c r="B507" s="1" t="str">
        <x:v>ACC-0140</x:v>
      </x:c>
      <x:c r="C507" s="19" t="n">
        <x:v>45468</x:v>
      </x:c>
      <x:c r="D507" s="1" t="str">
        <x:v>Labeling System</x:v>
      </x:c>
      <x:c r="E507" s="1" t="str">
        <x:v>Midwest</x:v>
      </x:c>
      <x:c r="F507" s="20" t="n">
        <x:v>173800</x:v>
      </x:c>
      <x:c r="G507" s="1" t="str">
        <x:v>Repeat purchase</x:v>
      </x:c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 t="str">
        <x:v>ORD-00507</x:v>
      </x:c>
      <x:c r="B508" s="1" t="str">
        <x:v>ACC-0140</x:v>
      </x:c>
      <x:c r="C508" s="19" t="n">
        <x:v>45574</x:v>
      </x:c>
      <x:c r="D508" s="1" t="str">
        <x:v>Pouch Filler</x:v>
      </x:c>
      <x:c r="E508" s="1" t="str">
        <x:v>Midwest</x:v>
      </x:c>
      <x:c r="F508" s="20" t="n">
        <x:v>239500</x:v>
      </x:c>
      <x:c r="G508" s="1" t="str">
        <x:v>Repeat purchase</x:v>
      </x:c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 t="str">
        <x:v>ORD-00508</x:v>
      </x:c>
      <x:c r="B509" s="1" t="str">
        <x:v>ACC-0140</x:v>
      </x:c>
      <x:c r="C509" s="19" t="n">
        <x:v>45714</x:v>
      </x:c>
      <x:c r="D509" s="1" t="str">
        <x:v>Case Packer</x:v>
      </x:c>
      <x:c r="E509" s="1" t="str">
        <x:v>Midwest</x:v>
      </x:c>
      <x:c r="F509" s="20" t="n">
        <x:v>97700</x:v>
      </x:c>
      <x:c r="G509" s="1" t="str">
        <x:v>Repeat purchase</x:v>
      </x:c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 t="str">
        <x:v>ORD-00509</x:v>
      </x:c>
      <x:c r="B510" s="1" t="str">
        <x:v>ACC-0140</x:v>
      </x:c>
      <x:c r="C510" s="19" t="n">
        <x:v>45790</x:v>
      </x:c>
      <x:c r="D510" s="1" t="str">
        <x:v>Case Packer</x:v>
      </x:c>
      <x:c r="E510" s="1" t="str">
        <x:v>Midwest</x:v>
      </x:c>
      <x:c r="F510" s="20" t="n">
        <x:v>257500</x:v>
      </x:c>
      <x:c r="G510" s="1" t="str">
        <x:v>Repeat purchase</x:v>
      </x:c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 t="str">
        <x:v>ORD-00510</x:v>
      </x:c>
      <x:c r="B511" s="1" t="str">
        <x:v>ACC-0140</x:v>
      </x:c>
      <x:c r="C511" s="19" t="n">
        <x:v>46037</x:v>
      </x:c>
      <x:c r="D511" s="1" t="str">
        <x:v>Case Packer</x:v>
      </x:c>
      <x:c r="E511" s="1" t="str">
        <x:v>Midwest</x:v>
      </x:c>
      <x:c r="F511" s="20" t="n">
        <x:v>139700</x:v>
      </x:c>
      <x:c r="G511" s="1" t="str">
        <x:v>Repeat purchase</x:v>
      </x:c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 t="str">
        <x:v>ORD-00511</x:v>
      </x:c>
      <x:c r="B512" s="1" t="str">
        <x:v>ACC-0140</x:v>
      </x:c>
      <x:c r="C512" s="19" t="n">
        <x:v>46178</x:v>
      </x:c>
      <x:c r="D512" s="1" t="str">
        <x:v>Service &amp; Parts</x:v>
      </x:c>
      <x:c r="E512" s="1" t="str">
        <x:v>Midwest</x:v>
      </x:c>
      <x:c r="F512" s="20" t="n">
        <x:v>22800</x:v>
      </x:c>
      <x:c r="G512" s="1" t="str">
        <x:v>Repeat purchase</x:v>
      </x:c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 t="str">
        <x:v>ORD-00512</x:v>
      </x:c>
      <x:c r="B513" s="1" t="str">
        <x:v>ACC-0141</x:v>
      </x:c>
      <x:c r="C513" s="19" t="n">
        <x:v>46132</x:v>
      </x:c>
      <x:c r="D513" s="1" t="str">
        <x:v>Labeling System</x:v>
      </x:c>
      <x:c r="E513" s="1" t="str">
        <x:v>Northeast</x:v>
      </x:c>
      <x:c r="F513" s="20" t="n">
        <x:v>76500</x:v>
      </x:c>
      <x:c r="G513" s="1" t="str">
        <x:v>New business</x:v>
      </x:c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 t="str">
        <x:v>ORD-00513</x:v>
      </x:c>
      <x:c r="B514" s="1" t="str">
        <x:v>ACC-0141</x:v>
      </x:c>
      <x:c r="C514" s="19" t="n">
        <x:v>46171</x:v>
      </x:c>
      <x:c r="D514" s="1" t="str">
        <x:v>Labeling System</x:v>
      </x:c>
      <x:c r="E514" s="1" t="str">
        <x:v>Northeast</x:v>
      </x:c>
      <x:c r="F514" s="20" t="n">
        <x:v>177100</x:v>
      </x:c>
      <x:c r="G514" s="1" t="str">
        <x:v>Repeat purchase</x:v>
      </x:c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 t="str">
        <x:v>ORD-00514</x:v>
      </x:c>
      <x:c r="B515" s="1" t="str">
        <x:v>ACC-0142</x:v>
      </x:c>
      <x:c r="C515" s="19" t="n">
        <x:v>45972</x:v>
      </x:c>
      <x:c r="D515" s="1" t="str">
        <x:v>Service &amp; Parts</x:v>
      </x:c>
      <x:c r="E515" s="1" t="str">
        <x:v>Midwest</x:v>
      </x:c>
      <x:c r="F515" s="20" t="n">
        <x:v>12300</x:v>
      </x:c>
      <x:c r="G515" s="1" t="str">
        <x:v>New business</x:v>
      </x:c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 t="str">
        <x:v>ORD-00515</x:v>
      </x:c>
      <x:c r="B516" s="1" t="str">
        <x:v>ACC-0142</x:v>
      </x:c>
      <x:c r="C516" s="19" t="n">
        <x:v>46047</x:v>
      </x:c>
      <x:c r="D516" s="1" t="str">
        <x:v>Labeling System</x:v>
      </x:c>
      <x:c r="E516" s="1" t="str">
        <x:v>Midwest</x:v>
      </x:c>
      <x:c r="F516" s="20" t="n">
        <x:v>46400</x:v>
      </x:c>
      <x:c r="G516" s="1" t="str">
        <x:v>Repeat purchase</x:v>
      </x:c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 t="str">
        <x:v>ORD-00516</x:v>
      </x:c>
      <x:c r="B517" s="1" t="str">
        <x:v>ACC-0142</x:v>
      </x:c>
      <x:c r="C517" s="19" t="n">
        <x:v>46083</x:v>
      </x:c>
      <x:c r="D517" s="1" t="str">
        <x:v>Case Packer</x:v>
      </x:c>
      <x:c r="E517" s="1" t="str">
        <x:v>Midwest</x:v>
      </x:c>
      <x:c r="F517" s="20" t="n">
        <x:v>51100</x:v>
      </x:c>
      <x:c r="G517" s="1" t="str">
        <x:v>Repeat purchase</x:v>
      </x:c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 t="str">
        <x:v>ORD-00517</x:v>
      </x:c>
      <x:c r="B518" s="1" t="str">
        <x:v>ACC-0142</x:v>
      </x:c>
      <x:c r="C518" s="19" t="n">
        <x:v>46168</x:v>
      </x:c>
      <x:c r="D518" s="1" t="str">
        <x:v>Service &amp; Parts</x:v>
      </x:c>
      <x:c r="E518" s="1" t="str">
        <x:v>Midwest</x:v>
      </x:c>
      <x:c r="F518" s="20" t="n">
        <x:v>13200</x:v>
      </x:c>
      <x:c r="G518" s="1" t="str">
        <x:v>Repeat purchase</x:v>
      </x:c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 t="str">
        <x:v>ORD-00518</x:v>
      </x:c>
      <x:c r="B519" s="1" t="str">
        <x:v>ACC-0143</x:v>
      </x:c>
      <x:c r="C519" s="19" t="n">
        <x:v>46117</x:v>
      </x:c>
      <x:c r="D519" s="1" t="str">
        <x:v>Cartoning Machine</x:v>
      </x:c>
      <x:c r="E519" s="1" t="str">
        <x:v>Northeast</x:v>
      </x:c>
      <x:c r="F519" s="20" t="n">
        <x:v>198800</x:v>
      </x:c>
      <x:c r="G519" s="1" t="str">
        <x:v>New business</x:v>
      </x:c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 t="str">
        <x:v>ORD-00519</x:v>
      </x:c>
      <x:c r="B520" s="1" t="str">
        <x:v>ACC-0143</x:v>
      </x:c>
      <x:c r="C520" s="19" t="n">
        <x:v>46161</x:v>
      </x:c>
      <x:c r="D520" s="1" t="str">
        <x:v>Labeling System</x:v>
      </x:c>
      <x:c r="E520" s="1" t="str">
        <x:v>Northeast</x:v>
      </x:c>
      <x:c r="F520" s="20" t="n">
        <x:v>280800</x:v>
      </x:c>
      <x:c r="G520" s="1" t="str">
        <x:v>Repeat purchase</x:v>
      </x:c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 t="str">
        <x:v>ORD-00520</x:v>
      </x:c>
      <x:c r="B521" s="1" t="str">
        <x:v>ACC-0144</x:v>
      </x:c>
      <x:c r="C521" s="19" t="n">
        <x:v>45495</x:v>
      </x:c>
      <x:c r="D521" s="1" t="str">
        <x:v>Service &amp; Parts</x:v>
      </x:c>
      <x:c r="E521" s="1" t="str">
        <x:v>West</x:v>
      </x:c>
      <x:c r="F521" s="20" t="n">
        <x:v>43900</x:v>
      </x:c>
      <x:c r="G521" s="1" t="str">
        <x:v>New business</x:v>
      </x:c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 t="str">
        <x:v>ORD-00521</x:v>
      </x:c>
      <x:c r="B522" s="1" t="str">
        <x:v>ACC-0144</x:v>
      </x:c>
      <x:c r="C522" s="19" t="n">
        <x:v>45510</x:v>
      </x:c>
      <x:c r="D522" s="1" t="str">
        <x:v>Cartoning Machine</x:v>
      </x:c>
      <x:c r="E522" s="1" t="str">
        <x:v>West</x:v>
      </x:c>
      <x:c r="F522" s="20" t="n">
        <x:v>160000</x:v>
      </x:c>
      <x:c r="G522" s="1" t="str">
        <x:v>Repeat purchase</x:v>
      </x:c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 t="str">
        <x:v>ORD-00522</x:v>
      </x:c>
      <x:c r="B523" s="1" t="str">
        <x:v>ACC-0144</x:v>
      </x:c>
      <x:c r="C523" s="19" t="n">
        <x:v>45514</x:v>
      </x:c>
      <x:c r="D523" s="1" t="str">
        <x:v>Labeling System</x:v>
      </x:c>
      <x:c r="E523" s="1" t="str">
        <x:v>West</x:v>
      </x:c>
      <x:c r="F523" s="20" t="n">
        <x:v>203800</x:v>
      </x:c>
      <x:c r="G523" s="1" t="str">
        <x:v>Repeat purchase</x:v>
      </x:c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 t="str">
        <x:v>ORD-00523</x:v>
      </x:c>
      <x:c r="B524" s="1" t="str">
        <x:v>ACC-0144</x:v>
      </x:c>
      <x:c r="C524" s="19" t="n">
        <x:v>45606</x:v>
      </x:c>
      <x:c r="D524" s="1" t="str">
        <x:v>Service &amp; Parts</x:v>
      </x:c>
      <x:c r="E524" s="1" t="str">
        <x:v>West</x:v>
      </x:c>
      <x:c r="F524" s="20" t="n">
        <x:v>30700</x:v>
      </x:c>
      <x:c r="G524" s="1" t="str">
        <x:v>Repeat purchase</x:v>
      </x:c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 t="str">
        <x:v>ORD-00524</x:v>
      </x:c>
      <x:c r="B525" s="1" t="str">
        <x:v>ACC-0144</x:v>
      </x:c>
      <x:c r="C525" s="19" t="n">
        <x:v>45618</x:v>
      </x:c>
      <x:c r="D525" s="1" t="str">
        <x:v>Labeling System</x:v>
      </x:c>
      <x:c r="E525" s="1" t="str">
        <x:v>West</x:v>
      </x:c>
      <x:c r="F525" s="20" t="n">
        <x:v>138400</x:v>
      </x:c>
      <x:c r="G525" s="1" t="str">
        <x:v>Repeat purchase</x:v>
      </x:c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 t="str">
        <x:v>ORD-00525</x:v>
      </x:c>
      <x:c r="B526" s="1" t="str">
        <x:v>ACC-0144</x:v>
      </x:c>
      <x:c r="C526" s="19" t="n">
        <x:v>45732</x:v>
      </x:c>
      <x:c r="D526" s="1" t="str">
        <x:v>Labeling System</x:v>
      </x:c>
      <x:c r="E526" s="1" t="str">
        <x:v>West</x:v>
      </x:c>
      <x:c r="F526" s="20" t="n">
        <x:v>100600</x:v>
      </x:c>
      <x:c r="G526" s="1" t="str">
        <x:v>Repeat purchase</x:v>
      </x:c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 t="str">
        <x:v>ORD-00526</x:v>
      </x:c>
      <x:c r="B527" s="1" t="str">
        <x:v>ACC-0144</x:v>
      </x:c>
      <x:c r="C527" s="19" t="n">
        <x:v>45811</x:v>
      </x:c>
      <x:c r="D527" s="1" t="str">
        <x:v>Pouch Filler</x:v>
      </x:c>
      <x:c r="E527" s="1" t="str">
        <x:v>West</x:v>
      </x:c>
      <x:c r="F527" s="20" t="n">
        <x:v>187500</x:v>
      </x:c>
      <x:c r="G527" s="1" t="str">
        <x:v>Repeat purchase</x:v>
      </x:c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 t="str">
        <x:v>ORD-00527</x:v>
      </x:c>
      <x:c r="B528" s="1" t="str">
        <x:v>ACC-0144</x:v>
      </x:c>
      <x:c r="C528" s="19" t="n">
        <x:v>46187</x:v>
      </x:c>
      <x:c r="D528" s="1" t="str">
        <x:v>Case Packer</x:v>
      </x:c>
      <x:c r="E528" s="1" t="str">
        <x:v>West</x:v>
      </x:c>
      <x:c r="F528" s="20" t="n">
        <x:v>103900</x:v>
      </x:c>
      <x:c r="G528" s="1" t="str">
        <x:v>Repeat purchase</x:v>
      </x:c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 t="str">
        <x:v>ORD-00528</x:v>
      </x:c>
      <x:c r="B529" s="1" t="str">
        <x:v>ACC-0145</x:v>
      </x:c>
      <x:c r="C529" s="19" t="n">
        <x:v>45369</x:v>
      </x:c>
      <x:c r="D529" s="1" t="str">
        <x:v>Pouch Filler</x:v>
      </x:c>
      <x:c r="E529" s="1" t="str">
        <x:v>Midwest</x:v>
      </x:c>
      <x:c r="F529" s="20" t="n">
        <x:v>49900</x:v>
      </x:c>
      <x:c r="G529" s="1" t="str">
        <x:v>New business</x:v>
      </x:c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 t="str">
        <x:v>ORD-00529</x:v>
      </x:c>
      <x:c r="B530" s="1" t="str">
        <x:v>ACC-0145</x:v>
      </x:c>
      <x:c r="C530" s="19" t="n">
        <x:v>45444</x:v>
      </x:c>
      <x:c r="D530" s="1" t="str">
        <x:v>Pouch Filler</x:v>
      </x:c>
      <x:c r="E530" s="1" t="str">
        <x:v>Midwest</x:v>
      </x:c>
      <x:c r="F530" s="20" t="n">
        <x:v>207500</x:v>
      </x:c>
      <x:c r="G530" s="1" t="str">
        <x:v>Repeat purchase</x:v>
      </x:c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 t="str">
        <x:v>ORD-00530</x:v>
      </x:c>
      <x:c r="B531" s="1" t="str">
        <x:v>ACC-0145</x:v>
      </x:c>
      <x:c r="C531" s="19" t="n">
        <x:v>45554</x:v>
      </x:c>
      <x:c r="D531" s="1" t="str">
        <x:v>Cartoning Machine</x:v>
      </x:c>
      <x:c r="E531" s="1" t="str">
        <x:v>Midwest</x:v>
      </x:c>
      <x:c r="F531" s="20" t="n">
        <x:v>117000</x:v>
      </x:c>
      <x:c r="G531" s="1" t="str">
        <x:v>Repeat purchase</x:v>
      </x:c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 t="str">
        <x:v>ORD-00531</x:v>
      </x:c>
      <x:c r="B532" s="1" t="str">
        <x:v>ACC-0145</x:v>
      </x:c>
      <x:c r="C532" s="19" t="n">
        <x:v>45797</x:v>
      </x:c>
      <x:c r="D532" s="1" t="str">
        <x:v>Cartoning Machine</x:v>
      </x:c>
      <x:c r="E532" s="1" t="str">
        <x:v>Midwest</x:v>
      </x:c>
      <x:c r="F532" s="20" t="n">
        <x:v>173300</x:v>
      </x:c>
      <x:c r="G532" s="1" t="str">
        <x:v>Repeat purchase</x:v>
      </x:c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 t="str">
        <x:v>ORD-00532</x:v>
      </x:c>
      <x:c r="B533" s="1" t="str">
        <x:v>ACC-0145</x:v>
      </x:c>
      <x:c r="C533" s="19" t="n">
        <x:v>45950</x:v>
      </x:c>
      <x:c r="D533" s="1" t="str">
        <x:v>Case Packer</x:v>
      </x:c>
      <x:c r="E533" s="1" t="str">
        <x:v>Midwest</x:v>
      </x:c>
      <x:c r="F533" s="20" t="n">
        <x:v>45500</x:v>
      </x:c>
      <x:c r="G533" s="1" t="str">
        <x:v>Repeat purchase</x:v>
      </x:c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 t="str">
        <x:v>ORD-00533</x:v>
      </x:c>
      <x:c r="B534" s="1" t="str">
        <x:v>ACC-0146</x:v>
      </x:c>
      <x:c r="C534" s="19" t="n">
        <x:v>45612</x:v>
      </x:c>
      <x:c r="D534" s="1" t="str">
        <x:v>Pouch Filler</x:v>
      </x:c>
      <x:c r="E534" s="1" t="str">
        <x:v>South</x:v>
      </x:c>
      <x:c r="F534" s="20" t="n">
        <x:v>104200</x:v>
      </x:c>
      <x:c r="G534" s="1" t="str">
        <x:v>New business</x:v>
      </x:c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 t="str">
        <x:v>ORD-00534</x:v>
      </x:c>
      <x:c r="B535" s="1" t="str">
        <x:v>ACC-0147</x:v>
      </x:c>
      <x:c r="C535" s="19" t="n">
        <x:v>45348</x:v>
      </x:c>
      <x:c r="D535" s="1" t="str">
        <x:v>Labeling System</x:v>
      </x:c>
      <x:c r="E535" s="1" t="str">
        <x:v>South</x:v>
      </x:c>
      <x:c r="F535" s="20" t="n">
        <x:v>188100</x:v>
      </x:c>
      <x:c r="G535" s="1" t="str">
        <x:v>New business</x:v>
      </x:c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 t="str">
        <x:v>ORD-00535</x:v>
      </x:c>
      <x:c r="B536" s="1" t="str">
        <x:v>ACC-0147</x:v>
      </x:c>
      <x:c r="C536" s="19" t="n">
        <x:v>45435</x:v>
      </x:c>
      <x:c r="D536" s="1" t="str">
        <x:v>Case Packer</x:v>
      </x:c>
      <x:c r="E536" s="1" t="str">
        <x:v>South</x:v>
      </x:c>
      <x:c r="F536" s="20" t="n">
        <x:v>69500</x:v>
      </x:c>
      <x:c r="G536" s="1" t="str">
        <x:v>Repeat purchase</x:v>
      </x:c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 t="str">
        <x:v>ORD-00536</x:v>
      </x:c>
      <x:c r="B537" s="1" t="str">
        <x:v>ACC-0147</x:v>
      </x:c>
      <x:c r="C537" s="19" t="n">
        <x:v>45736</x:v>
      </x:c>
      <x:c r="D537" s="1" t="str">
        <x:v>Pouch Filler</x:v>
      </x:c>
      <x:c r="E537" s="1" t="str">
        <x:v>South</x:v>
      </x:c>
      <x:c r="F537" s="20" t="n">
        <x:v>241100</x:v>
      </x:c>
      <x:c r="G537" s="1" t="str">
        <x:v>Repeat purchase</x:v>
      </x:c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 t="str">
        <x:v>ORD-00537</x:v>
      </x:c>
      <x:c r="B538" s="1" t="str">
        <x:v>ACC-0147</x:v>
      </x:c>
      <x:c r="C538" s="19" t="n">
        <x:v>45789</x:v>
      </x:c>
      <x:c r="D538" s="1" t="str">
        <x:v>Cartoning Machine</x:v>
      </x:c>
      <x:c r="E538" s="1" t="str">
        <x:v>South</x:v>
      </x:c>
      <x:c r="F538" s="20" t="n">
        <x:v>116600</x:v>
      </x:c>
      <x:c r="G538" s="1" t="str">
        <x:v>Repeat purchase</x:v>
      </x:c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 t="str">
        <x:v>ORD-00538</x:v>
      </x:c>
      <x:c r="B539" s="1" t="str">
        <x:v>ACC-0147</x:v>
      </x:c>
      <x:c r="C539" s="19" t="n">
        <x:v>45868</x:v>
      </x:c>
      <x:c r="D539" s="1" t="str">
        <x:v>Case Packer</x:v>
      </x:c>
      <x:c r="E539" s="1" t="str">
        <x:v>South</x:v>
      </x:c>
      <x:c r="F539" s="20" t="n">
        <x:v>83900</x:v>
      </x:c>
      <x:c r="G539" s="1" t="str">
        <x:v>Repeat purchase</x:v>
      </x:c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 t="str">
        <x:v>ORD-00539</x:v>
      </x:c>
      <x:c r="B540" s="1" t="str">
        <x:v>ACC-0147</x:v>
      </x:c>
      <x:c r="C540" s="19" t="n">
        <x:v>45898</x:v>
      </x:c>
      <x:c r="D540" s="1" t="str">
        <x:v>Pouch Filler</x:v>
      </x:c>
      <x:c r="E540" s="1" t="str">
        <x:v>South</x:v>
      </x:c>
      <x:c r="F540" s="20" t="n">
        <x:v>85300</x:v>
      </x:c>
      <x:c r="G540" s="1" t="str">
        <x:v>Repeat purchase</x:v>
      </x:c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 t="str">
        <x:v>ORD-00540</x:v>
      </x:c>
      <x:c r="B541" s="1" t="str">
        <x:v>ACC-0148</x:v>
      </x:c>
      <x:c r="C541" s="19" t="n">
        <x:v>45985</x:v>
      </x:c>
      <x:c r="D541" s="1" t="str">
        <x:v>Pouch Filler</x:v>
      </x:c>
      <x:c r="E541" s="1" t="str">
        <x:v>South</x:v>
      </x:c>
      <x:c r="F541" s="20" t="n">
        <x:v>218800</x:v>
      </x:c>
      <x:c r="G541" s="1" t="str">
        <x:v>New business</x:v>
      </x:c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 t="str">
        <x:v>ORD-00541</x:v>
      </x:c>
      <x:c r="B542" s="1" t="str">
        <x:v>ACC-0148</x:v>
      </x:c>
      <x:c r="C542" s="19" t="n">
        <x:v>46033</x:v>
      </x:c>
      <x:c r="D542" s="1" t="str">
        <x:v>Case Packer</x:v>
      </x:c>
      <x:c r="E542" s="1" t="str">
        <x:v>South</x:v>
      </x:c>
      <x:c r="F542" s="20" t="n">
        <x:v>85700</x:v>
      </x:c>
      <x:c r="G542" s="1" t="str">
        <x:v>Repeat purchase</x:v>
      </x:c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 t="str">
        <x:v>ORD-00542</x:v>
      </x:c>
      <x:c r="B543" s="1" t="str">
        <x:v>ACC-0148</x:v>
      </x:c>
      <x:c r="C543" s="19" t="n">
        <x:v>46147</x:v>
      </x:c>
      <x:c r="D543" s="1" t="str">
        <x:v>Case Packer</x:v>
      </x:c>
      <x:c r="E543" s="1" t="str">
        <x:v>South</x:v>
      </x:c>
      <x:c r="F543" s="20" t="n">
        <x:v>152100</x:v>
      </x:c>
      <x:c r="G543" s="1" t="str">
        <x:v>Repeat purchase</x:v>
      </x:c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 t="str">
        <x:v>ORD-00543</x:v>
      </x:c>
      <x:c r="B544" s="1" t="str">
        <x:v>ACC-0148</x:v>
      </x:c>
      <x:c r="C544" s="19" t="n">
        <x:v>46148</x:v>
      </x:c>
      <x:c r="D544" s="1" t="str">
        <x:v>Case Packer</x:v>
      </x:c>
      <x:c r="E544" s="1" t="str">
        <x:v>South</x:v>
      </x:c>
      <x:c r="F544" s="20" t="n">
        <x:v>161400</x:v>
      </x:c>
      <x:c r="G544" s="1" t="str">
        <x:v>Repeat purchase</x:v>
      </x:c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 t="str">
        <x:v>ORD-00544</x:v>
      </x:c>
      <x:c r="B545" s="1" t="str">
        <x:v>ACC-0149</x:v>
      </x:c>
      <x:c r="C545" s="19" t="n">
        <x:v>45432</x:v>
      </x:c>
      <x:c r="D545" s="1" t="str">
        <x:v>Labeling System</x:v>
      </x:c>
      <x:c r="E545" s="1" t="str">
        <x:v>Northeast</x:v>
      </x:c>
      <x:c r="F545" s="20" t="n">
        <x:v>34800</x:v>
      </x:c>
      <x:c r="G545" s="1" t="str">
        <x:v>New business</x:v>
      </x:c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 t="str">
        <x:v>ORD-00545</x:v>
      </x:c>
      <x:c r="B546" s="1" t="str">
        <x:v>ACC-0150</x:v>
      </x:c>
      <x:c r="C546" s="19" t="n">
        <x:v>45831</x:v>
      </x:c>
      <x:c r="D546" s="1" t="str">
        <x:v>Pouch Filler</x:v>
      </x:c>
      <x:c r="E546" s="1" t="str">
        <x:v>Midwest</x:v>
      </x:c>
      <x:c r="F546" s="20" t="n">
        <x:v>218200</x:v>
      </x:c>
      <x:c r="G546" s="1" t="str">
        <x:v>New business</x:v>
      </x:c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 t="str">
        <x:v>ORD-00546</x:v>
      </x:c>
      <x:c r="B547" s="1" t="str">
        <x:v>ACC-0150</x:v>
      </x:c>
      <x:c r="C547" s="19" t="n">
        <x:v>45885</x:v>
      </x:c>
      <x:c r="D547" s="1" t="str">
        <x:v>Case Packer</x:v>
      </x:c>
      <x:c r="E547" s="1" t="str">
        <x:v>Midwest</x:v>
      </x:c>
      <x:c r="F547" s="20" t="n">
        <x:v>255800</x:v>
      </x:c>
      <x:c r="G547" s="1" t="str">
        <x:v>Repeat purchase</x:v>
      </x:c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 t="str">
        <x:v>ORD-00547</x:v>
      </x:c>
      <x:c r="B548" s="1" t="str">
        <x:v>ACC-0150</x:v>
      </x:c>
      <x:c r="C548" s="19" t="n">
        <x:v>46127</x:v>
      </x:c>
      <x:c r="D548" s="1" t="str">
        <x:v>Cartoning Machine</x:v>
      </x:c>
      <x:c r="E548" s="1" t="str">
        <x:v>Midwest</x:v>
      </x:c>
      <x:c r="F548" s="20" t="n">
        <x:v>71100</x:v>
      </x:c>
      <x:c r="G548" s="1" t="str">
        <x:v>Repeat purchase</x:v>
      </x:c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 t="str">
        <x:v>ORD-00548</x:v>
      </x:c>
      <x:c r="B549" s="1" t="str">
        <x:v>ACC-0151</x:v>
      </x:c>
      <x:c r="C549" s="19" t="n">
        <x:v>45973</x:v>
      </x:c>
      <x:c r="D549" s="1" t="str">
        <x:v>Service &amp; Parts</x:v>
      </x:c>
      <x:c r="E549" s="1" t="str">
        <x:v>Midwest</x:v>
      </x:c>
      <x:c r="F549" s="20" t="n">
        <x:v>18000</x:v>
      </x:c>
      <x:c r="G549" s="1" t="str">
        <x:v>New business</x:v>
      </x:c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 t="str">
        <x:v>ORD-00549</x:v>
      </x:c>
      <x:c r="B550" s="1" t="str">
        <x:v>ACC-0151</x:v>
      </x:c>
      <x:c r="C550" s="19" t="n">
        <x:v>45976</x:v>
      </x:c>
      <x:c r="D550" s="1" t="str">
        <x:v>Case Packer</x:v>
      </x:c>
      <x:c r="E550" s="1" t="str">
        <x:v>Midwest</x:v>
      </x:c>
      <x:c r="F550" s="20" t="n">
        <x:v>88200</x:v>
      </x:c>
      <x:c r="G550" s="1" t="str">
        <x:v>Repeat purchase</x:v>
      </x:c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 t="str">
        <x:v>ORD-00550</x:v>
      </x:c>
      <x:c r="B551" s="1" t="str">
        <x:v>ACC-0151</x:v>
      </x:c>
      <x:c r="C551" s="19" t="n">
        <x:v>45981</x:v>
      </x:c>
      <x:c r="D551" s="1" t="str">
        <x:v>Case Packer</x:v>
      </x:c>
      <x:c r="E551" s="1" t="str">
        <x:v>Midwest</x:v>
      </x:c>
      <x:c r="F551" s="20" t="n">
        <x:v>207400</x:v>
      </x:c>
      <x:c r="G551" s="1" t="str">
        <x:v>Repeat purchase</x:v>
      </x:c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 t="str">
        <x:v>ORD-00551</x:v>
      </x:c>
      <x:c r="B552" s="1" t="str">
        <x:v>ACC-0151</x:v>
      </x:c>
      <x:c r="C552" s="19" t="n">
        <x:v>46103</x:v>
      </x:c>
      <x:c r="D552" s="1" t="str">
        <x:v>Case Packer</x:v>
      </x:c>
      <x:c r="E552" s="1" t="str">
        <x:v>Midwest</x:v>
      </x:c>
      <x:c r="F552" s="20" t="n">
        <x:v>211800</x:v>
      </x:c>
      <x:c r="G552" s="1" t="str">
        <x:v>Repeat purchase</x:v>
      </x:c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 t="str">
        <x:v>ORD-00552</x:v>
      </x:c>
      <x:c r="B553" s="1" t="str">
        <x:v>ACC-0152</x:v>
      </x:c>
      <x:c r="C553" s="19" t="n">
        <x:v>45761</x:v>
      </x:c>
      <x:c r="D553" s="1" t="str">
        <x:v>Cartoning Machine</x:v>
      </x:c>
      <x:c r="E553" s="1" t="str">
        <x:v>Midwest</x:v>
      </x:c>
      <x:c r="F553" s="20" t="n">
        <x:v>119000</x:v>
      </x:c>
      <x:c r="G553" s="1" t="str">
        <x:v>New business</x:v>
      </x:c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 t="str">
        <x:v>ORD-00553</x:v>
      </x:c>
      <x:c r="B554" s="1" t="str">
        <x:v>ACC-0152</x:v>
      </x:c>
      <x:c r="C554" s="19" t="n">
        <x:v>46007</x:v>
      </x:c>
      <x:c r="D554" s="1" t="str">
        <x:v>Service &amp; Parts</x:v>
      </x:c>
      <x:c r="E554" s="1" t="str">
        <x:v>Midwest</x:v>
      </x:c>
      <x:c r="F554" s="20" t="n">
        <x:v>17000</x:v>
      </x:c>
      <x:c r="G554" s="1" t="str">
        <x:v>Repeat purchase</x:v>
      </x:c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 t="str">
        <x:v>ORD-00554</x:v>
      </x:c>
      <x:c r="B555" s="1" t="str">
        <x:v>ACC-0152</x:v>
      </x:c>
      <x:c r="C555" s="19" t="n">
        <x:v>46095</x:v>
      </x:c>
      <x:c r="D555" s="1" t="str">
        <x:v>Labeling System</x:v>
      </x:c>
      <x:c r="E555" s="1" t="str">
        <x:v>Midwest</x:v>
      </x:c>
      <x:c r="F555" s="20" t="n">
        <x:v>84300</x:v>
      </x:c>
      <x:c r="G555" s="1" t="str">
        <x:v>Repeat purchase</x:v>
      </x:c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 t="str">
        <x:v>ORD-00555</x:v>
      </x:c>
      <x:c r="B556" s="1" t="str">
        <x:v>ACC-0153</x:v>
      </x:c>
      <x:c r="C556" s="19" t="n">
        <x:v>45872</x:v>
      </x:c>
      <x:c r="D556" s="1" t="str">
        <x:v>Service &amp; Parts</x:v>
      </x:c>
      <x:c r="E556" s="1" t="str">
        <x:v>Midwest</x:v>
      </x:c>
      <x:c r="F556" s="20" t="n">
        <x:v>20900</x:v>
      </x:c>
      <x:c r="G556" s="1" t="str">
        <x:v>New business</x:v>
      </x:c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 t="str">
        <x:v>ORD-00556</x:v>
      </x:c>
      <x:c r="B557" s="1" t="str">
        <x:v>ACC-0154</x:v>
      </x:c>
      <x:c r="C557" s="19" t="n">
        <x:v>45836</x:v>
      </x:c>
      <x:c r="D557" s="1" t="str">
        <x:v>Cartoning Machine</x:v>
      </x:c>
      <x:c r="E557" s="1" t="str">
        <x:v>South</x:v>
      </x:c>
      <x:c r="F557" s="20" t="n">
        <x:v>62500</x:v>
      </x:c>
      <x:c r="G557" s="1" t="str">
        <x:v>New business</x:v>
      </x:c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 t="str">
        <x:v>ORD-00557</x:v>
      </x:c>
      <x:c r="B558" s="1" t="str">
        <x:v>ACC-0155</x:v>
      </x:c>
      <x:c r="C558" s="19" t="n">
        <x:v>45579</x:v>
      </x:c>
      <x:c r="D558" s="1" t="str">
        <x:v>Service &amp; Parts</x:v>
      </x:c>
      <x:c r="E558" s="1" t="str">
        <x:v>West</x:v>
      </x:c>
      <x:c r="F558" s="20" t="n">
        <x:v>10700</x:v>
      </x:c>
      <x:c r="G558" s="1" t="str">
        <x:v>New business</x:v>
      </x:c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 t="str">
        <x:v>ORD-00558</x:v>
      </x:c>
      <x:c r="B559" s="1" t="str">
        <x:v>ACC-0155</x:v>
      </x:c>
      <x:c r="C559" s="19" t="n">
        <x:v>45582</x:v>
      </x:c>
      <x:c r="D559" s="1" t="str">
        <x:v>Pouch Filler</x:v>
      </x:c>
      <x:c r="E559" s="1" t="str">
        <x:v>West</x:v>
      </x:c>
      <x:c r="F559" s="20" t="n">
        <x:v>202200</x:v>
      </x:c>
      <x:c r="G559" s="1" t="str">
        <x:v>Repeat purchase</x:v>
      </x:c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 t="str">
        <x:v>ORD-00559</x:v>
      </x:c>
      <x:c r="B560" s="1" t="str">
        <x:v>ACC-0155</x:v>
      </x:c>
      <x:c r="C560" s="19" t="n">
        <x:v>45678</x:v>
      </x:c>
      <x:c r="D560" s="1" t="str">
        <x:v>Pouch Filler</x:v>
      </x:c>
      <x:c r="E560" s="1" t="str">
        <x:v>West</x:v>
      </x:c>
      <x:c r="F560" s="20" t="n">
        <x:v>87100</x:v>
      </x:c>
      <x:c r="G560" s="1" t="str">
        <x:v>Repeat purchase</x:v>
      </x:c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 t="str">
        <x:v>ORD-00560</x:v>
      </x:c>
      <x:c r="B561" s="1" t="str">
        <x:v>ACC-0155</x:v>
      </x:c>
      <x:c r="C561" s="19" t="n">
        <x:v>45836</x:v>
      </x:c>
      <x:c r="D561" s="1" t="str">
        <x:v>Cartoning Machine</x:v>
      </x:c>
      <x:c r="E561" s="1" t="str">
        <x:v>West</x:v>
      </x:c>
      <x:c r="F561" s="20" t="n">
        <x:v>76400</x:v>
      </x:c>
      <x:c r="G561" s="1" t="str">
        <x:v>Repeat purchase</x:v>
      </x:c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 t="str">
        <x:v>ORD-00561</x:v>
      </x:c>
      <x:c r="B562" s="1" t="str">
        <x:v>ACC-0156</x:v>
      </x:c>
      <x:c r="C562" s="19" t="n">
        <x:v>46021</x:v>
      </x:c>
      <x:c r="D562" s="1" t="str">
        <x:v>Case Packer</x:v>
      </x:c>
      <x:c r="E562" s="1" t="str">
        <x:v>South</x:v>
      </x:c>
      <x:c r="F562" s="20" t="n">
        <x:v>44500</x:v>
      </x:c>
      <x:c r="G562" s="1" t="str">
        <x:v>New business</x:v>
      </x:c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 t="str">
        <x:v>ORD-00562</x:v>
      </x:c>
      <x:c r="B563" s="1" t="str">
        <x:v>ACC-0156</x:v>
      </x:c>
      <x:c r="C563" s="19" t="n">
        <x:v>46090</x:v>
      </x:c>
      <x:c r="D563" s="1" t="str">
        <x:v>Labeling System</x:v>
      </x:c>
      <x:c r="E563" s="1" t="str">
        <x:v>South</x:v>
      </x:c>
      <x:c r="F563" s="20" t="n">
        <x:v>65900</x:v>
      </x:c>
      <x:c r="G563" s="1" t="str">
        <x:v>Repeat purchase</x:v>
      </x:c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 t="str">
        <x:v>ORD-00563</x:v>
      </x:c>
      <x:c r="B564" s="1" t="str">
        <x:v>ACC-0156</x:v>
      </x:c>
      <x:c r="C564" s="19" t="n">
        <x:v>46181</x:v>
      </x:c>
      <x:c r="D564" s="1" t="str">
        <x:v>Case Packer</x:v>
      </x:c>
      <x:c r="E564" s="1" t="str">
        <x:v>South</x:v>
      </x:c>
      <x:c r="F564" s="20" t="n">
        <x:v>37900</x:v>
      </x:c>
      <x:c r="G564" s="1" t="str">
        <x:v>Repeat purchase</x:v>
      </x:c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 t="str">
        <x:v>ORD-00564</x:v>
      </x:c>
      <x:c r="B565" s="1" t="str">
        <x:v>ACC-0157</x:v>
      </x:c>
      <x:c r="C565" s="19" t="n">
        <x:v>45693</x:v>
      </x:c>
      <x:c r="D565" s="1" t="str">
        <x:v>Labeling System</x:v>
      </x:c>
      <x:c r="E565" s="1" t="str">
        <x:v>West</x:v>
      </x:c>
      <x:c r="F565" s="20" t="n">
        <x:v>62800</x:v>
      </x:c>
      <x:c r="G565" s="1" t="str">
        <x:v>New business</x:v>
      </x:c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 t="str">
        <x:v>ORD-00565</x:v>
      </x:c>
      <x:c r="B566" s="1" t="str">
        <x:v>ACC-0157</x:v>
      </x:c>
      <x:c r="C566" s="19" t="n">
        <x:v>45725</x:v>
      </x:c>
      <x:c r="D566" s="1" t="str">
        <x:v>Case Packer</x:v>
      </x:c>
      <x:c r="E566" s="1" t="str">
        <x:v>West</x:v>
      </x:c>
      <x:c r="F566" s="20" t="n">
        <x:v>230700</x:v>
      </x:c>
      <x:c r="G566" s="1" t="str">
        <x:v>Repeat purchase</x:v>
      </x:c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 t="str">
        <x:v>ORD-00566</x:v>
      </x:c>
      <x:c r="B567" s="1" t="str">
        <x:v>ACC-0157</x:v>
      </x:c>
      <x:c r="C567" s="19" t="n">
        <x:v>45806</x:v>
      </x:c>
      <x:c r="D567" s="1" t="str">
        <x:v>Cartoning Machine</x:v>
      </x:c>
      <x:c r="E567" s="1" t="str">
        <x:v>West</x:v>
      </x:c>
      <x:c r="F567" s="20" t="n">
        <x:v>195500</x:v>
      </x:c>
      <x:c r="G567" s="1" t="str">
        <x:v>Repeat purchase</x:v>
      </x:c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 t="str">
        <x:v>ORD-00567</x:v>
      </x:c>
      <x:c r="B568" s="1" t="str">
        <x:v>ACC-0157</x:v>
      </x:c>
      <x:c r="C568" s="19" t="n">
        <x:v>46030</x:v>
      </x:c>
      <x:c r="D568" s="1" t="str">
        <x:v>Service &amp; Parts</x:v>
      </x:c>
      <x:c r="E568" s="1" t="str">
        <x:v>West</x:v>
      </x:c>
      <x:c r="F568" s="20" t="n">
        <x:v>22900</x:v>
      </x:c>
      <x:c r="G568" s="1" t="str">
        <x:v>Repeat purchase</x:v>
      </x:c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 t="str">
        <x:v>ORD-00568</x:v>
      </x:c>
      <x:c r="B569" s="1" t="str">
        <x:v>ACC-0157</x:v>
      </x:c>
      <x:c r="C569" s="19" t="n">
        <x:v>46033</x:v>
      </x:c>
      <x:c r="D569" s="1" t="str">
        <x:v>Cartoning Machine</x:v>
      </x:c>
      <x:c r="E569" s="1" t="str">
        <x:v>West</x:v>
      </x:c>
      <x:c r="F569" s="20" t="n">
        <x:v>273100</x:v>
      </x:c>
      <x:c r="G569" s="1" t="str">
        <x:v>Repeat purchase</x:v>
      </x:c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 t="str">
        <x:v>ORD-00569</x:v>
      </x:c>
      <x:c r="B570" s="1" t="str">
        <x:v>ACC-0157</x:v>
      </x:c>
      <x:c r="C570" s="19" t="n">
        <x:v>46101</x:v>
      </x:c>
      <x:c r="D570" s="1" t="str">
        <x:v>Service &amp; Parts</x:v>
      </x:c>
      <x:c r="E570" s="1" t="str">
        <x:v>West</x:v>
      </x:c>
      <x:c r="F570" s="20" t="n">
        <x:v>20400</x:v>
      </x:c>
      <x:c r="G570" s="1" t="str">
        <x:v>Repeat purchase</x:v>
      </x:c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 t="str">
        <x:v>ORD-00570</x:v>
      </x:c>
      <x:c r="B571" s="1" t="str">
        <x:v>ACC-0157</x:v>
      </x:c>
      <x:c r="C571" s="19" t="n">
        <x:v>46114</x:v>
      </x:c>
      <x:c r="D571" s="1" t="str">
        <x:v>Cartoning Machine</x:v>
      </x:c>
      <x:c r="E571" s="1" t="str">
        <x:v>West</x:v>
      </x:c>
      <x:c r="F571" s="20" t="n">
        <x:v>71500</x:v>
      </x:c>
      <x:c r="G571" s="1" t="str">
        <x:v>Repeat purchase</x:v>
      </x:c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 t="str">
        <x:v>ORD-00571</x:v>
      </x:c>
      <x:c r="B572" s="1" t="str">
        <x:v>ACC-0158</x:v>
      </x:c>
      <x:c r="C572" s="19" t="n">
        <x:v>45825</x:v>
      </x:c>
      <x:c r="D572" s="1" t="str">
        <x:v>Case Packer</x:v>
      </x:c>
      <x:c r="E572" s="1" t="str">
        <x:v>South</x:v>
      </x:c>
      <x:c r="F572" s="20" t="n">
        <x:v>87600</x:v>
      </x:c>
      <x:c r="G572" s="1" t="str">
        <x:v>New business</x:v>
      </x:c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 t="str">
        <x:v>ORD-00572</x:v>
      </x:c>
      <x:c r="B573" s="1" t="str">
        <x:v>ACC-0158</x:v>
      </x:c>
      <x:c r="C573" s="19" t="n">
        <x:v>45908</x:v>
      </x:c>
      <x:c r="D573" s="1" t="str">
        <x:v>Labeling System</x:v>
      </x:c>
      <x:c r="E573" s="1" t="str">
        <x:v>South</x:v>
      </x:c>
      <x:c r="F573" s="20" t="n">
        <x:v>137300</x:v>
      </x:c>
      <x:c r="G573" s="1" t="str">
        <x:v>Repeat purchase</x:v>
      </x:c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 t="str">
        <x:v>ORD-00573</x:v>
      </x:c>
      <x:c r="B574" s="1" t="str">
        <x:v>ACC-0158</x:v>
      </x:c>
      <x:c r="C574" s="19" t="n">
        <x:v>45922</x:v>
      </x:c>
      <x:c r="D574" s="1" t="str">
        <x:v>Pouch Filler</x:v>
      </x:c>
      <x:c r="E574" s="1" t="str">
        <x:v>South</x:v>
      </x:c>
      <x:c r="F574" s="20" t="n">
        <x:v>124000</x:v>
      </x:c>
      <x:c r="G574" s="1" t="str">
        <x:v>Repeat purchase</x:v>
      </x:c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 t="str">
        <x:v>ORD-00574</x:v>
      </x:c>
      <x:c r="B575" s="1" t="str">
        <x:v>ACC-0158</x:v>
      </x:c>
      <x:c r="C575" s="19" t="n">
        <x:v>45953</x:v>
      </x:c>
      <x:c r="D575" s="1" t="str">
        <x:v>Case Packer</x:v>
      </x:c>
      <x:c r="E575" s="1" t="str">
        <x:v>South</x:v>
      </x:c>
      <x:c r="F575" s="20" t="n">
        <x:v>186200</x:v>
      </x:c>
      <x:c r="G575" s="1" t="str">
        <x:v>Repeat purchase</x:v>
      </x:c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 t="str">
        <x:v>ORD-00575</x:v>
      </x:c>
      <x:c r="B576" s="1" t="str">
        <x:v>ACC-0158</x:v>
      </x:c>
      <x:c r="C576" s="19" t="n">
        <x:v>45988</x:v>
      </x:c>
      <x:c r="D576" s="1" t="str">
        <x:v>Pouch Filler</x:v>
      </x:c>
      <x:c r="E576" s="1" t="str">
        <x:v>South</x:v>
      </x:c>
      <x:c r="F576" s="20" t="n">
        <x:v>119300</x:v>
      </x:c>
      <x:c r="G576" s="1" t="str">
        <x:v>Repeat purchase</x:v>
      </x:c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 t="str">
        <x:v>ORD-00576</x:v>
      </x:c>
      <x:c r="B577" s="1" t="str">
        <x:v>ACC-0158</x:v>
      </x:c>
      <x:c r="C577" s="19" t="n">
        <x:v>46191</x:v>
      </x:c>
      <x:c r="D577" s="1" t="str">
        <x:v>Labeling System</x:v>
      </x:c>
      <x:c r="E577" s="1" t="str">
        <x:v>South</x:v>
      </x:c>
      <x:c r="F577" s="20" t="n">
        <x:v>64100</x:v>
      </x:c>
      <x:c r="G577" s="1" t="str">
        <x:v>Repeat purchase</x:v>
      </x:c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 t="str">
        <x:v>ORD-00577</x:v>
      </x:c>
      <x:c r="B578" s="1" t="str">
        <x:v>ACC-0159</x:v>
      </x:c>
      <x:c r="C578" s="19" t="n">
        <x:v>45367</x:v>
      </x:c>
      <x:c r="D578" s="1" t="str">
        <x:v>Cartoning Machine</x:v>
      </x:c>
      <x:c r="E578" s="1" t="str">
        <x:v>West</x:v>
      </x:c>
      <x:c r="F578" s="20" t="n">
        <x:v>63500</x:v>
      </x:c>
      <x:c r="G578" s="1" t="str">
        <x:v>New business</x:v>
      </x:c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 t="str">
        <x:v>ORD-00578</x:v>
      </x:c>
      <x:c r="B579" s="1" t="str">
        <x:v>ACC-0159</x:v>
      </x:c>
      <x:c r="C579" s="19" t="n">
        <x:v>45469</x:v>
      </x:c>
      <x:c r="D579" s="1" t="str">
        <x:v>Service &amp; Parts</x:v>
      </x:c>
      <x:c r="E579" s="1" t="str">
        <x:v>West</x:v>
      </x:c>
      <x:c r="F579" s="20" t="n">
        <x:v>24800</x:v>
      </x:c>
      <x:c r="G579" s="1" t="str">
        <x:v>Repeat purchase</x:v>
      </x:c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 t="str">
        <x:v>ORD-00579</x:v>
      </x:c>
      <x:c r="B580" s="1" t="str">
        <x:v>ACC-0159</x:v>
      </x:c>
      <x:c r="C580" s="19" t="n">
        <x:v>45528</x:v>
      </x:c>
      <x:c r="D580" s="1" t="str">
        <x:v>Case Packer</x:v>
      </x:c>
      <x:c r="E580" s="1" t="str">
        <x:v>West</x:v>
      </x:c>
      <x:c r="F580" s="20" t="n">
        <x:v>164500</x:v>
      </x:c>
      <x:c r="G580" s="1" t="str">
        <x:v>Repeat purchase</x:v>
      </x:c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 t="str">
        <x:v>ORD-00580</x:v>
      </x:c>
      <x:c r="B581" s="1" t="str">
        <x:v>ACC-0159</x:v>
      </x:c>
      <x:c r="C581" s="19" t="n">
        <x:v>46112</x:v>
      </x:c>
      <x:c r="D581" s="1" t="str">
        <x:v>Cartoning Machine</x:v>
      </x:c>
      <x:c r="E581" s="1" t="str">
        <x:v>West</x:v>
      </x:c>
      <x:c r="F581" s="20" t="n">
        <x:v>184900</x:v>
      </x:c>
      <x:c r="G581" s="1" t="str">
        <x:v>Repeat purchase</x:v>
      </x:c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 t="str">
        <x:v>ORD-00581</x:v>
      </x:c>
      <x:c r="B582" s="1" t="str">
        <x:v>ACC-0160</x:v>
      </x:c>
      <x:c r="C582" s="19" t="n">
        <x:v>45917</x:v>
      </x:c>
      <x:c r="D582" s="1" t="str">
        <x:v>Case Packer</x:v>
      </x:c>
      <x:c r="E582" s="1" t="str">
        <x:v>Midwest</x:v>
      </x:c>
      <x:c r="F582" s="20" t="n">
        <x:v>135500</x:v>
      </x:c>
      <x:c r="G582" s="1" t="str">
        <x:v>New business</x:v>
      </x:c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 t="str">
        <x:v>ORD-00582</x:v>
      </x:c>
      <x:c r="B583" s="1" t="str">
        <x:v>ACC-0160</x:v>
      </x:c>
      <x:c r="C583" s="19" t="n">
        <x:v>46004</x:v>
      </x:c>
      <x:c r="D583" s="1" t="str">
        <x:v>Service &amp; Parts</x:v>
      </x:c>
      <x:c r="E583" s="1" t="str">
        <x:v>Midwest</x:v>
      </x:c>
      <x:c r="F583" s="20" t="n">
        <x:v>28800</x:v>
      </x:c>
      <x:c r="G583" s="1" t="str">
        <x:v>Repeat purchase</x:v>
      </x:c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 t="str">
        <x:v>ORD-00583</x:v>
      </x:c>
      <x:c r="B584" s="1" t="str">
        <x:v>ACC-0160</x:v>
      </x:c>
      <x:c r="C584" s="19" t="n">
        <x:v>46017</x:v>
      </x:c>
      <x:c r="D584" s="1" t="str">
        <x:v>Pouch Filler</x:v>
      </x:c>
      <x:c r="E584" s="1" t="str">
        <x:v>Midwest</x:v>
      </x:c>
      <x:c r="F584" s="20" t="n">
        <x:v>188200</x:v>
      </x:c>
      <x:c r="G584" s="1" t="str">
        <x:v>Repeat purchase</x:v>
      </x:c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 t="str">
        <x:v>ORD-00584</x:v>
      </x:c>
      <x:c r="B585" s="1" t="str">
        <x:v>ACC-0160</x:v>
      </x:c>
      <x:c r="C585" s="19" t="n">
        <x:v>46038</x:v>
      </x:c>
      <x:c r="D585" s="1" t="str">
        <x:v>Pouch Filler</x:v>
      </x:c>
      <x:c r="E585" s="1" t="str">
        <x:v>Midwest</x:v>
      </x:c>
      <x:c r="F585" s="20" t="n">
        <x:v>106400</x:v>
      </x:c>
      <x:c r="G585" s="1" t="str">
        <x:v>Repeat purchase</x:v>
      </x:c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 t="str">
        <x:v>ORD-00585</x:v>
      </x:c>
      <x:c r="B586" s="1" t="str">
        <x:v>ACC-0161</x:v>
      </x:c>
      <x:c r="C586" s="19" t="n">
        <x:v>46028</x:v>
      </x:c>
      <x:c r="D586" s="1" t="str">
        <x:v>Cartoning Machine</x:v>
      </x:c>
      <x:c r="E586" s="1" t="str">
        <x:v>Northeast</x:v>
      </x:c>
      <x:c r="F586" s="20" t="n">
        <x:v>144400</x:v>
      </x:c>
      <x:c r="G586" s="1" t="str">
        <x:v>New business</x:v>
      </x:c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 t="str">
        <x:v>ORD-00586</x:v>
      </x:c>
      <x:c r="B587" s="1" t="str">
        <x:v>ACC-0161</x:v>
      </x:c>
      <x:c r="C587" s="19" t="n">
        <x:v>46031</x:v>
      </x:c>
      <x:c r="D587" s="1" t="str">
        <x:v>Labeling System</x:v>
      </x:c>
      <x:c r="E587" s="1" t="str">
        <x:v>Northeast</x:v>
      </x:c>
      <x:c r="F587" s="20" t="n">
        <x:v>32900</x:v>
      </x:c>
      <x:c r="G587" s="1" t="str">
        <x:v>Repeat purchase</x:v>
      </x:c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 t="str">
        <x:v>ORD-00587</x:v>
      </x:c>
      <x:c r="B588" s="1" t="str">
        <x:v>ACC-0161</x:v>
      </x:c>
      <x:c r="C588" s="19" t="n">
        <x:v>46172</x:v>
      </x:c>
      <x:c r="D588" s="1" t="str">
        <x:v>Service &amp; Parts</x:v>
      </x:c>
      <x:c r="E588" s="1" t="str">
        <x:v>Northeast</x:v>
      </x:c>
      <x:c r="F588" s="20" t="n">
        <x:v>7600</x:v>
      </x:c>
      <x:c r="G588" s="1" t="str">
        <x:v>Repeat purchase</x:v>
      </x:c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 t="str">
        <x:v>ORD-00588</x:v>
      </x:c>
      <x:c r="B589" s="1" t="str">
        <x:v>ACC-0162</x:v>
      </x:c>
      <x:c r="C589" s="19" t="n">
        <x:v>45410</x:v>
      </x:c>
      <x:c r="D589" s="1" t="str">
        <x:v>Labeling System</x:v>
      </x:c>
      <x:c r="E589" s="1" t="str">
        <x:v>West</x:v>
      </x:c>
      <x:c r="F589" s="20" t="n">
        <x:v>169000</x:v>
      </x:c>
      <x:c r="G589" s="1" t="str">
        <x:v>New business</x:v>
      </x:c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 t="str">
        <x:v>ORD-00589</x:v>
      </x:c>
      <x:c r="B590" s="1" t="str">
        <x:v>ACC-0162</x:v>
      </x:c>
      <x:c r="C590" s="19" t="n">
        <x:v>45573</x:v>
      </x:c>
      <x:c r="D590" s="1" t="str">
        <x:v>Labeling System</x:v>
      </x:c>
      <x:c r="E590" s="1" t="str">
        <x:v>West</x:v>
      </x:c>
      <x:c r="F590" s="20" t="n">
        <x:v>115000</x:v>
      </x:c>
      <x:c r="G590" s="1" t="str">
        <x:v>Repeat purchase</x:v>
      </x:c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 t="str">
        <x:v>ORD-00590</x:v>
      </x:c>
      <x:c r="B591" s="1" t="str">
        <x:v>ACC-0162</x:v>
      </x:c>
      <x:c r="C591" s="19" t="n">
        <x:v>45661</x:v>
      </x:c>
      <x:c r="D591" s="1" t="str">
        <x:v>Case Packer</x:v>
      </x:c>
      <x:c r="E591" s="1" t="str">
        <x:v>West</x:v>
      </x:c>
      <x:c r="F591" s="20" t="n">
        <x:v>154700</x:v>
      </x:c>
      <x:c r="G591" s="1" t="str">
        <x:v>Repeat purchase</x:v>
      </x:c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 t="str">
        <x:v>ORD-00591</x:v>
      </x:c>
      <x:c r="B592" s="1" t="str">
        <x:v>ACC-0163</x:v>
      </x:c>
      <x:c r="C592" s="19" t="n">
        <x:v>46145</x:v>
      </x:c>
      <x:c r="D592" s="1" t="str">
        <x:v>Pouch Filler</x:v>
      </x:c>
      <x:c r="E592" s="1" t="str">
        <x:v>West</x:v>
      </x:c>
      <x:c r="F592" s="20" t="n">
        <x:v>193800</x:v>
      </x:c>
      <x:c r="G592" s="1" t="str">
        <x:v>New business</x:v>
      </x:c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 t="str">
        <x:v>ORD-00592</x:v>
      </x:c>
      <x:c r="B593" s="1" t="str">
        <x:v>ACC-0163</x:v>
      </x:c>
      <x:c r="C593" s="19" t="n">
        <x:v>46179</x:v>
      </x:c>
      <x:c r="D593" s="1" t="str">
        <x:v>Cartoning Machine</x:v>
      </x:c>
      <x:c r="E593" s="1" t="str">
        <x:v>West</x:v>
      </x:c>
      <x:c r="F593" s="20" t="n">
        <x:v>264800</x:v>
      </x:c>
      <x:c r="G593" s="1" t="str">
        <x:v>Repeat purchase</x:v>
      </x:c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 t="str">
        <x:v>ORD-00593</x:v>
      </x:c>
      <x:c r="B594" s="1" t="str">
        <x:v>ACC-0164</x:v>
      </x:c>
      <x:c r="C594" s="19" t="n">
        <x:v>45746</x:v>
      </x:c>
      <x:c r="D594" s="1" t="str">
        <x:v>Case Packer</x:v>
      </x:c>
      <x:c r="E594" s="1" t="str">
        <x:v>South</x:v>
      </x:c>
      <x:c r="F594" s="20" t="n">
        <x:v>79500</x:v>
      </x:c>
      <x:c r="G594" s="1" t="str">
        <x:v>New business</x:v>
      </x:c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 t="str">
        <x:v>ORD-00594</x:v>
      </x:c>
      <x:c r="B595" s="1" t="str">
        <x:v>ACC-0164</x:v>
      </x:c>
      <x:c r="C595" s="19" t="n">
        <x:v>45982</x:v>
      </x:c>
      <x:c r="D595" s="1" t="str">
        <x:v>Pouch Filler</x:v>
      </x:c>
      <x:c r="E595" s="1" t="str">
        <x:v>South</x:v>
      </x:c>
      <x:c r="F595" s="20" t="n">
        <x:v>90700</x:v>
      </x:c>
      <x:c r="G595" s="1" t="str">
        <x:v>Repeat purchase</x:v>
      </x:c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 t="str">
        <x:v>ORD-00595</x:v>
      </x:c>
      <x:c r="B596" s="1" t="str">
        <x:v>ACC-0164</x:v>
      </x:c>
      <x:c r="C596" s="19" t="n">
        <x:v>46007</x:v>
      </x:c>
      <x:c r="D596" s="1" t="str">
        <x:v>Service &amp; Parts</x:v>
      </x:c>
      <x:c r="E596" s="1" t="str">
        <x:v>South</x:v>
      </x:c>
      <x:c r="F596" s="20" t="n">
        <x:v>32900</x:v>
      </x:c>
      <x:c r="G596" s="1" t="str">
        <x:v>Repeat purchase</x:v>
      </x:c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 t="str">
        <x:v>ORD-00596</x:v>
      </x:c>
      <x:c r="B597" s="1" t="str">
        <x:v>ACC-0164</x:v>
      </x:c>
      <x:c r="C597" s="19" t="n">
        <x:v>46031</x:v>
      </x:c>
      <x:c r="D597" s="1" t="str">
        <x:v>Service &amp; Parts</x:v>
      </x:c>
      <x:c r="E597" s="1" t="str">
        <x:v>South</x:v>
      </x:c>
      <x:c r="F597" s="20" t="n">
        <x:v>33100</x:v>
      </x:c>
      <x:c r="G597" s="1" t="str">
        <x:v>Repeat purchase</x:v>
      </x:c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 t="str">
        <x:v>ORD-00597</x:v>
      </x:c>
      <x:c r="B598" s="1" t="str">
        <x:v>ACC-0164</x:v>
      </x:c>
      <x:c r="C598" s="19" t="n">
        <x:v>46117</x:v>
      </x:c>
      <x:c r="D598" s="1" t="str">
        <x:v>Pouch Filler</x:v>
      </x:c>
      <x:c r="E598" s="1" t="str">
        <x:v>South</x:v>
      </x:c>
      <x:c r="F598" s="20" t="n">
        <x:v>265900</x:v>
      </x:c>
      <x:c r="G598" s="1" t="str">
        <x:v>Repeat purchase</x:v>
      </x:c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 t="str">
        <x:v>ORD-00598</x:v>
      </x:c>
      <x:c r="B599" s="1" t="str">
        <x:v>ACC-0164</x:v>
      </x:c>
      <x:c r="C599" s="19" t="n">
        <x:v>46201</x:v>
      </x:c>
      <x:c r="D599" s="1" t="str">
        <x:v>Service &amp; Parts</x:v>
      </x:c>
      <x:c r="E599" s="1" t="str">
        <x:v>South</x:v>
      </x:c>
      <x:c r="F599" s="20" t="n">
        <x:v>32100</x:v>
      </x:c>
      <x:c r="G599" s="1" t="str">
        <x:v>Repeat purchase</x:v>
      </x:c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 t="str">
        <x:v>ORD-00599</x:v>
      </x:c>
      <x:c r="B600" s="1" t="str">
        <x:v>ACC-0165</x:v>
      </x:c>
      <x:c r="C600" s="19" t="n">
        <x:v>45950</x:v>
      </x:c>
      <x:c r="D600" s="1" t="str">
        <x:v>Pouch Filler</x:v>
      </x:c>
      <x:c r="E600" s="1" t="str">
        <x:v>West</x:v>
      </x:c>
      <x:c r="F600" s="20" t="n">
        <x:v>204600</x:v>
      </x:c>
      <x:c r="G600" s="1" t="str">
        <x:v>New business</x:v>
      </x:c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 t="str">
        <x:v>ORD-00600</x:v>
      </x:c>
      <x:c r="B601" s="1" t="str">
        <x:v>ACC-0165</x:v>
      </x:c>
      <x:c r="C601" s="19" t="n">
        <x:v>45971</x:v>
      </x:c>
      <x:c r="D601" s="1" t="str">
        <x:v>Case Packer</x:v>
      </x:c>
      <x:c r="E601" s="1" t="str">
        <x:v>West</x:v>
      </x:c>
      <x:c r="F601" s="20" t="n">
        <x:v>198900</x:v>
      </x:c>
      <x:c r="G601" s="1" t="str">
        <x:v>Repeat purchase</x:v>
      </x:c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 t="str">
        <x:v>ORD-00601</x:v>
      </x:c>
      <x:c r="B602" s="1" t="str">
        <x:v>ACC-0165</x:v>
      </x:c>
      <x:c r="C602" s="19" t="n">
        <x:v>46021</x:v>
      </x:c>
      <x:c r="D602" s="1" t="str">
        <x:v>Pouch Filler</x:v>
      </x:c>
      <x:c r="E602" s="1" t="str">
        <x:v>West</x:v>
      </x:c>
      <x:c r="F602" s="20" t="n">
        <x:v>219600</x:v>
      </x:c>
      <x:c r="G602" s="1" t="str">
        <x:v>Repeat purchase</x:v>
      </x:c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 t="str">
        <x:v>ORD-00602</x:v>
      </x:c>
      <x:c r="B603" s="1" t="str">
        <x:v>ACC-0165</x:v>
      </x:c>
      <x:c r="C603" s="19" t="n">
        <x:v>46068</x:v>
      </x:c>
      <x:c r="D603" s="1" t="str">
        <x:v>Pouch Filler</x:v>
      </x:c>
      <x:c r="E603" s="1" t="str">
        <x:v>West</x:v>
      </x:c>
      <x:c r="F603" s="20" t="n">
        <x:v>99400</x:v>
      </x:c>
      <x:c r="G603" s="1" t="str">
        <x:v>Repeat purchase</x:v>
      </x:c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 t="str">
        <x:v>ORD-00603</x:v>
      </x:c>
      <x:c r="B604" s="1" t="str">
        <x:v>ACC-0166</x:v>
      </x:c>
      <x:c r="C604" s="19" t="n">
        <x:v>45787</x:v>
      </x:c>
      <x:c r="D604" s="1" t="str">
        <x:v>Cartoning Machine</x:v>
      </x:c>
      <x:c r="E604" s="1" t="str">
        <x:v>Northeast</x:v>
      </x:c>
      <x:c r="F604" s="20" t="n">
        <x:v>138300</x:v>
      </x:c>
      <x:c r="G604" s="1" t="str">
        <x:v>New business</x:v>
      </x:c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 t="str">
        <x:v>ORD-00604</x:v>
      </x:c>
      <x:c r="B605" s="1" t="str">
        <x:v>ACC-0166</x:v>
      </x:c>
      <x:c r="C605" s="19" t="n">
        <x:v>46058</x:v>
      </x:c>
      <x:c r="D605" s="1" t="str">
        <x:v>Service &amp; Parts</x:v>
      </x:c>
      <x:c r="E605" s="1" t="str">
        <x:v>Northeast</x:v>
      </x:c>
      <x:c r="F605" s="20" t="n">
        <x:v>25600</x:v>
      </x:c>
      <x:c r="G605" s="1" t="str">
        <x:v>Repeat purchase</x:v>
      </x:c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 t="str">
        <x:v>ORD-00605</x:v>
      </x:c>
      <x:c r="B606" s="1" t="str">
        <x:v>ACC-0167</x:v>
      </x:c>
      <x:c r="C606" s="19" t="n">
        <x:v>45768</x:v>
      </x:c>
      <x:c r="D606" s="1" t="str">
        <x:v>Cartoning Machine</x:v>
      </x:c>
      <x:c r="E606" s="1" t="str">
        <x:v>West</x:v>
      </x:c>
      <x:c r="F606" s="20" t="n">
        <x:v>112100</x:v>
      </x:c>
      <x:c r="G606" s="1" t="str">
        <x:v>New business</x:v>
      </x:c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 t="str">
        <x:v>ORD-00606</x:v>
      </x:c>
      <x:c r="B607" s="1" t="str">
        <x:v>ACC-0167</x:v>
      </x:c>
      <x:c r="C607" s="19" t="n">
        <x:v>45881</x:v>
      </x:c>
      <x:c r="D607" s="1" t="str">
        <x:v>Service &amp; Parts</x:v>
      </x:c>
      <x:c r="E607" s="1" t="str">
        <x:v>West</x:v>
      </x:c>
      <x:c r="F607" s="20" t="n">
        <x:v>13100</x:v>
      </x:c>
      <x:c r="G607" s="1" t="str">
        <x:v>Repeat purchase</x:v>
      </x:c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 t="str">
        <x:v>ORD-00607</x:v>
      </x:c>
      <x:c r="B608" s="1" t="str">
        <x:v>ACC-0168</x:v>
      </x:c>
      <x:c r="C608" s="19" t="n">
        <x:v>45640</x:v>
      </x:c>
      <x:c r="D608" s="1" t="str">
        <x:v>Cartoning Machine</x:v>
      </x:c>
      <x:c r="E608" s="1" t="str">
        <x:v>West</x:v>
      </x:c>
      <x:c r="F608" s="20" t="n">
        <x:v>140400</x:v>
      </x:c>
      <x:c r="G608" s="1" t="str">
        <x:v>New business</x:v>
      </x:c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 t="str">
        <x:v>ORD-00608</x:v>
      </x:c>
      <x:c r="B609" s="1" t="str">
        <x:v>ACC-0169</x:v>
      </x:c>
      <x:c r="C609" s="19" t="n">
        <x:v>46053</x:v>
      </x:c>
      <x:c r="D609" s="1" t="str">
        <x:v>Service &amp; Parts</x:v>
      </x:c>
      <x:c r="E609" s="1" t="str">
        <x:v>West</x:v>
      </x:c>
      <x:c r="F609" s="20" t="n">
        <x:v>43400</x:v>
      </x:c>
      <x:c r="G609" s="1" t="str">
        <x:v>New business</x:v>
      </x:c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 t="str">
        <x:v>ORD-00609</x:v>
      </x:c>
      <x:c r="B610" s="1" t="str">
        <x:v>ACC-0169</x:v>
      </x:c>
      <x:c r="C610" s="19" t="n">
        <x:v>46084</x:v>
      </x:c>
      <x:c r="D610" s="1" t="str">
        <x:v>Labeling System</x:v>
      </x:c>
      <x:c r="E610" s="1" t="str">
        <x:v>West</x:v>
      </x:c>
      <x:c r="F610" s="20" t="n">
        <x:v>260100</x:v>
      </x:c>
      <x:c r="G610" s="1" t="str">
        <x:v>Repeat purchase</x:v>
      </x:c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 t="str">
        <x:v>ORD-00610</x:v>
      </x:c>
      <x:c r="B611" s="1" t="str">
        <x:v>ACC-0169</x:v>
      </x:c>
      <x:c r="C611" s="19" t="n">
        <x:v>46137</x:v>
      </x:c>
      <x:c r="D611" s="1" t="str">
        <x:v>Labeling System</x:v>
      </x:c>
      <x:c r="E611" s="1" t="str">
        <x:v>West</x:v>
      </x:c>
      <x:c r="F611" s="20" t="n">
        <x:v>215800</x:v>
      </x:c>
      <x:c r="G611" s="1" t="str">
        <x:v>Repeat purchase</x:v>
      </x:c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 t="str">
        <x:v>ORD-00611</x:v>
      </x:c>
      <x:c r="B612" s="1" t="str">
        <x:v>ACC-0170</x:v>
      </x:c>
      <x:c r="C612" s="19" t="n">
        <x:v>45450</x:v>
      </x:c>
      <x:c r="D612" s="1" t="str">
        <x:v>Service &amp; Parts</x:v>
      </x:c>
      <x:c r="E612" s="1" t="str">
        <x:v>Midwest</x:v>
      </x:c>
      <x:c r="F612" s="20" t="n">
        <x:v>10700</x:v>
      </x:c>
      <x:c r="G612" s="1" t="str">
        <x:v>New business</x:v>
      </x:c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 t="str">
        <x:v>ORD-00612</x:v>
      </x:c>
      <x:c r="B613" s="1" t="str">
        <x:v>ACC-0171</x:v>
      </x:c>
      <x:c r="C613" s="19" t="n">
        <x:v>45524</x:v>
      </x:c>
      <x:c r="D613" s="1" t="str">
        <x:v>Pouch Filler</x:v>
      </x:c>
      <x:c r="E613" s="1" t="str">
        <x:v>Midwest</x:v>
      </x:c>
      <x:c r="F613" s="20" t="n">
        <x:v>58500</x:v>
      </x:c>
      <x:c r="G613" s="1" t="str">
        <x:v>New business</x:v>
      </x:c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 t="str">
        <x:v>ORD-00613</x:v>
      </x:c>
      <x:c r="B614" s="1" t="str">
        <x:v>ACC-0171</x:v>
      </x:c>
      <x:c r="C614" s="19" t="n">
        <x:v>45920</x:v>
      </x:c>
      <x:c r="D614" s="1" t="str">
        <x:v>Case Packer</x:v>
      </x:c>
      <x:c r="E614" s="1" t="str">
        <x:v>Midwest</x:v>
      </x:c>
      <x:c r="F614" s="20" t="n">
        <x:v>104300</x:v>
      </x:c>
      <x:c r="G614" s="1" t="str">
        <x:v>Repeat purchase</x:v>
      </x:c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 t="str">
        <x:v>ORD-00614</x:v>
      </x:c>
      <x:c r="B615" s="1" t="str">
        <x:v>ACC-0171</x:v>
      </x:c>
      <x:c r="C615" s="19" t="n">
        <x:v>46089</x:v>
      </x:c>
      <x:c r="D615" s="1" t="str">
        <x:v>Pouch Filler</x:v>
      </x:c>
      <x:c r="E615" s="1" t="str">
        <x:v>Midwest</x:v>
      </x:c>
      <x:c r="F615" s="20" t="n">
        <x:v>71400</x:v>
      </x:c>
      <x:c r="G615" s="1" t="str">
        <x:v>Repeat purchase</x:v>
      </x:c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 t="str">
        <x:v>ORD-00615</x:v>
      </x:c>
      <x:c r="B616" s="1" t="str">
        <x:v>ACC-0172</x:v>
      </x:c>
      <x:c r="C616" s="19" t="n">
        <x:v>45610</x:v>
      </x:c>
      <x:c r="D616" s="1" t="str">
        <x:v>Cartoning Machine</x:v>
      </x:c>
      <x:c r="E616" s="1" t="str">
        <x:v>South</x:v>
      </x:c>
      <x:c r="F616" s="20" t="n">
        <x:v>79500</x:v>
      </x:c>
      <x:c r="G616" s="1" t="str">
        <x:v>New business</x:v>
      </x:c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 t="str">
        <x:v>ORD-00616</x:v>
      </x:c>
      <x:c r="B617" s="1" t="str">
        <x:v>ACC-0172</x:v>
      </x:c>
      <x:c r="C617" s="19" t="n">
        <x:v>45938</x:v>
      </x:c>
      <x:c r="D617" s="1" t="str">
        <x:v>Service &amp; Parts</x:v>
      </x:c>
      <x:c r="E617" s="1" t="str">
        <x:v>South</x:v>
      </x:c>
      <x:c r="F617" s="20" t="n">
        <x:v>13100</x:v>
      </x:c>
      <x:c r="G617" s="1" t="str">
        <x:v>Repeat purchase</x:v>
      </x:c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 t="str">
        <x:v>ORD-00617</x:v>
      </x:c>
      <x:c r="B618" s="1" t="str">
        <x:v>ACC-0172</x:v>
      </x:c>
      <x:c r="C618" s="19" t="n">
        <x:v>46189</x:v>
      </x:c>
      <x:c r="D618" s="1" t="str">
        <x:v>Labeling System</x:v>
      </x:c>
      <x:c r="E618" s="1" t="str">
        <x:v>South</x:v>
      </x:c>
      <x:c r="F618" s="20" t="n">
        <x:v>148900</x:v>
      </x:c>
      <x:c r="G618" s="1" t="str">
        <x:v>Repeat purchase</x:v>
      </x:c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 t="str">
        <x:v>ORD-00618</x:v>
      </x:c>
      <x:c r="B619" s="1" t="str">
        <x:v>ACC-0173</x:v>
      </x:c>
      <x:c r="C619" s="19" t="n">
        <x:v>45723</x:v>
      </x:c>
      <x:c r="D619" s="1" t="str">
        <x:v>Case Packer</x:v>
      </x:c>
      <x:c r="E619" s="1" t="str">
        <x:v>Northeast</x:v>
      </x:c>
      <x:c r="F619" s="20" t="n">
        <x:v>207000</x:v>
      </x:c>
      <x:c r="G619" s="1" t="str">
        <x:v>New business</x:v>
      </x:c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 t="str">
        <x:v>ORD-00619</x:v>
      </x:c>
      <x:c r="B620" s="1" t="str">
        <x:v>ACC-0173</x:v>
      </x:c>
      <x:c r="C620" s="19" t="n">
        <x:v>45768</x:v>
      </x:c>
      <x:c r="D620" s="1" t="str">
        <x:v>Cartoning Machine</x:v>
      </x:c>
      <x:c r="E620" s="1" t="str">
        <x:v>Northeast</x:v>
      </x:c>
      <x:c r="F620" s="20" t="n">
        <x:v>230100</x:v>
      </x:c>
      <x:c r="G620" s="1" t="str">
        <x:v>Repeat purchase</x:v>
      </x:c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 t="str">
        <x:v>ORD-00620</x:v>
      </x:c>
      <x:c r="B621" s="1" t="str">
        <x:v>ACC-0173</x:v>
      </x:c>
      <x:c r="C621" s="19" t="n">
        <x:v>46016</x:v>
      </x:c>
      <x:c r="D621" s="1" t="str">
        <x:v>Cartoning Machine</x:v>
      </x:c>
      <x:c r="E621" s="1" t="str">
        <x:v>Northeast</x:v>
      </x:c>
      <x:c r="F621" s="20" t="n">
        <x:v>227100</x:v>
      </x:c>
      <x:c r="G621" s="1" t="str">
        <x:v>Repeat purchase</x:v>
      </x:c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 t="str">
        <x:v>ORD-00621</x:v>
      </x:c>
      <x:c r="B622" s="1" t="str">
        <x:v>ACC-0173</x:v>
      </x:c>
      <x:c r="C622" s="19" t="n">
        <x:v>46108</x:v>
      </x:c>
      <x:c r="D622" s="1" t="str">
        <x:v>Pouch Filler</x:v>
      </x:c>
      <x:c r="E622" s="1" t="str">
        <x:v>Northeast</x:v>
      </x:c>
      <x:c r="F622" s="20" t="n">
        <x:v>117900</x:v>
      </x:c>
      <x:c r="G622" s="1" t="str">
        <x:v>Repeat purchase</x:v>
      </x:c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 t="str">
        <x:v>ORD-00622</x:v>
      </x:c>
      <x:c r="B623" s="1" t="str">
        <x:v>ACC-0173</x:v>
      </x:c>
      <x:c r="C623" s="19" t="n">
        <x:v>46124</x:v>
      </x:c>
      <x:c r="D623" s="1" t="str">
        <x:v>Pouch Filler</x:v>
      </x:c>
      <x:c r="E623" s="1" t="str">
        <x:v>Northeast</x:v>
      </x:c>
      <x:c r="F623" s="20" t="n">
        <x:v>240600</x:v>
      </x:c>
      <x:c r="G623" s="1" t="str">
        <x:v>Repeat purchase</x:v>
      </x:c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 t="str">
        <x:v>ORD-00623</x:v>
      </x:c>
      <x:c r="B624" s="1" t="str">
        <x:v>ACC-0174</x:v>
      </x:c>
      <x:c r="C624" s="19" t="n">
        <x:v>45339</x:v>
      </x:c>
      <x:c r="D624" s="1" t="str">
        <x:v>Cartoning Machine</x:v>
      </x:c>
      <x:c r="E624" s="1" t="str">
        <x:v>West</x:v>
      </x:c>
      <x:c r="F624" s="20" t="n">
        <x:v>143200</x:v>
      </x:c>
      <x:c r="G624" s="1" t="str">
        <x:v>New business</x:v>
      </x:c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 t="str">
        <x:v>ORD-00624</x:v>
      </x:c>
      <x:c r="B625" s="1" t="str">
        <x:v>ACC-0174</x:v>
      </x:c>
      <x:c r="C625" s="19" t="n">
        <x:v>45636</x:v>
      </x:c>
      <x:c r="D625" s="1" t="str">
        <x:v>Case Packer</x:v>
      </x:c>
      <x:c r="E625" s="1" t="str">
        <x:v>West</x:v>
      </x:c>
      <x:c r="F625" s="20" t="n">
        <x:v>62800</x:v>
      </x:c>
      <x:c r="G625" s="1" t="str">
        <x:v>Repeat purchase</x:v>
      </x:c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 t="str">
        <x:v>ORD-00625</x:v>
      </x:c>
      <x:c r="B626" s="1" t="str">
        <x:v>ACC-0174</x:v>
      </x:c>
      <x:c r="C626" s="19" t="n">
        <x:v>45655</x:v>
      </x:c>
      <x:c r="D626" s="1" t="str">
        <x:v>Labeling System</x:v>
      </x:c>
      <x:c r="E626" s="1" t="str">
        <x:v>West</x:v>
      </x:c>
      <x:c r="F626" s="20" t="n">
        <x:v>47700</x:v>
      </x:c>
      <x:c r="G626" s="1" t="str">
        <x:v>Repeat purchase</x:v>
      </x:c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 t="str">
        <x:v>ORD-00626</x:v>
      </x:c>
      <x:c r="B627" s="1" t="str">
        <x:v>ACC-0174</x:v>
      </x:c>
      <x:c r="C627" s="19" t="n">
        <x:v>45932</x:v>
      </x:c>
      <x:c r="D627" s="1" t="str">
        <x:v>Cartoning Machine</x:v>
      </x:c>
      <x:c r="E627" s="1" t="str">
        <x:v>West</x:v>
      </x:c>
      <x:c r="F627" s="20" t="n">
        <x:v>53100</x:v>
      </x:c>
      <x:c r="G627" s="1" t="str">
        <x:v>Repeat purchase</x:v>
      </x:c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 t="str">
        <x:v>ORD-00627</x:v>
      </x:c>
      <x:c r="B628" s="1" t="str">
        <x:v>ACC-0175</x:v>
      </x:c>
      <x:c r="C628" s="19" t="n">
        <x:v>45707</x:v>
      </x:c>
      <x:c r="D628" s="1" t="str">
        <x:v>Pouch Filler</x:v>
      </x:c>
      <x:c r="E628" s="1" t="str">
        <x:v>Midwest</x:v>
      </x:c>
      <x:c r="F628" s="20" t="n">
        <x:v>153800</x:v>
      </x:c>
      <x:c r="G628" s="1" t="str">
        <x:v>New business</x:v>
      </x:c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 t="str">
        <x:v>ORD-00628</x:v>
      </x:c>
      <x:c r="B629" s="1" t="str">
        <x:v>ACC-0175</x:v>
      </x:c>
      <x:c r="C629" s="19" t="n">
        <x:v>45773</x:v>
      </x:c>
      <x:c r="D629" s="1" t="str">
        <x:v>Cartoning Machine</x:v>
      </x:c>
      <x:c r="E629" s="1" t="str">
        <x:v>Midwest</x:v>
      </x:c>
      <x:c r="F629" s="20" t="n">
        <x:v>136900</x:v>
      </x:c>
      <x:c r="G629" s="1" t="str">
        <x:v>Repeat purchase</x:v>
      </x:c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 t="str">
        <x:v>ORD-00629</x:v>
      </x:c>
      <x:c r="B630" s="1" t="str">
        <x:v>ACC-0175</x:v>
      </x:c>
      <x:c r="C630" s="19" t="n">
        <x:v>46069</x:v>
      </x:c>
      <x:c r="D630" s="1" t="str">
        <x:v>Pouch Filler</x:v>
      </x:c>
      <x:c r="E630" s="1" t="str">
        <x:v>Midwest</x:v>
      </x:c>
      <x:c r="F630" s="20" t="n">
        <x:v>207800</x:v>
      </x:c>
      <x:c r="G630" s="1" t="str">
        <x:v>Repeat purchase</x:v>
      </x:c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 t="str">
        <x:v>ORD-00630</x:v>
      </x:c>
      <x:c r="B631" s="1" t="str">
        <x:v>ACC-0175</x:v>
      </x:c>
      <x:c r="C631" s="19" t="n">
        <x:v>46093</x:v>
      </x:c>
      <x:c r="D631" s="1" t="str">
        <x:v>Case Packer</x:v>
      </x:c>
      <x:c r="E631" s="1" t="str">
        <x:v>Midwest</x:v>
      </x:c>
      <x:c r="F631" s="20" t="n">
        <x:v>128500</x:v>
      </x:c>
      <x:c r="G631" s="1" t="str">
        <x:v>Repeat purchase</x:v>
      </x:c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 t="str">
        <x:v>ORD-00631</x:v>
      </x:c>
      <x:c r="B632" s="1" t="str">
        <x:v>ACC-0176</x:v>
      </x:c>
      <x:c r="C632" s="19" t="n">
        <x:v>45310</x:v>
      </x:c>
      <x:c r="D632" s="1" t="str">
        <x:v>Labeling System</x:v>
      </x:c>
      <x:c r="E632" s="1" t="str">
        <x:v>Northeast</x:v>
      </x:c>
      <x:c r="F632" s="20" t="n">
        <x:v>95400</x:v>
      </x:c>
      <x:c r="G632" s="1" t="str">
        <x:v>New business</x:v>
      </x:c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 t="str">
        <x:v>ORD-00632</x:v>
      </x:c>
      <x:c r="B633" s="1" t="str">
        <x:v>ACC-0176</x:v>
      </x:c>
      <x:c r="C633" s="19" t="n">
        <x:v>45512</x:v>
      </x:c>
      <x:c r="D633" s="1" t="str">
        <x:v>Pouch Filler</x:v>
      </x:c>
      <x:c r="E633" s="1" t="str">
        <x:v>Northeast</x:v>
      </x:c>
      <x:c r="F633" s="20" t="n">
        <x:v>234500</x:v>
      </x:c>
      <x:c r="G633" s="1" t="str">
        <x:v>Repeat purchase</x:v>
      </x:c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 t="str">
        <x:v>ORD-00633</x:v>
      </x:c>
      <x:c r="B634" s="1" t="str">
        <x:v>ACC-0176</x:v>
      </x:c>
      <x:c r="C634" s="19" t="n">
        <x:v>45674</x:v>
      </x:c>
      <x:c r="D634" s="1" t="str">
        <x:v>Cartoning Machine</x:v>
      </x:c>
      <x:c r="E634" s="1" t="str">
        <x:v>Northeast</x:v>
      </x:c>
      <x:c r="F634" s="20" t="n">
        <x:v>81200</x:v>
      </x:c>
      <x:c r="G634" s="1" t="str">
        <x:v>Repeat purchase</x:v>
      </x:c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 t="str">
        <x:v>ORD-00634</x:v>
      </x:c>
      <x:c r="B635" s="1" t="str">
        <x:v>ACC-0177</x:v>
      </x:c>
      <x:c r="C635" s="19" t="n">
        <x:v>46132</x:v>
      </x:c>
      <x:c r="D635" s="1" t="str">
        <x:v>Case Packer</x:v>
      </x:c>
      <x:c r="E635" s="1" t="str">
        <x:v>West</x:v>
      </x:c>
      <x:c r="F635" s="20" t="n">
        <x:v>91100</x:v>
      </x:c>
      <x:c r="G635" s="1" t="str">
        <x:v>New business</x:v>
      </x:c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 t="str">
        <x:v>ORD-00635</x:v>
      </x:c>
      <x:c r="B636" s="1" t="str">
        <x:v>ACC-0177</x:v>
      </x:c>
      <x:c r="C636" s="19" t="n">
        <x:v>46173</x:v>
      </x:c>
      <x:c r="D636" s="1" t="str">
        <x:v>Cartoning Machine</x:v>
      </x:c>
      <x:c r="E636" s="1" t="str">
        <x:v>West</x:v>
      </x:c>
      <x:c r="F636" s="20" t="n">
        <x:v>227300</x:v>
      </x:c>
      <x:c r="G636" s="1" t="str">
        <x:v>Repeat purchase</x:v>
      </x:c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 t="str">
        <x:v>ORD-00636</x:v>
      </x:c>
      <x:c r="B637" s="1" t="str">
        <x:v>ACC-0178</x:v>
      </x:c>
      <x:c r="C637" s="19" t="n">
        <x:v>46101</x:v>
      </x:c>
      <x:c r="D637" s="1" t="str">
        <x:v>Pouch Filler</x:v>
      </x:c>
      <x:c r="E637" s="1" t="str">
        <x:v>South</x:v>
      </x:c>
      <x:c r="F637" s="20" t="n">
        <x:v>78900</x:v>
      </x:c>
      <x:c r="G637" s="1" t="str">
        <x:v>New business</x:v>
      </x:c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 t="str">
        <x:v>ORD-00637</x:v>
      </x:c>
      <x:c r="B638" s="1" t="str">
        <x:v>ACC-0178</x:v>
      </x:c>
      <x:c r="C638" s="19" t="n">
        <x:v>46200</x:v>
      </x:c>
      <x:c r="D638" s="1" t="str">
        <x:v>Pouch Filler</x:v>
      </x:c>
      <x:c r="E638" s="1" t="str">
        <x:v>South</x:v>
      </x:c>
      <x:c r="F638" s="20" t="n">
        <x:v>223900</x:v>
      </x:c>
      <x:c r="G638" s="1" t="str">
        <x:v>Repeat purchase</x:v>
      </x:c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 t="str">
        <x:v>ORD-00638</x:v>
      </x:c>
      <x:c r="B639" s="1" t="str">
        <x:v>ACC-0179</x:v>
      </x:c>
      <x:c r="C639" s="19" t="n">
        <x:v>45775</x:v>
      </x:c>
      <x:c r="D639" s="1" t="str">
        <x:v>Pouch Filler</x:v>
      </x:c>
      <x:c r="E639" s="1" t="str">
        <x:v>Midwest</x:v>
      </x:c>
      <x:c r="F639" s="20" t="n">
        <x:v>138400</x:v>
      </x:c>
      <x:c r="G639" s="1" t="str">
        <x:v>New business</x:v>
      </x:c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 t="str">
        <x:v>ORD-00639</x:v>
      </x:c>
      <x:c r="B640" s="1" t="str">
        <x:v>ACC-0179</x:v>
      </x:c>
      <x:c r="C640" s="19" t="n">
        <x:v>45931</x:v>
      </x:c>
      <x:c r="D640" s="1" t="str">
        <x:v>Case Packer</x:v>
      </x:c>
      <x:c r="E640" s="1" t="str">
        <x:v>Midwest</x:v>
      </x:c>
      <x:c r="F640" s="20" t="n">
        <x:v>158000</x:v>
      </x:c>
      <x:c r="G640" s="1" t="str">
        <x:v>Repeat purchase</x:v>
      </x:c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 t="str">
        <x:v>ORD-00640</x:v>
      </x:c>
      <x:c r="B641" s="1" t="str">
        <x:v>ACC-0179</x:v>
      </x:c>
      <x:c r="C641" s="19" t="n">
        <x:v>45976</x:v>
      </x:c>
      <x:c r="D641" s="1" t="str">
        <x:v>Service &amp; Parts</x:v>
      </x:c>
      <x:c r="E641" s="1" t="str">
        <x:v>Midwest</x:v>
      </x:c>
      <x:c r="F641" s="20" t="n">
        <x:v>17400</x:v>
      </x:c>
      <x:c r="G641" s="1" t="str">
        <x:v>Repeat purchase</x:v>
      </x:c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 t="str">
        <x:v>ORD-00641</x:v>
      </x:c>
      <x:c r="B642" s="1" t="str">
        <x:v>ACC-0179</x:v>
      </x:c>
      <x:c r="C642" s="19" t="n">
        <x:v>46013</x:v>
      </x:c>
      <x:c r="D642" s="1" t="str">
        <x:v>Pouch Filler</x:v>
      </x:c>
      <x:c r="E642" s="1" t="str">
        <x:v>Midwest</x:v>
      </x:c>
      <x:c r="F642" s="20" t="n">
        <x:v>152300</x:v>
      </x:c>
      <x:c r="G642" s="1" t="str">
        <x:v>Repeat purchase</x:v>
      </x:c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 t="str">
        <x:v>ORD-00642</x:v>
      </x:c>
      <x:c r="B643" s="1" t="str">
        <x:v>ACC-0179</x:v>
      </x:c>
      <x:c r="C643" s="19" t="n">
        <x:v>46162</x:v>
      </x:c>
      <x:c r="D643" s="1" t="str">
        <x:v>Labeling System</x:v>
      </x:c>
      <x:c r="E643" s="1" t="str">
        <x:v>Midwest</x:v>
      </x:c>
      <x:c r="F643" s="20" t="n">
        <x:v>140500</x:v>
      </x:c>
      <x:c r="G643" s="1" t="str">
        <x:v>Repeat purchase</x:v>
      </x:c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 t="str">
        <x:v>ORD-00643</x:v>
      </x:c>
      <x:c r="B644" s="1" t="str">
        <x:v>ACC-0180</x:v>
      </x:c>
      <x:c r="C644" s="19" t="n">
        <x:v>45296</x:v>
      </x:c>
      <x:c r="D644" s="1" t="str">
        <x:v>Service &amp; Parts</x:v>
      </x:c>
      <x:c r="E644" s="1" t="str">
        <x:v>South</x:v>
      </x:c>
      <x:c r="F644" s="20" t="n">
        <x:v>20400</x:v>
      </x:c>
      <x:c r="G644" s="1" t="str">
        <x:v>New business</x:v>
      </x:c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 t="str">
        <x:v>ORD-00644</x:v>
      </x:c>
      <x:c r="B645" s="1" t="str">
        <x:v>ACC-0180</x:v>
      </x:c>
      <x:c r="C645" s="19" t="n">
        <x:v>45879</x:v>
      </x:c>
      <x:c r="D645" s="1" t="str">
        <x:v>Labeling System</x:v>
      </x:c>
      <x:c r="E645" s="1" t="str">
        <x:v>South</x:v>
      </x:c>
      <x:c r="F645" s="20" t="n">
        <x:v>125600</x:v>
      </x:c>
      <x:c r="G645" s="1" t="str">
        <x:v>Repeat purchase</x:v>
      </x:c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 t="str">
        <x:v>ORD-00645</x:v>
      </x:c>
      <x:c r="B646" s="1" t="str">
        <x:v>ACC-0180</x:v>
      </x:c>
      <x:c r="C646" s="19" t="n">
        <x:v>45953</x:v>
      </x:c>
      <x:c r="D646" s="1" t="str">
        <x:v>Cartoning Machine</x:v>
      </x:c>
      <x:c r="E646" s="1" t="str">
        <x:v>South</x:v>
      </x:c>
      <x:c r="F646" s="20" t="n">
        <x:v>72300</x:v>
      </x:c>
      <x:c r="G646" s="1" t="str">
        <x:v>Repeat purchase</x:v>
      </x:c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 t="str">
        <x:v>ORD-00646</x:v>
      </x:c>
      <x:c r="B647" s="1" t="str">
        <x:v>ACC-0180</x:v>
      </x:c>
      <x:c r="C647" s="19" t="n">
        <x:v>46200</x:v>
      </x:c>
      <x:c r="D647" s="1" t="str">
        <x:v>Cartoning Machine</x:v>
      </x:c>
      <x:c r="E647" s="1" t="str">
        <x:v>South</x:v>
      </x:c>
      <x:c r="F647" s="20" t="n">
        <x:v>208900</x:v>
      </x:c>
      <x:c r="G647" s="1" t="str">
        <x:v>Repeat purchase</x:v>
      </x:c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 t="str">
        <x:v>ORD-00647</x:v>
      </x:c>
      <x:c r="B648" s="1" t="str">
        <x:v>ACC-0181</x:v>
      </x:c>
      <x:c r="C648" s="19" t="n">
        <x:v>45505</x:v>
      </x:c>
      <x:c r="D648" s="1" t="str">
        <x:v>Case Packer</x:v>
      </x:c>
      <x:c r="E648" s="1" t="str">
        <x:v>Northeast</x:v>
      </x:c>
      <x:c r="F648" s="20" t="n">
        <x:v>120300</x:v>
      </x:c>
      <x:c r="G648" s="1" t="str">
        <x:v>New business</x:v>
      </x:c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 t="str">
        <x:v>ORD-00648</x:v>
      </x:c>
      <x:c r="B649" s="1" t="str">
        <x:v>ACC-0181</x:v>
      </x:c>
      <x:c r="C649" s="19" t="n">
        <x:v>45551</x:v>
      </x:c>
      <x:c r="D649" s="1" t="str">
        <x:v>Cartoning Machine</x:v>
      </x:c>
      <x:c r="E649" s="1" t="str">
        <x:v>Northeast</x:v>
      </x:c>
      <x:c r="F649" s="20" t="n">
        <x:v>104100</x:v>
      </x:c>
      <x:c r="G649" s="1" t="str">
        <x:v>Repeat purchase</x:v>
      </x:c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 t="str">
        <x:v>ORD-00649</x:v>
      </x:c>
      <x:c r="B650" s="1" t="str">
        <x:v>ACC-0181</x:v>
      </x:c>
      <x:c r="C650" s="19" t="n">
        <x:v>45769</x:v>
      </x:c>
      <x:c r="D650" s="1" t="str">
        <x:v>Case Packer</x:v>
      </x:c>
      <x:c r="E650" s="1" t="str">
        <x:v>Northeast</x:v>
      </x:c>
      <x:c r="F650" s="20" t="n">
        <x:v>57600</x:v>
      </x:c>
      <x:c r="G650" s="1" t="str">
        <x:v>Repeat purchase</x:v>
      </x:c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 t="str">
        <x:v>ORD-00650</x:v>
      </x:c>
      <x:c r="B651" s="1" t="str">
        <x:v>ACC-0182</x:v>
      </x:c>
      <x:c r="C651" s="19" t="n">
        <x:v>45718</x:v>
      </x:c>
      <x:c r="D651" s="1" t="str">
        <x:v>Cartoning Machine</x:v>
      </x:c>
      <x:c r="E651" s="1" t="str">
        <x:v>Northeast</x:v>
      </x:c>
      <x:c r="F651" s="20" t="n">
        <x:v>98200</x:v>
      </x:c>
      <x:c r="G651" s="1" t="str">
        <x:v>New business</x:v>
      </x:c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 t="str">
        <x:v>ORD-00651</x:v>
      </x:c>
      <x:c r="B652" s="1" t="str">
        <x:v>ACC-0182</x:v>
      </x:c>
      <x:c r="C652" s="19" t="n">
        <x:v>45857</x:v>
      </x:c>
      <x:c r="D652" s="1" t="str">
        <x:v>Pouch Filler</x:v>
      </x:c>
      <x:c r="E652" s="1" t="str">
        <x:v>Northeast</x:v>
      </x:c>
      <x:c r="F652" s="20" t="n">
        <x:v>274200</x:v>
      </x:c>
      <x:c r="G652" s="1" t="str">
        <x:v>Repeat purchase</x:v>
      </x:c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 t="str">
        <x:v>ORD-00652</x:v>
      </x:c>
      <x:c r="B653" s="1" t="str">
        <x:v>ACC-0182</x:v>
      </x:c>
      <x:c r="C653" s="19" t="n">
        <x:v>45945</x:v>
      </x:c>
      <x:c r="D653" s="1" t="str">
        <x:v>Cartoning Machine</x:v>
      </x:c>
      <x:c r="E653" s="1" t="str">
        <x:v>Northeast</x:v>
      </x:c>
      <x:c r="F653" s="20" t="n">
        <x:v>110700</x:v>
      </x:c>
      <x:c r="G653" s="1" t="str">
        <x:v>Repeat purchase</x:v>
      </x:c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 t="str">
        <x:v>ORD-00653</x:v>
      </x:c>
      <x:c r="B654" s="1" t="str">
        <x:v>ACC-0182</x:v>
      </x:c>
      <x:c r="C654" s="19" t="n">
        <x:v>46131</x:v>
      </x:c>
      <x:c r="D654" s="1" t="str">
        <x:v>Labeling System</x:v>
      </x:c>
      <x:c r="E654" s="1" t="str">
        <x:v>Northeast</x:v>
      </x:c>
      <x:c r="F654" s="20" t="n">
        <x:v>275000</x:v>
      </x:c>
      <x:c r="G654" s="1" t="str">
        <x:v>Repeat purchase</x:v>
      </x:c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 t="str">
        <x:v>ORD-00654</x:v>
      </x:c>
      <x:c r="B655" s="1" t="str">
        <x:v>ACC-0182</x:v>
      </x:c>
      <x:c r="C655" s="19" t="n">
        <x:v>46181</x:v>
      </x:c>
      <x:c r="D655" s="1" t="str">
        <x:v>Labeling System</x:v>
      </x:c>
      <x:c r="E655" s="1" t="str">
        <x:v>Northeast</x:v>
      </x:c>
      <x:c r="F655" s="20" t="n">
        <x:v>122600</x:v>
      </x:c>
      <x:c r="G655" s="1" t="str">
        <x:v>Repeat purchase</x:v>
      </x:c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 t="str">
        <x:v>ORD-00655</x:v>
      </x:c>
      <x:c r="B656" s="1" t="str">
        <x:v>ACC-0182</x:v>
      </x:c>
      <x:c r="C656" s="19" t="n">
        <x:v>46198</x:v>
      </x:c>
      <x:c r="D656" s="1" t="str">
        <x:v>Cartoning Machine</x:v>
      </x:c>
      <x:c r="E656" s="1" t="str">
        <x:v>Northeast</x:v>
      </x:c>
      <x:c r="F656" s="20" t="n">
        <x:v>240800</x:v>
      </x:c>
      <x:c r="G656" s="1" t="str">
        <x:v>Repeat purchase</x:v>
      </x:c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 t="str">
        <x:v>ORD-00656</x:v>
      </x:c>
      <x:c r="B657" s="1" t="str">
        <x:v>ACC-0183</x:v>
      </x:c>
      <x:c r="C657" s="19" t="n">
        <x:v>45489</x:v>
      </x:c>
      <x:c r="D657" s="1" t="str">
        <x:v>Service &amp; Parts</x:v>
      </x:c>
      <x:c r="E657" s="1" t="str">
        <x:v>Northeast</x:v>
      </x:c>
      <x:c r="F657" s="20" t="n">
        <x:v>26600</x:v>
      </x:c>
      <x:c r="G657" s="1" t="str">
        <x:v>New business</x:v>
      </x:c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 t="str">
        <x:v>ORD-00657</x:v>
      </x:c>
      <x:c r="B658" s="1" t="str">
        <x:v>ACC-0183</x:v>
      </x:c>
      <x:c r="C658" s="19" t="n">
        <x:v>45559</x:v>
      </x:c>
      <x:c r="D658" s="1" t="str">
        <x:v>Labeling System</x:v>
      </x:c>
      <x:c r="E658" s="1" t="str">
        <x:v>Northeast</x:v>
      </x:c>
      <x:c r="F658" s="20" t="n">
        <x:v>249200</x:v>
      </x:c>
      <x:c r="G658" s="1" t="str">
        <x:v>Repeat purchase</x:v>
      </x:c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 t="str">
        <x:v>ORD-00658</x:v>
      </x:c>
      <x:c r="B659" s="1" t="str">
        <x:v>ACC-0183</x:v>
      </x:c>
      <x:c r="C659" s="19" t="n">
        <x:v>45725</x:v>
      </x:c>
      <x:c r="D659" s="1" t="str">
        <x:v>Case Packer</x:v>
      </x:c>
      <x:c r="E659" s="1" t="str">
        <x:v>Northeast</x:v>
      </x:c>
      <x:c r="F659" s="20" t="n">
        <x:v>235400</x:v>
      </x:c>
      <x:c r="G659" s="1" t="str">
        <x:v>Repeat purchase</x:v>
      </x:c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 t="str">
        <x:v>ORD-00659</x:v>
      </x:c>
      <x:c r="B660" s="1" t="str">
        <x:v>ACC-0183</x:v>
      </x:c>
      <x:c r="C660" s="19" t="n">
        <x:v>45830</x:v>
      </x:c>
      <x:c r="D660" s="1" t="str">
        <x:v>Case Packer</x:v>
      </x:c>
      <x:c r="E660" s="1" t="str">
        <x:v>Northeast</x:v>
      </x:c>
      <x:c r="F660" s="20" t="n">
        <x:v>68600</x:v>
      </x:c>
      <x:c r="G660" s="1" t="str">
        <x:v>Repeat purchase</x:v>
      </x:c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 t="str">
        <x:v>ORD-00660</x:v>
      </x:c>
      <x:c r="B661" s="1" t="str">
        <x:v>ACC-0183</x:v>
      </x:c>
      <x:c r="C661" s="19" t="n">
        <x:v>45895</x:v>
      </x:c>
      <x:c r="D661" s="1" t="str">
        <x:v>Service &amp; Parts</x:v>
      </x:c>
      <x:c r="E661" s="1" t="str">
        <x:v>Northeast</x:v>
      </x:c>
      <x:c r="F661" s="20" t="n">
        <x:v>32400</x:v>
      </x:c>
      <x:c r="G661" s="1" t="str">
        <x:v>Repeat purchase</x:v>
      </x:c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 t="str">
        <x:v>ORD-00661</x:v>
      </x:c>
      <x:c r="B662" s="1" t="str">
        <x:v>ACC-0183</x:v>
      </x:c>
      <x:c r="C662" s="19" t="n">
        <x:v>46095</x:v>
      </x:c>
      <x:c r="D662" s="1" t="str">
        <x:v>Service &amp; Parts</x:v>
      </x:c>
      <x:c r="E662" s="1" t="str">
        <x:v>Northeast</x:v>
      </x:c>
      <x:c r="F662" s="20" t="n">
        <x:v>25500</x:v>
      </x:c>
      <x:c r="G662" s="1" t="str">
        <x:v>Repeat purchase</x:v>
      </x:c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 t="str">
        <x:v>ORD-00662</x:v>
      </x:c>
      <x:c r="B663" s="1" t="str">
        <x:v>ACC-0183</x:v>
      </x:c>
      <x:c r="C663" s="19" t="n">
        <x:v>46143</x:v>
      </x:c>
      <x:c r="D663" s="1" t="str">
        <x:v>Case Packer</x:v>
      </x:c>
      <x:c r="E663" s="1" t="str">
        <x:v>Northeast</x:v>
      </x:c>
      <x:c r="F663" s="20" t="n">
        <x:v>210000</x:v>
      </x:c>
      <x:c r="G663" s="1" t="str">
        <x:v>Repeat purchase</x:v>
      </x:c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 t="str">
        <x:v>ORD-00663</x:v>
      </x:c>
      <x:c r="B664" s="1" t="str">
        <x:v>ACC-0183</x:v>
      </x:c>
      <x:c r="C664" s="19" t="n">
        <x:v>46177</x:v>
      </x:c>
      <x:c r="D664" s="1" t="str">
        <x:v>Labeling System</x:v>
      </x:c>
      <x:c r="E664" s="1" t="str">
        <x:v>Northeast</x:v>
      </x:c>
      <x:c r="F664" s="20" t="n">
        <x:v>118800</x:v>
      </x:c>
      <x:c r="G664" s="1" t="str">
        <x:v>Repeat purchase</x:v>
      </x:c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 t="str">
        <x:v>ORD-00664</x:v>
      </x:c>
      <x:c r="B665" s="1" t="str">
        <x:v>ACC-0184</x:v>
      </x:c>
      <x:c r="C665" s="19" t="n">
        <x:v>45452</x:v>
      </x:c>
      <x:c r="D665" s="1" t="str">
        <x:v>Service &amp; Parts</x:v>
      </x:c>
      <x:c r="E665" s="1" t="str">
        <x:v>Northeast</x:v>
      </x:c>
      <x:c r="F665" s="20" t="n">
        <x:v>17400</x:v>
      </x:c>
      <x:c r="G665" s="1" t="str">
        <x:v>New business</x:v>
      </x:c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 t="str">
        <x:v>ORD-00665</x:v>
      </x:c>
      <x:c r="B666" s="1" t="str">
        <x:v>ACC-0185</x:v>
      </x:c>
      <x:c r="C666" s="19" t="n">
        <x:v>45845</x:v>
      </x:c>
      <x:c r="D666" s="1" t="str">
        <x:v>Labeling System</x:v>
      </x:c>
      <x:c r="E666" s="1" t="str">
        <x:v>South</x:v>
      </x:c>
      <x:c r="F666" s="20" t="n">
        <x:v>83900</x:v>
      </x:c>
      <x:c r="G666" s="1" t="str">
        <x:v>New business</x:v>
      </x:c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 t="str">
        <x:v>ORD-00666</x:v>
      </x:c>
      <x:c r="B667" s="1" t="str">
        <x:v>ACC-0185</x:v>
      </x:c>
      <x:c r="C667" s="19" t="n">
        <x:v>45877</x:v>
      </x:c>
      <x:c r="D667" s="1" t="str">
        <x:v>Cartoning Machine</x:v>
      </x:c>
      <x:c r="E667" s="1" t="str">
        <x:v>South</x:v>
      </x:c>
      <x:c r="F667" s="20" t="n">
        <x:v>81100</x:v>
      </x:c>
      <x:c r="G667" s="1" t="str">
        <x:v>Repeat purchase</x:v>
      </x:c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 t="str">
        <x:v>ORD-00667</x:v>
      </x:c>
      <x:c r="B668" s="1" t="str">
        <x:v>ACC-0185</x:v>
      </x:c>
      <x:c r="C668" s="19" t="n">
        <x:v>45899</x:v>
      </x:c>
      <x:c r="D668" s="1" t="str">
        <x:v>Case Packer</x:v>
      </x:c>
      <x:c r="E668" s="1" t="str">
        <x:v>South</x:v>
      </x:c>
      <x:c r="F668" s="20" t="n">
        <x:v>114400</x:v>
      </x:c>
      <x:c r="G668" s="1" t="str">
        <x:v>Repeat purchase</x:v>
      </x:c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 t="str">
        <x:v>ORD-00668</x:v>
      </x:c>
      <x:c r="B669" s="1" t="str">
        <x:v>ACC-0185</x:v>
      </x:c>
      <x:c r="C669" s="19" t="n">
        <x:v>46078</x:v>
      </x:c>
      <x:c r="D669" s="1" t="str">
        <x:v>Case Packer</x:v>
      </x:c>
      <x:c r="E669" s="1" t="str">
        <x:v>South</x:v>
      </x:c>
      <x:c r="F669" s="20" t="n">
        <x:v>135100</x:v>
      </x:c>
      <x:c r="G669" s="1" t="str">
        <x:v>Repeat purchase</x:v>
      </x:c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 t="str">
        <x:v>ORD-00669</x:v>
      </x:c>
      <x:c r="B670" s="1" t="str">
        <x:v>ACC-0186</x:v>
      </x:c>
      <x:c r="C670" s="19" t="n">
        <x:v>45458</x:v>
      </x:c>
      <x:c r="D670" s="1" t="str">
        <x:v>Service &amp; Parts</x:v>
      </x:c>
      <x:c r="E670" s="1" t="str">
        <x:v>West</x:v>
      </x:c>
      <x:c r="F670" s="20" t="n">
        <x:v>33600</x:v>
      </x:c>
      <x:c r="G670" s="1" t="str">
        <x:v>New business</x:v>
      </x:c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 t="str">
        <x:v>ORD-00670</x:v>
      </x:c>
      <x:c r="B671" s="1" t="str">
        <x:v>ACC-0186</x:v>
      </x:c>
      <x:c r="C671" s="19" t="n">
        <x:v>45855</x:v>
      </x:c>
      <x:c r="D671" s="1" t="str">
        <x:v>Cartoning Machine</x:v>
      </x:c>
      <x:c r="E671" s="1" t="str">
        <x:v>West</x:v>
      </x:c>
      <x:c r="F671" s="20" t="n">
        <x:v>120300</x:v>
      </x:c>
      <x:c r="G671" s="1" t="str">
        <x:v>Repeat purchase</x:v>
      </x:c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 t="str">
        <x:v>ORD-00671</x:v>
      </x:c>
      <x:c r="B672" s="1" t="str">
        <x:v>ACC-0186</x:v>
      </x:c>
      <x:c r="C672" s="19" t="n">
        <x:v>45947</x:v>
      </x:c>
      <x:c r="D672" s="1" t="str">
        <x:v>Case Packer</x:v>
      </x:c>
      <x:c r="E672" s="1" t="str">
        <x:v>West</x:v>
      </x:c>
      <x:c r="F672" s="20" t="n">
        <x:v>177700</x:v>
      </x:c>
      <x:c r="G672" s="1" t="str">
        <x:v>Repeat purchase</x:v>
      </x:c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 t="str">
        <x:v>ORD-00672</x:v>
      </x:c>
      <x:c r="B673" s="1" t="str">
        <x:v>ACC-0187</x:v>
      </x:c>
      <x:c r="C673" s="19" t="n">
        <x:v>45483</x:v>
      </x:c>
      <x:c r="D673" s="1" t="str">
        <x:v>Case Packer</x:v>
      </x:c>
      <x:c r="E673" s="1" t="str">
        <x:v>Northeast</x:v>
      </x:c>
      <x:c r="F673" s="20" t="n">
        <x:v>130700</x:v>
      </x:c>
      <x:c r="G673" s="1" t="str">
        <x:v>New business</x:v>
      </x:c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 t="str">
        <x:v>ORD-00673</x:v>
      </x:c>
      <x:c r="B674" s="1" t="str">
        <x:v>ACC-0187</x:v>
      </x:c>
      <x:c r="C674" s="19" t="n">
        <x:v>45522</x:v>
      </x:c>
      <x:c r="D674" s="1" t="str">
        <x:v>Cartoning Machine</x:v>
      </x:c>
      <x:c r="E674" s="1" t="str">
        <x:v>Northeast</x:v>
      </x:c>
      <x:c r="F674" s="20" t="n">
        <x:v>198600</x:v>
      </x:c>
      <x:c r="G674" s="1" t="str">
        <x:v>Repeat purchase</x:v>
      </x:c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 t="str">
        <x:v>ORD-00674</x:v>
      </x:c>
      <x:c r="B675" s="1" t="str">
        <x:v>ACC-0187</x:v>
      </x:c>
      <x:c r="C675" s="19" t="n">
        <x:v>45650</x:v>
      </x:c>
      <x:c r="D675" s="1" t="str">
        <x:v>Pouch Filler</x:v>
      </x:c>
      <x:c r="E675" s="1" t="str">
        <x:v>Northeast</x:v>
      </x:c>
      <x:c r="F675" s="20" t="n">
        <x:v>94900</x:v>
      </x:c>
      <x:c r="G675" s="1" t="str">
        <x:v>Repeat purchase</x:v>
      </x:c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 t="str">
        <x:v>ORD-00675</x:v>
      </x:c>
      <x:c r="B676" s="1" t="str">
        <x:v>ACC-0187</x:v>
      </x:c>
      <x:c r="C676" s="19" t="n">
        <x:v>45701</x:v>
      </x:c>
      <x:c r="D676" s="1" t="str">
        <x:v>Service &amp; Parts</x:v>
      </x:c>
      <x:c r="E676" s="1" t="str">
        <x:v>Northeast</x:v>
      </x:c>
      <x:c r="F676" s="20" t="n">
        <x:v>14100</x:v>
      </x:c>
      <x:c r="G676" s="1" t="str">
        <x:v>Repeat purchase</x:v>
      </x:c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 t="str">
        <x:v>ORD-00676</x:v>
      </x:c>
      <x:c r="B677" s="1" t="str">
        <x:v>ACC-0187</x:v>
      </x:c>
      <x:c r="C677" s="19" t="n">
        <x:v>45815</x:v>
      </x:c>
      <x:c r="D677" s="1" t="str">
        <x:v>Cartoning Machine</x:v>
      </x:c>
      <x:c r="E677" s="1" t="str">
        <x:v>Northeast</x:v>
      </x:c>
      <x:c r="F677" s="20" t="n">
        <x:v>97800</x:v>
      </x:c>
      <x:c r="G677" s="1" t="str">
        <x:v>Repeat purchase</x:v>
      </x:c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 t="str">
        <x:v>ORD-00677</x:v>
      </x:c>
      <x:c r="B678" s="1" t="str">
        <x:v>ACC-0187</x:v>
      </x:c>
      <x:c r="C678" s="19" t="n">
        <x:v>46192</x:v>
      </x:c>
      <x:c r="D678" s="1" t="str">
        <x:v>Case Packer</x:v>
      </x:c>
      <x:c r="E678" s="1" t="str">
        <x:v>Northeast</x:v>
      </x:c>
      <x:c r="F678" s="20" t="n">
        <x:v>118400</x:v>
      </x:c>
      <x:c r="G678" s="1" t="str">
        <x:v>Repeat purchase</x:v>
      </x:c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 t="str">
        <x:v>ORD-00678</x:v>
      </x:c>
      <x:c r="B679" s="1" t="str">
        <x:v>ACC-0188</x:v>
      </x:c>
      <x:c r="C679" s="19" t="n">
        <x:v>45853</x:v>
      </x:c>
      <x:c r="D679" s="1" t="str">
        <x:v>Cartoning Machine</x:v>
      </x:c>
      <x:c r="E679" s="1" t="str">
        <x:v>Midwest</x:v>
      </x:c>
      <x:c r="F679" s="20" t="n">
        <x:v>45800</x:v>
      </x:c>
      <x:c r="G679" s="1" t="str">
        <x:v>New business</x:v>
      </x:c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 t="str">
        <x:v>ORD-00679</x:v>
      </x:c>
      <x:c r="B680" s="1" t="str">
        <x:v>ACC-0188</x:v>
      </x:c>
      <x:c r="C680" s="19" t="n">
        <x:v>45962</x:v>
      </x:c>
      <x:c r="D680" s="1" t="str">
        <x:v>Cartoning Machine</x:v>
      </x:c>
      <x:c r="E680" s="1" t="str">
        <x:v>Midwest</x:v>
      </x:c>
      <x:c r="F680" s="20" t="n">
        <x:v>170300</x:v>
      </x:c>
      <x:c r="G680" s="1" t="str">
        <x:v>Repeat purchase</x:v>
      </x:c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 t="str">
        <x:v>ORD-00680</x:v>
      </x:c>
      <x:c r="B681" s="1" t="str">
        <x:v>ACC-0188</x:v>
      </x:c>
      <x:c r="C681" s="19" t="n">
        <x:v>46013</x:v>
      </x:c>
      <x:c r="D681" s="1" t="str">
        <x:v>Cartoning Machine</x:v>
      </x:c>
      <x:c r="E681" s="1" t="str">
        <x:v>Midwest</x:v>
      </x:c>
      <x:c r="F681" s="20" t="n">
        <x:v>63000</x:v>
      </x:c>
      <x:c r="G681" s="1" t="str">
        <x:v>Repeat purchase</x:v>
      </x:c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 t="str">
        <x:v>ORD-00681</x:v>
      </x:c>
      <x:c r="B682" s="1" t="str">
        <x:v>ACC-0188</x:v>
      </x:c>
      <x:c r="C682" s="19" t="n">
        <x:v>46114</x:v>
      </x:c>
      <x:c r="D682" s="1" t="str">
        <x:v>Case Packer</x:v>
      </x:c>
      <x:c r="E682" s="1" t="str">
        <x:v>Midwest</x:v>
      </x:c>
      <x:c r="F682" s="20" t="n">
        <x:v>67900</x:v>
      </x:c>
      <x:c r="G682" s="1" t="str">
        <x:v>Repeat purchase</x:v>
      </x:c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 t="str">
        <x:v>ORD-00682</x:v>
      </x:c>
      <x:c r="B683" s="1" t="str">
        <x:v>ACC-0189</x:v>
      </x:c>
      <x:c r="C683" s="19" t="n">
        <x:v>46113</x:v>
      </x:c>
      <x:c r="D683" s="1" t="str">
        <x:v>Service &amp; Parts</x:v>
      </x:c>
      <x:c r="E683" s="1" t="str">
        <x:v>West</x:v>
      </x:c>
      <x:c r="F683" s="20" t="n">
        <x:v>29700</x:v>
      </x:c>
      <x:c r="G683" s="1" t="str">
        <x:v>New business</x:v>
      </x:c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 t="str">
        <x:v>ORD-00683</x:v>
      </x:c>
      <x:c r="B684" s="1" t="str">
        <x:v>ACC-0189</x:v>
      </x:c>
      <x:c r="C684" s="19" t="n">
        <x:v>46137</x:v>
      </x:c>
      <x:c r="D684" s="1" t="str">
        <x:v>Case Packer</x:v>
      </x:c>
      <x:c r="E684" s="1" t="str">
        <x:v>West</x:v>
      </x:c>
      <x:c r="F684" s="20" t="n">
        <x:v>60900</x:v>
      </x:c>
      <x:c r="G684" s="1" t="str">
        <x:v>Repeat purchase</x:v>
      </x:c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 t="str">
        <x:v>ORD-00684</x:v>
      </x:c>
      <x:c r="B685" s="1" t="str">
        <x:v>ACC-0190</x:v>
      </x:c>
      <x:c r="C685" s="19" t="n">
        <x:v>46075</x:v>
      </x:c>
      <x:c r="D685" s="1" t="str">
        <x:v>Service &amp; Parts</x:v>
      </x:c>
      <x:c r="E685" s="1" t="str">
        <x:v>Midwest</x:v>
      </x:c>
      <x:c r="F685" s="20" t="n">
        <x:v>15400</x:v>
      </x:c>
      <x:c r="G685" s="1" t="str">
        <x:v>New business</x:v>
      </x:c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 t="str">
        <x:v>ORD-00685</x:v>
      </x:c>
      <x:c r="B686" s="1" t="str">
        <x:v>ACC-0190</x:v>
      </x:c>
      <x:c r="C686" s="19" t="n">
        <x:v>46136</x:v>
      </x:c>
      <x:c r="D686" s="1" t="str">
        <x:v>Cartoning Machine</x:v>
      </x:c>
      <x:c r="E686" s="1" t="str">
        <x:v>Midwest</x:v>
      </x:c>
      <x:c r="F686" s="20" t="n">
        <x:v>132300</x:v>
      </x:c>
      <x:c r="G686" s="1" t="str">
        <x:v>Repeat purchase</x:v>
      </x:c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 t="str">
        <x:v>ORD-00686</x:v>
      </x:c>
      <x:c r="B687" s="1" t="str">
        <x:v>ACC-0191</x:v>
      </x:c>
      <x:c r="C687" s="19" t="n">
        <x:v>45639</x:v>
      </x:c>
      <x:c r="D687" s="1" t="str">
        <x:v>Case Packer</x:v>
      </x:c>
      <x:c r="E687" s="1" t="str">
        <x:v>Northeast</x:v>
      </x:c>
      <x:c r="F687" s="20" t="n">
        <x:v>64000</x:v>
      </x:c>
      <x:c r="G687" s="1" t="str">
        <x:v>New business</x:v>
      </x:c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 t="str">
        <x:v>ORD-00687</x:v>
      </x:c>
      <x:c r="B688" s="1" t="str">
        <x:v>ACC-0191</x:v>
      </x:c>
      <x:c r="C688" s="19" t="n">
        <x:v>45696</x:v>
      </x:c>
      <x:c r="D688" s="1" t="str">
        <x:v>Cartoning Machine</x:v>
      </x:c>
      <x:c r="E688" s="1" t="str">
        <x:v>Northeast</x:v>
      </x:c>
      <x:c r="F688" s="20" t="n">
        <x:v>183400</x:v>
      </x:c>
      <x:c r="G688" s="1" t="str">
        <x:v>Repeat purchase</x:v>
      </x:c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 t="str">
        <x:v>ORD-00688</x:v>
      </x:c>
      <x:c r="B689" s="1" t="str">
        <x:v>ACC-0191</x:v>
      </x:c>
      <x:c r="C689" s="19" t="n">
        <x:v>45822</x:v>
      </x:c>
      <x:c r="D689" s="1" t="str">
        <x:v>Service &amp; Parts</x:v>
      </x:c>
      <x:c r="E689" s="1" t="str">
        <x:v>Northeast</x:v>
      </x:c>
      <x:c r="F689" s="20" t="n">
        <x:v>16200</x:v>
      </x:c>
      <x:c r="G689" s="1" t="str">
        <x:v>Repeat purchase</x:v>
      </x:c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 t="str">
        <x:v>ORD-00689</x:v>
      </x:c>
      <x:c r="B690" s="1" t="str">
        <x:v>ACC-0191</x:v>
      </x:c>
      <x:c r="C690" s="19" t="n">
        <x:v>45835</x:v>
      </x:c>
      <x:c r="D690" s="1" t="str">
        <x:v>Service &amp; Parts</x:v>
      </x:c>
      <x:c r="E690" s="1" t="str">
        <x:v>Northeast</x:v>
      </x:c>
      <x:c r="F690" s="20" t="n">
        <x:v>16100</x:v>
      </x:c>
      <x:c r="G690" s="1" t="str">
        <x:v>Repeat purchase</x:v>
      </x:c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 t="str">
        <x:v>ORD-00690</x:v>
      </x:c>
      <x:c r="B691" s="1" t="str">
        <x:v>ACC-0191</x:v>
      </x:c>
      <x:c r="C691" s="19" t="n">
        <x:v>45941</x:v>
      </x:c>
      <x:c r="D691" s="1" t="str">
        <x:v>Case Packer</x:v>
      </x:c>
      <x:c r="E691" s="1" t="str">
        <x:v>Northeast</x:v>
      </x:c>
      <x:c r="F691" s="20" t="n">
        <x:v>164900</x:v>
      </x:c>
      <x:c r="G691" s="1" t="str">
        <x:v>Repeat purchase</x:v>
      </x:c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 t="str">
        <x:v>ORD-00691</x:v>
      </x:c>
      <x:c r="B692" s="1" t="str">
        <x:v>ACC-0191</x:v>
      </x:c>
      <x:c r="C692" s="19" t="n">
        <x:v>46026</x:v>
      </x:c>
      <x:c r="D692" s="1" t="str">
        <x:v>Cartoning Machine</x:v>
      </x:c>
      <x:c r="E692" s="1" t="str">
        <x:v>Northeast</x:v>
      </x:c>
      <x:c r="F692" s="20" t="n">
        <x:v>185200</x:v>
      </x:c>
      <x:c r="G692" s="1" t="str">
        <x:v>Repeat purchase</x:v>
      </x:c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 t="str">
        <x:v>ORD-00692</x:v>
      </x:c>
      <x:c r="B693" s="1" t="str">
        <x:v>ACC-0191</x:v>
      </x:c>
      <x:c r="C693" s="19" t="n">
        <x:v>46055</x:v>
      </x:c>
      <x:c r="D693" s="1" t="str">
        <x:v>Case Packer</x:v>
      </x:c>
      <x:c r="E693" s="1" t="str">
        <x:v>Northeast</x:v>
      </x:c>
      <x:c r="F693" s="20" t="n">
        <x:v>70500</x:v>
      </x:c>
      <x:c r="G693" s="1" t="str">
        <x:v>Repeat purchase</x:v>
      </x:c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 t="str">
        <x:v>ORD-00693</x:v>
      </x:c>
      <x:c r="B694" s="1" t="str">
        <x:v>ACC-0192</x:v>
      </x:c>
      <x:c r="C694" s="19" t="n">
        <x:v>45376</x:v>
      </x:c>
      <x:c r="D694" s="1" t="str">
        <x:v>Labeling System</x:v>
      </x:c>
      <x:c r="E694" s="1" t="str">
        <x:v>Northeast</x:v>
      </x:c>
      <x:c r="F694" s="20" t="n">
        <x:v>123000</x:v>
      </x:c>
      <x:c r="G694" s="1" t="str">
        <x:v>New business</x:v>
      </x:c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 t="str">
        <x:v>ORD-00694</x:v>
      </x:c>
      <x:c r="B695" s="1" t="str">
        <x:v>ACC-0192</x:v>
      </x:c>
      <x:c r="C695" s="19" t="n">
        <x:v>45660</x:v>
      </x:c>
      <x:c r="D695" s="1" t="str">
        <x:v>Labeling System</x:v>
      </x:c>
      <x:c r="E695" s="1" t="str">
        <x:v>Northeast</x:v>
      </x:c>
      <x:c r="F695" s="20" t="n">
        <x:v>173100</x:v>
      </x:c>
      <x:c r="G695" s="1" t="str">
        <x:v>Repeat purchase</x:v>
      </x:c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 t="str">
        <x:v>ORD-00695</x:v>
      </x:c>
      <x:c r="B696" s="1" t="str">
        <x:v>ACC-0192</x:v>
      </x:c>
      <x:c r="C696" s="19" t="n">
        <x:v>46050</x:v>
      </x:c>
      <x:c r="D696" s="1" t="str">
        <x:v>Case Packer</x:v>
      </x:c>
      <x:c r="E696" s="1" t="str">
        <x:v>Northeast</x:v>
      </x:c>
      <x:c r="F696" s="20" t="n">
        <x:v>207600</x:v>
      </x:c>
      <x:c r="G696" s="1" t="str">
        <x:v>Repeat purchase</x:v>
      </x:c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 t="str">
        <x:v>ORD-00696</x:v>
      </x:c>
      <x:c r="B697" s="1" t="str">
        <x:v>ACC-0193</x:v>
      </x:c>
      <x:c r="C697" s="19" t="n">
        <x:v>46033</x:v>
      </x:c>
      <x:c r="D697" s="1" t="str">
        <x:v>Cartoning Machine</x:v>
      </x:c>
      <x:c r="E697" s="1" t="str">
        <x:v>South</x:v>
      </x:c>
      <x:c r="F697" s="20" t="n">
        <x:v>164900</x:v>
      </x:c>
      <x:c r="G697" s="1" t="str">
        <x:v>New business</x:v>
      </x:c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 t="str">
        <x:v>ORD-00697</x:v>
      </x:c>
      <x:c r="B698" s="1" t="str">
        <x:v>ACC-0193</x:v>
      </x:c>
      <x:c r="C698" s="19" t="n">
        <x:v>46059</x:v>
      </x:c>
      <x:c r="D698" s="1" t="str">
        <x:v>Service &amp; Parts</x:v>
      </x:c>
      <x:c r="E698" s="1" t="str">
        <x:v>South</x:v>
      </x:c>
      <x:c r="F698" s="20" t="n">
        <x:v>26700</x:v>
      </x:c>
      <x:c r="G698" s="1" t="str">
        <x:v>Repeat purchase</x:v>
      </x:c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 t="str">
        <x:v>ORD-00698</x:v>
      </x:c>
      <x:c r="B699" s="1" t="str">
        <x:v>ACC-0193</x:v>
      </x:c>
      <x:c r="C699" s="19" t="n">
        <x:v>46201</x:v>
      </x:c>
      <x:c r="D699" s="1" t="str">
        <x:v>Cartoning Machine</x:v>
      </x:c>
      <x:c r="E699" s="1" t="str">
        <x:v>South</x:v>
      </x:c>
      <x:c r="F699" s="20" t="n">
        <x:v>100500</x:v>
      </x:c>
      <x:c r="G699" s="1" t="str">
        <x:v>Repeat purchase</x:v>
      </x:c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 t="str">
        <x:v>ORD-00699</x:v>
      </x:c>
      <x:c r="B700" s="1" t="str">
        <x:v>ACC-0194</x:v>
      </x:c>
      <x:c r="C700" s="19" t="n">
        <x:v>45967</x:v>
      </x:c>
      <x:c r="D700" s="1" t="str">
        <x:v>Pouch Filler</x:v>
      </x:c>
      <x:c r="E700" s="1" t="str">
        <x:v>Midwest</x:v>
      </x:c>
      <x:c r="F700" s="20" t="n">
        <x:v>72000</x:v>
      </x:c>
      <x:c r="G700" s="1" t="str">
        <x:v>New business</x:v>
      </x:c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 t="str">
        <x:v>ORD-00700</x:v>
      </x:c>
      <x:c r="B701" s="1" t="str">
        <x:v>ACC-0194</x:v>
      </x:c>
      <x:c r="C701" s="19" t="n">
        <x:v>46085</x:v>
      </x:c>
      <x:c r="D701" s="1" t="str">
        <x:v>Cartoning Machine</x:v>
      </x:c>
      <x:c r="E701" s="1" t="str">
        <x:v>Midwest</x:v>
      </x:c>
      <x:c r="F701" s="20" t="n">
        <x:v>165500</x:v>
      </x:c>
      <x:c r="G701" s="1" t="str">
        <x:v>Repeat purchase</x:v>
      </x:c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 t="str">
        <x:v>ORD-00701</x:v>
      </x:c>
      <x:c r="B702" s="1" t="str">
        <x:v>ACC-0195</x:v>
      </x:c>
      <x:c r="C702" s="19" t="n">
        <x:v>45474</x:v>
      </x:c>
      <x:c r="D702" s="1" t="str">
        <x:v>Cartoning Machine</x:v>
      </x:c>
      <x:c r="E702" s="1" t="str">
        <x:v>West</x:v>
      </x:c>
      <x:c r="F702" s="20" t="n">
        <x:v>79100</x:v>
      </x:c>
      <x:c r="G702" s="1" t="str">
        <x:v>New business</x:v>
      </x:c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 t="str">
        <x:v>ORD-00702</x:v>
      </x:c>
      <x:c r="B703" s="1" t="str">
        <x:v>ACC-0195</x:v>
      </x:c>
      <x:c r="C703" s="19" t="n">
        <x:v>45771</x:v>
      </x:c>
      <x:c r="D703" s="1" t="str">
        <x:v>Case Packer</x:v>
      </x:c>
      <x:c r="E703" s="1" t="str">
        <x:v>West</x:v>
      </x:c>
      <x:c r="F703" s="20" t="n">
        <x:v>116700</x:v>
      </x:c>
      <x:c r="G703" s="1" t="str">
        <x:v>Repeat purchase</x:v>
      </x:c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 t="str">
        <x:v>ORD-00703</x:v>
      </x:c>
      <x:c r="B704" s="1" t="str">
        <x:v>ACC-0195</x:v>
      </x:c>
      <x:c r="C704" s="19" t="n">
        <x:v>46089</x:v>
      </x:c>
      <x:c r="D704" s="1" t="str">
        <x:v>Labeling System</x:v>
      </x:c>
      <x:c r="E704" s="1" t="str">
        <x:v>West</x:v>
      </x:c>
      <x:c r="F704" s="20" t="n">
        <x:v>147700</x:v>
      </x:c>
      <x:c r="G704" s="1" t="str">
        <x:v>Repeat purchase</x:v>
      </x:c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 t="str">
        <x:v>ORD-00704</x:v>
      </x:c>
      <x:c r="B705" s="1" t="str">
        <x:v>ACC-0195</x:v>
      </x:c>
      <x:c r="C705" s="19" t="n">
        <x:v>46177</x:v>
      </x:c>
      <x:c r="D705" s="1" t="str">
        <x:v>Service &amp; Parts</x:v>
      </x:c>
      <x:c r="E705" s="1" t="str">
        <x:v>West</x:v>
      </x:c>
      <x:c r="F705" s="20" t="n">
        <x:v>15300</x:v>
      </x:c>
      <x:c r="G705" s="1" t="str">
        <x:v>Repeat purchase</x:v>
      </x:c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 t="str">
        <x:v>ORD-00705</x:v>
      </x:c>
      <x:c r="B706" s="1" t="str">
        <x:v>ACC-0196</x:v>
      </x:c>
      <x:c r="C706" s="19" t="n">
        <x:v>45824</x:v>
      </x:c>
      <x:c r="D706" s="1" t="str">
        <x:v>Service &amp; Parts</x:v>
      </x:c>
      <x:c r="E706" s="1" t="str">
        <x:v>West</x:v>
      </x:c>
      <x:c r="F706" s="20" t="n">
        <x:v>30100</x:v>
      </x:c>
      <x:c r="G706" s="1" t="str">
        <x:v>New business</x:v>
      </x:c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 t="str">
        <x:v>ORD-00706</x:v>
      </x:c>
      <x:c r="B707" s="1" t="str">
        <x:v>ACC-0196</x:v>
      </x:c>
      <x:c r="C707" s="19" t="n">
        <x:v>45878</x:v>
      </x:c>
      <x:c r="D707" s="1" t="str">
        <x:v>Service &amp; Parts</x:v>
      </x:c>
      <x:c r="E707" s="1" t="str">
        <x:v>West</x:v>
      </x:c>
      <x:c r="F707" s="20" t="n">
        <x:v>15600</x:v>
      </x:c>
      <x:c r="G707" s="1" t="str">
        <x:v>Repeat purchase</x:v>
      </x:c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 t="str">
        <x:v>ORD-00707</x:v>
      </x:c>
      <x:c r="B708" s="1" t="str">
        <x:v>ACC-0196</x:v>
      </x:c>
      <x:c r="C708" s="19" t="n">
        <x:v>45886</x:v>
      </x:c>
      <x:c r="D708" s="1" t="str">
        <x:v>Service &amp; Parts</x:v>
      </x:c>
      <x:c r="E708" s="1" t="str">
        <x:v>West</x:v>
      </x:c>
      <x:c r="F708" s="20" t="n">
        <x:v>32100</x:v>
      </x:c>
      <x:c r="G708" s="1" t="str">
        <x:v>Repeat purchase</x:v>
      </x:c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 t="str">
        <x:v>ORD-00708</x:v>
      </x:c>
      <x:c r="B709" s="1" t="str">
        <x:v>ACC-0196</x:v>
      </x:c>
      <x:c r="C709" s="19" t="n">
        <x:v>45958</x:v>
      </x:c>
      <x:c r="D709" s="1" t="str">
        <x:v>Labeling System</x:v>
      </x:c>
      <x:c r="E709" s="1" t="str">
        <x:v>West</x:v>
      </x:c>
      <x:c r="F709" s="20" t="n">
        <x:v>64900</x:v>
      </x:c>
      <x:c r="G709" s="1" t="str">
        <x:v>Repeat purchase</x:v>
      </x:c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 t="str">
        <x:v>ORD-00709</x:v>
      </x:c>
      <x:c r="B710" s="1" t="str">
        <x:v>ACC-0196</x:v>
      </x:c>
      <x:c r="C710" s="19" t="n">
        <x:v>45989</x:v>
      </x:c>
      <x:c r="D710" s="1" t="str">
        <x:v>Case Packer</x:v>
      </x:c>
      <x:c r="E710" s="1" t="str">
        <x:v>West</x:v>
      </x:c>
      <x:c r="F710" s="20" t="n">
        <x:v>86200</x:v>
      </x:c>
      <x:c r="G710" s="1" t="str">
        <x:v>Repeat purchase</x:v>
      </x:c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 t="str">
        <x:v>ORD-00710</x:v>
      </x:c>
      <x:c r="B711" s="1" t="str">
        <x:v>ACC-0197</x:v>
      </x:c>
      <x:c r="C711" s="19" t="n">
        <x:v>45758</x:v>
      </x:c>
      <x:c r="D711" s="1" t="str">
        <x:v>Service &amp; Parts</x:v>
      </x:c>
      <x:c r="E711" s="1" t="str">
        <x:v>Midwest</x:v>
      </x:c>
      <x:c r="F711" s="20" t="n">
        <x:v>24300</x:v>
      </x:c>
      <x:c r="G711" s="1" t="str">
        <x:v>New business</x:v>
      </x:c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 t="str">
        <x:v>ORD-00711</x:v>
      </x:c>
      <x:c r="B712" s="1" t="str">
        <x:v>ACC-0197</x:v>
      </x:c>
      <x:c r="C712" s="19" t="n">
        <x:v>45800</x:v>
      </x:c>
      <x:c r="D712" s="1" t="str">
        <x:v>Case Packer</x:v>
      </x:c>
      <x:c r="E712" s="1" t="str">
        <x:v>Midwest</x:v>
      </x:c>
      <x:c r="F712" s="20" t="n">
        <x:v>74700</x:v>
      </x:c>
      <x:c r="G712" s="1" t="str">
        <x:v>Repeat purchase</x:v>
      </x:c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 t="str">
        <x:v>ORD-00712</x:v>
      </x:c>
      <x:c r="B713" s="1" t="str">
        <x:v>ACC-0197</x:v>
      </x:c>
      <x:c r="C713" s="19" t="n">
        <x:v>45911</x:v>
      </x:c>
      <x:c r="D713" s="1" t="str">
        <x:v>Case Packer</x:v>
      </x:c>
      <x:c r="E713" s="1" t="str">
        <x:v>Midwest</x:v>
      </x:c>
      <x:c r="F713" s="20" t="n">
        <x:v>66400</x:v>
      </x:c>
      <x:c r="G713" s="1" t="str">
        <x:v>Repeat purchase</x:v>
      </x:c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 t="str">
        <x:v>ORD-00713</x:v>
      </x:c>
      <x:c r="B714" s="1" t="str">
        <x:v>ACC-0197</x:v>
      </x:c>
      <x:c r="C714" s="19" t="n">
        <x:v>45971</x:v>
      </x:c>
      <x:c r="D714" s="1" t="str">
        <x:v>Service &amp; Parts</x:v>
      </x:c>
      <x:c r="E714" s="1" t="str">
        <x:v>Midwest</x:v>
      </x:c>
      <x:c r="F714" s="20" t="n">
        <x:v>13600</x:v>
      </x:c>
      <x:c r="G714" s="1" t="str">
        <x:v>Repeat purchase</x:v>
      </x:c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 t="str">
        <x:v>ORD-00714</x:v>
      </x:c>
      <x:c r="B715" s="1" t="str">
        <x:v>ACC-0197</x:v>
      </x:c>
      <x:c r="C715" s="19" t="n">
        <x:v>46063</x:v>
      </x:c>
      <x:c r="D715" s="1" t="str">
        <x:v>Labeling System</x:v>
      </x:c>
      <x:c r="E715" s="1" t="str">
        <x:v>Midwest</x:v>
      </x:c>
      <x:c r="F715" s="20" t="n">
        <x:v>58400</x:v>
      </x:c>
      <x:c r="G715" s="1" t="str">
        <x:v>Repeat purchase</x:v>
      </x:c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 t="str">
        <x:v>ORD-00715</x:v>
      </x:c>
      <x:c r="B716" s="1" t="str">
        <x:v>ACC-0197</x:v>
      </x:c>
      <x:c r="C716" s="19" t="n">
        <x:v>46099</x:v>
      </x:c>
      <x:c r="D716" s="1" t="str">
        <x:v>Labeling System</x:v>
      </x:c>
      <x:c r="E716" s="1" t="str">
        <x:v>Midwest</x:v>
      </x:c>
      <x:c r="F716" s="20" t="n">
        <x:v>188800</x:v>
      </x:c>
      <x:c r="G716" s="1" t="str">
        <x:v>Repeat purchase</x:v>
      </x:c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 t="str">
        <x:v>ORD-00716</x:v>
      </x:c>
      <x:c r="B717" s="1" t="str">
        <x:v>ACC-0198</x:v>
      </x:c>
      <x:c r="C717" s="19" t="n">
        <x:v>45349</x:v>
      </x:c>
      <x:c r="D717" s="1" t="str">
        <x:v>Labeling System</x:v>
      </x:c>
      <x:c r="E717" s="1" t="str">
        <x:v>Northeast</x:v>
      </x:c>
      <x:c r="F717" s="20" t="n">
        <x:v>142400</x:v>
      </x:c>
      <x:c r="G717" s="1" t="str">
        <x:v>New business</x:v>
      </x:c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 t="str">
        <x:v>ORD-00717</x:v>
      </x:c>
      <x:c r="B718" s="1" t="str">
        <x:v>ACC-0198</x:v>
      </x:c>
      <x:c r="C718" s="19" t="n">
        <x:v>45761</x:v>
      </x:c>
      <x:c r="D718" s="1" t="str">
        <x:v>Cartoning Machine</x:v>
      </x:c>
      <x:c r="E718" s="1" t="str">
        <x:v>Northeast</x:v>
      </x:c>
      <x:c r="F718" s="20" t="n">
        <x:v>68800</x:v>
      </x:c>
      <x:c r="G718" s="1" t="str">
        <x:v>Repeat purchase</x:v>
      </x:c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 t="str">
        <x:v>ORD-00718</x:v>
      </x:c>
      <x:c r="B719" s="1" t="str">
        <x:v>ACC-0198</x:v>
      </x:c>
      <x:c r="C719" s="19" t="n">
        <x:v>46156</x:v>
      </x:c>
      <x:c r="D719" s="1" t="str">
        <x:v>Cartoning Machine</x:v>
      </x:c>
      <x:c r="E719" s="1" t="str">
        <x:v>Northeast</x:v>
      </x:c>
      <x:c r="F719" s="20" t="n">
        <x:v>133800</x:v>
      </x:c>
      <x:c r="G719" s="1" t="str">
        <x:v>Repeat purchase</x:v>
      </x:c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 t="str">
        <x:v>ORD-00719</x:v>
      </x:c>
      <x:c r="B720" s="1" t="str">
        <x:v>ACC-0199</x:v>
      </x:c>
      <x:c r="C720" s="19" t="n">
        <x:v>45927</x:v>
      </x:c>
      <x:c r="D720" s="1" t="str">
        <x:v>Service &amp; Parts</x:v>
      </x:c>
      <x:c r="E720" s="1" t="str">
        <x:v>South</x:v>
      </x:c>
      <x:c r="F720" s="20" t="n">
        <x:v>11200</x:v>
      </x:c>
      <x:c r="G720" s="1" t="str">
        <x:v>New business</x:v>
      </x:c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 t="str">
        <x:v>ORD-00720</x:v>
      </x:c>
      <x:c r="B721" s="1" t="str">
        <x:v>ACC-0199</x:v>
      </x:c>
      <x:c r="C721" s="19" t="n">
        <x:v>46053</x:v>
      </x:c>
      <x:c r="D721" s="1" t="str">
        <x:v>Cartoning Machine</x:v>
      </x:c>
      <x:c r="E721" s="1" t="str">
        <x:v>South</x:v>
      </x:c>
      <x:c r="F721" s="20" t="n">
        <x:v>44300</x:v>
      </x:c>
      <x:c r="G721" s="1" t="str">
        <x:v>Repeat purchase</x:v>
      </x:c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 t="str">
        <x:v>ORD-00721</x:v>
      </x:c>
      <x:c r="B722" s="1" t="str">
        <x:v>ACC-0199</x:v>
      </x:c>
      <x:c r="C722" s="19" t="n">
        <x:v>46160</x:v>
      </x:c>
      <x:c r="D722" s="1" t="str">
        <x:v>Pouch Filler</x:v>
      </x:c>
      <x:c r="E722" s="1" t="str">
        <x:v>South</x:v>
      </x:c>
      <x:c r="F722" s="20" t="n">
        <x:v>54600</x:v>
      </x:c>
      <x:c r="G722" s="1" t="str">
        <x:v>Repeat purchase</x:v>
      </x:c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 t="str">
        <x:v>ORD-00722</x:v>
      </x:c>
      <x:c r="B723" s="1" t="str">
        <x:v>ACC-0200</x:v>
      </x:c>
      <x:c r="C723" s="19" t="n">
        <x:v>45416</x:v>
      </x:c>
      <x:c r="D723" s="1" t="str">
        <x:v>Pouch Filler</x:v>
      </x:c>
      <x:c r="E723" s="1" t="str">
        <x:v>West</x:v>
      </x:c>
      <x:c r="F723" s="20" t="n">
        <x:v>128600</x:v>
      </x:c>
      <x:c r="G723" s="1" t="str">
        <x:v>New business</x:v>
      </x:c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 t="str">
        <x:v>ORD-00723</x:v>
      </x:c>
      <x:c r="B724" s="1" t="str">
        <x:v>ACC-0200</x:v>
      </x:c>
      <x:c r="C724" s="19" t="n">
        <x:v>46037</x:v>
      </x:c>
      <x:c r="D724" s="1" t="str">
        <x:v>Service &amp; Parts</x:v>
      </x:c>
      <x:c r="E724" s="1" t="str">
        <x:v>West</x:v>
      </x:c>
      <x:c r="F724" s="20" t="n">
        <x:v>16900</x:v>
      </x:c>
      <x:c r="G724" s="1" t="str">
        <x:v>Repeat purchase</x:v>
      </x:c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 t="str">
        <x:v>ORD-00724</x:v>
      </x:c>
      <x:c r="B725" s="1" t="str">
        <x:v>ACC-0201</x:v>
      </x:c>
      <x:c r="C725" s="19" t="n">
        <x:v>46152</x:v>
      </x:c>
      <x:c r="D725" s="1" t="str">
        <x:v>Case Packer</x:v>
      </x:c>
      <x:c r="E725" s="1" t="str">
        <x:v>Midwest</x:v>
      </x:c>
      <x:c r="F725" s="20" t="n">
        <x:v>53100</x:v>
      </x:c>
      <x:c r="G725" s="1" t="str">
        <x:v>New business</x:v>
      </x:c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 t="str">
        <x:v>ORD-00725</x:v>
      </x:c>
      <x:c r="B726" s="1" t="str">
        <x:v>ACC-0201</x:v>
      </x:c>
      <x:c r="C726" s="19" t="n">
        <x:v>46197</x:v>
      </x:c>
      <x:c r="D726" s="1" t="str">
        <x:v>Pouch Filler</x:v>
      </x:c>
      <x:c r="E726" s="1" t="str">
        <x:v>Midwest</x:v>
      </x:c>
      <x:c r="F726" s="20" t="n">
        <x:v>122300</x:v>
      </x:c>
      <x:c r="G726" s="1" t="str">
        <x:v>Repeat purchase</x:v>
      </x:c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 t="str">
        <x:v>ORD-00726</x:v>
      </x:c>
      <x:c r="B727" s="1" t="str">
        <x:v>ACC-0202</x:v>
      </x:c>
      <x:c r="C727" s="19" t="n">
        <x:v>45323</x:v>
      </x:c>
      <x:c r="D727" s="1" t="str">
        <x:v>Case Packer</x:v>
      </x:c>
      <x:c r="E727" s="1" t="str">
        <x:v>Midwest</x:v>
      </x:c>
      <x:c r="F727" s="20" t="n">
        <x:v>195200</x:v>
      </x:c>
      <x:c r="G727" s="1" t="str">
        <x:v>New business</x:v>
      </x:c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 t="str">
        <x:v>ORD-00727</x:v>
      </x:c>
      <x:c r="B728" s="1" t="str">
        <x:v>ACC-0202</x:v>
      </x:c>
      <x:c r="C728" s="19" t="n">
        <x:v>45644</x:v>
      </x:c>
      <x:c r="D728" s="1" t="str">
        <x:v>Cartoning Machine</x:v>
      </x:c>
      <x:c r="E728" s="1" t="str">
        <x:v>Midwest</x:v>
      </x:c>
      <x:c r="F728" s="20" t="n">
        <x:v>198800</x:v>
      </x:c>
      <x:c r="G728" s="1" t="str">
        <x:v>Repeat purchase</x:v>
      </x:c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 t="str">
        <x:v>ORD-00728</x:v>
      </x:c>
      <x:c r="B729" s="1" t="str">
        <x:v>ACC-0202</x:v>
      </x:c>
      <x:c r="C729" s="19" t="n">
        <x:v>45681</x:v>
      </x:c>
      <x:c r="D729" s="1" t="str">
        <x:v>Case Packer</x:v>
      </x:c>
      <x:c r="E729" s="1" t="str">
        <x:v>Midwest</x:v>
      </x:c>
      <x:c r="F729" s="20" t="n">
        <x:v>116100</x:v>
      </x:c>
      <x:c r="G729" s="1" t="str">
        <x:v>Repeat purchase</x:v>
      </x:c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 t="str">
        <x:v>ORD-00729</x:v>
      </x:c>
      <x:c r="B730" s="1" t="str">
        <x:v>ACC-0202</x:v>
      </x:c>
      <x:c r="C730" s="19" t="n">
        <x:v>46086</x:v>
      </x:c>
      <x:c r="D730" s="1" t="str">
        <x:v>Case Packer</x:v>
      </x:c>
      <x:c r="E730" s="1" t="str">
        <x:v>Midwest</x:v>
      </x:c>
      <x:c r="F730" s="20" t="n">
        <x:v>80100</x:v>
      </x:c>
      <x:c r="G730" s="1" t="str">
        <x:v>Repeat purchase</x:v>
      </x:c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 t="str">
        <x:v>ORD-00730</x:v>
      </x:c>
      <x:c r="B731" s="1" t="str">
        <x:v>ACC-0202</x:v>
      </x:c>
      <x:c r="C731" s="19" t="n">
        <x:v>46158</x:v>
      </x:c>
      <x:c r="D731" s="1" t="str">
        <x:v>Pouch Filler</x:v>
      </x:c>
      <x:c r="E731" s="1" t="str">
        <x:v>Midwest</x:v>
      </x:c>
      <x:c r="F731" s="20" t="n">
        <x:v>136300</x:v>
      </x:c>
      <x:c r="G731" s="1" t="str">
        <x:v>Repeat purchase</x:v>
      </x:c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 t="str">
        <x:v>ORD-00731</x:v>
      </x:c>
      <x:c r="B732" s="1" t="str">
        <x:v>ACC-0202</x:v>
      </x:c>
      <x:c r="C732" s="19" t="n">
        <x:v>46196</x:v>
      </x:c>
      <x:c r="D732" s="1" t="str">
        <x:v>Case Packer</x:v>
      </x:c>
      <x:c r="E732" s="1" t="str">
        <x:v>Midwest</x:v>
      </x:c>
      <x:c r="F732" s="20" t="n">
        <x:v>209300</x:v>
      </x:c>
      <x:c r="G732" s="1" t="str">
        <x:v>Repeat purchase</x:v>
      </x:c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 t="str">
        <x:v>ORD-00732</x:v>
      </x:c>
      <x:c r="B733" s="1" t="str">
        <x:v>ACC-0203</x:v>
      </x:c>
      <x:c r="C733" s="19" t="n">
        <x:v>45972</x:v>
      </x:c>
      <x:c r="D733" s="1" t="str">
        <x:v>Service &amp; Parts</x:v>
      </x:c>
      <x:c r="E733" s="1" t="str">
        <x:v>South</x:v>
      </x:c>
      <x:c r="F733" s="20" t="n">
        <x:v>19100</x:v>
      </x:c>
      <x:c r="G733" s="1" t="str">
        <x:v>New business</x:v>
      </x:c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 t="str">
        <x:v>ORD-00733</x:v>
      </x:c>
      <x:c r="B734" s="1" t="str">
        <x:v>ACC-0203</x:v>
      </x:c>
      <x:c r="C734" s="19" t="n">
        <x:v>45987</x:v>
      </x:c>
      <x:c r="D734" s="1" t="str">
        <x:v>Labeling System</x:v>
      </x:c>
      <x:c r="E734" s="1" t="str">
        <x:v>South</x:v>
      </x:c>
      <x:c r="F734" s="20" t="n">
        <x:v>127500</x:v>
      </x:c>
      <x:c r="G734" s="1" t="str">
        <x:v>Repeat purchase</x:v>
      </x:c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 t="str">
        <x:v>ORD-00734</x:v>
      </x:c>
      <x:c r="B735" s="1" t="str">
        <x:v>ACC-0203</x:v>
      </x:c>
      <x:c r="C735" s="19" t="n">
        <x:v>46157</x:v>
      </x:c>
      <x:c r="D735" s="1" t="str">
        <x:v>Cartoning Machine</x:v>
      </x:c>
      <x:c r="E735" s="1" t="str">
        <x:v>South</x:v>
      </x:c>
      <x:c r="F735" s="20" t="n">
        <x:v>207400</x:v>
      </x:c>
      <x:c r="G735" s="1" t="str">
        <x:v>Repeat purchase</x:v>
      </x:c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 t="str">
        <x:v>ORD-00735</x:v>
      </x:c>
      <x:c r="B736" s="1" t="str">
        <x:v>ACC-0203</x:v>
      </x:c>
      <x:c r="C736" s="19" t="n">
        <x:v>46195</x:v>
      </x:c>
      <x:c r="D736" s="1" t="str">
        <x:v>Service &amp; Parts</x:v>
      </x:c>
      <x:c r="E736" s="1" t="str">
        <x:v>South</x:v>
      </x:c>
      <x:c r="F736" s="20" t="n">
        <x:v>19900</x:v>
      </x:c>
      <x:c r="G736" s="1" t="str">
        <x:v>Repeat purchase</x:v>
      </x:c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 t="str">
        <x:v>ORD-00736</x:v>
      </x:c>
      <x:c r="B737" s="1" t="str">
        <x:v>ACC-0204</x:v>
      </x:c>
      <x:c r="C737" s="19" t="n">
        <x:v>45522</x:v>
      </x:c>
      <x:c r="D737" s="1" t="str">
        <x:v>Pouch Filler</x:v>
      </x:c>
      <x:c r="E737" s="1" t="str">
        <x:v>West</x:v>
      </x:c>
      <x:c r="F737" s="20" t="n">
        <x:v>66000</x:v>
      </x:c>
      <x:c r="G737" s="1" t="str">
        <x:v>New business</x:v>
      </x:c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 t="str">
        <x:v>ORD-00737</x:v>
      </x:c>
      <x:c r="B738" s="1" t="str">
        <x:v>ACC-0204</x:v>
      </x:c>
      <x:c r="C738" s="19" t="n">
        <x:v>45776</x:v>
      </x:c>
      <x:c r="D738" s="1" t="str">
        <x:v>Pouch Filler</x:v>
      </x:c>
      <x:c r="E738" s="1" t="str">
        <x:v>West</x:v>
      </x:c>
      <x:c r="F738" s="20" t="n">
        <x:v>193300</x:v>
      </x:c>
      <x:c r="G738" s="1" t="str">
        <x:v>Repeat purchase</x:v>
      </x:c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 t="str">
        <x:v>ORD-00738</x:v>
      </x:c>
      <x:c r="B739" s="1" t="str">
        <x:v>ACC-0205</x:v>
      </x:c>
      <x:c r="C739" s="19" t="n">
        <x:v>45447</x:v>
      </x:c>
      <x:c r="D739" s="1" t="str">
        <x:v>Labeling System</x:v>
      </x:c>
      <x:c r="E739" s="1" t="str">
        <x:v>West</x:v>
      </x:c>
      <x:c r="F739" s="20" t="n">
        <x:v>54200</x:v>
      </x:c>
      <x:c r="G739" s="1" t="str">
        <x:v>New business</x:v>
      </x:c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 t="str">
        <x:v>ORD-00739</x:v>
      </x:c>
      <x:c r="B740" s="1" t="str">
        <x:v>ACC-0205</x:v>
      </x:c>
      <x:c r="C740" s="19" t="n">
        <x:v>45922</x:v>
      </x:c>
      <x:c r="D740" s="1" t="str">
        <x:v>Pouch Filler</x:v>
      </x:c>
      <x:c r="E740" s="1" t="str">
        <x:v>West</x:v>
      </x:c>
      <x:c r="F740" s="20" t="n">
        <x:v>106500</x:v>
      </x:c>
      <x:c r="G740" s="1" t="str">
        <x:v>Repeat purchase</x:v>
      </x:c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 t="str">
        <x:v>ORD-00740</x:v>
      </x:c>
      <x:c r="B741" s="1" t="str">
        <x:v>ACC-0206</x:v>
      </x:c>
      <x:c r="C741" s="19" t="n">
        <x:v>45882</x:v>
      </x:c>
      <x:c r="D741" s="1" t="str">
        <x:v>Pouch Filler</x:v>
      </x:c>
      <x:c r="E741" s="1" t="str">
        <x:v>West</x:v>
      </x:c>
      <x:c r="F741" s="20" t="n">
        <x:v>174500</x:v>
      </x:c>
      <x:c r="G741" s="1" t="str">
        <x:v>New business</x:v>
      </x:c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 t="str">
        <x:v>ORD-00741</x:v>
      </x:c>
      <x:c r="B742" s="1" t="str">
        <x:v>ACC-0206</x:v>
      </x:c>
      <x:c r="C742" s="19" t="n">
        <x:v>45936</x:v>
      </x:c>
      <x:c r="D742" s="1" t="str">
        <x:v>Case Packer</x:v>
      </x:c>
      <x:c r="E742" s="1" t="str">
        <x:v>West</x:v>
      </x:c>
      <x:c r="F742" s="20" t="n">
        <x:v>131800</x:v>
      </x:c>
      <x:c r="G742" s="1" t="str">
        <x:v>Repeat purchase</x:v>
      </x:c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 t="str">
        <x:v>ORD-00742</x:v>
      </x:c>
      <x:c r="B743" s="1" t="str">
        <x:v>ACC-0206</x:v>
      </x:c>
      <x:c r="C743" s="19" t="n">
        <x:v>46034</x:v>
      </x:c>
      <x:c r="D743" s="1" t="str">
        <x:v>Service &amp; Parts</x:v>
      </x:c>
      <x:c r="E743" s="1" t="str">
        <x:v>West</x:v>
      </x:c>
      <x:c r="F743" s="20" t="n">
        <x:v>29500</x:v>
      </x:c>
      <x:c r="G743" s="1" t="str">
        <x:v>Repeat purchase</x:v>
      </x:c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 t="str">
        <x:v>ORD-00743</x:v>
      </x:c>
      <x:c r="B744" s="1" t="str">
        <x:v>ACC-0206</x:v>
      </x:c>
      <x:c r="C744" s="19" t="n">
        <x:v>46056</x:v>
      </x:c>
      <x:c r="D744" s="1" t="str">
        <x:v>Cartoning Machine</x:v>
      </x:c>
      <x:c r="E744" s="1" t="str">
        <x:v>West</x:v>
      </x:c>
      <x:c r="F744" s="20" t="n">
        <x:v>171200</x:v>
      </x:c>
      <x:c r="G744" s="1" t="str">
        <x:v>Repeat purchase</x:v>
      </x:c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 t="str">
        <x:v>ORD-00744</x:v>
      </x:c>
      <x:c r="B745" s="1" t="str">
        <x:v>ACC-0206</x:v>
      </x:c>
      <x:c r="C745" s="19" t="n">
        <x:v>46102</x:v>
      </x:c>
      <x:c r="D745" s="1" t="str">
        <x:v>Case Packer</x:v>
      </x:c>
      <x:c r="E745" s="1" t="str">
        <x:v>West</x:v>
      </x:c>
      <x:c r="F745" s="20" t="n">
        <x:v>94500</x:v>
      </x:c>
      <x:c r="G745" s="1" t="str">
        <x:v>Repeat purchase</x:v>
      </x:c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 t="str">
        <x:v>ORD-00745</x:v>
      </x:c>
      <x:c r="B746" s="1" t="str">
        <x:v>ACC-0207</x:v>
      </x:c>
      <x:c r="C746" s="19" t="n">
        <x:v>45868</x:v>
      </x:c>
      <x:c r="D746" s="1" t="str">
        <x:v>Pouch Filler</x:v>
      </x:c>
      <x:c r="E746" s="1" t="str">
        <x:v>West</x:v>
      </x:c>
      <x:c r="F746" s="20" t="n">
        <x:v>235700</x:v>
      </x:c>
      <x:c r="G746" s="1" t="str">
        <x:v>New business</x:v>
      </x:c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 t="str">
        <x:v>ORD-00746</x:v>
      </x:c>
      <x:c r="B747" s="1" t="str">
        <x:v>ACC-0207</x:v>
      </x:c>
      <x:c r="C747" s="19" t="n">
        <x:v>45966</x:v>
      </x:c>
      <x:c r="D747" s="1" t="str">
        <x:v>Pouch Filler</x:v>
      </x:c>
      <x:c r="E747" s="1" t="str">
        <x:v>West</x:v>
      </x:c>
      <x:c r="F747" s="20" t="n">
        <x:v>108900</x:v>
      </x:c>
      <x:c r="G747" s="1" t="str">
        <x:v>Repeat purchase</x:v>
      </x:c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 t="str">
        <x:v>ORD-00747</x:v>
      </x:c>
      <x:c r="B748" s="1" t="str">
        <x:v>ACC-0207</x:v>
      </x:c>
      <x:c r="C748" s="19" t="n">
        <x:v>46101</x:v>
      </x:c>
      <x:c r="D748" s="1" t="str">
        <x:v>Case Packer</x:v>
      </x:c>
      <x:c r="E748" s="1" t="str">
        <x:v>West</x:v>
      </x:c>
      <x:c r="F748" s="20" t="n">
        <x:v>171700</x:v>
      </x:c>
      <x:c r="G748" s="1" t="str">
        <x:v>Repeat purchase</x:v>
      </x:c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 t="str">
        <x:v>ORD-00748</x:v>
      </x:c>
      <x:c r="B749" s="1" t="str">
        <x:v>ACC-0207</x:v>
      </x:c>
      <x:c r="C749" s="19" t="n">
        <x:v>46149</x:v>
      </x:c>
      <x:c r="D749" s="1" t="str">
        <x:v>Case Packer</x:v>
      </x:c>
      <x:c r="E749" s="1" t="str">
        <x:v>West</x:v>
      </x:c>
      <x:c r="F749" s="20" t="n">
        <x:v>175100</x:v>
      </x:c>
      <x:c r="G749" s="1" t="str">
        <x:v>Repeat purchase</x:v>
      </x:c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 t="str">
        <x:v>ORD-00749</x:v>
      </x:c>
      <x:c r="B750" s="1" t="str">
        <x:v>ACC-0207</x:v>
      </x:c>
      <x:c r="C750" s="19" t="n">
        <x:v>46162</x:v>
      </x:c>
      <x:c r="D750" s="1" t="str">
        <x:v>Pouch Filler</x:v>
      </x:c>
      <x:c r="E750" s="1" t="str">
        <x:v>West</x:v>
      </x:c>
      <x:c r="F750" s="20" t="n">
        <x:v>258400</x:v>
      </x:c>
      <x:c r="G750" s="1" t="str">
        <x:v>Repeat purchase</x:v>
      </x:c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 t="str">
        <x:v>ORD-00750</x:v>
      </x:c>
      <x:c r="B751" s="1" t="str">
        <x:v>ACC-0208</x:v>
      </x:c>
      <x:c r="C751" s="19" t="n">
        <x:v>45554</x:v>
      </x:c>
      <x:c r="D751" s="1" t="str">
        <x:v>Pouch Filler</x:v>
      </x:c>
      <x:c r="E751" s="1" t="str">
        <x:v>Midwest</x:v>
      </x:c>
      <x:c r="F751" s="20" t="n">
        <x:v>93900</x:v>
      </x:c>
      <x:c r="G751" s="1" t="str">
        <x:v>New business</x:v>
      </x:c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 t="str">
        <x:v>ORD-00751</x:v>
      </x:c>
      <x:c r="B752" s="1" t="str">
        <x:v>ACC-0208</x:v>
      </x:c>
      <x:c r="C752" s="19" t="n">
        <x:v>45904</x:v>
      </x:c>
      <x:c r="D752" s="1" t="str">
        <x:v>Service &amp; Parts</x:v>
      </x:c>
      <x:c r="E752" s="1" t="str">
        <x:v>Midwest</x:v>
      </x:c>
      <x:c r="F752" s="20" t="n">
        <x:v>25300</x:v>
      </x:c>
      <x:c r="G752" s="1" t="str">
        <x:v>Repeat purchase</x:v>
      </x:c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 t="str">
        <x:v>ORD-00752</x:v>
      </x:c>
      <x:c r="B753" s="1" t="str">
        <x:v>ACC-0208</x:v>
      </x:c>
      <x:c r="C753" s="19" t="n">
        <x:v>45928</x:v>
      </x:c>
      <x:c r="D753" s="1" t="str">
        <x:v>Cartoning Machine</x:v>
      </x:c>
      <x:c r="E753" s="1" t="str">
        <x:v>Midwest</x:v>
      </x:c>
      <x:c r="F753" s="20" t="n">
        <x:v>66400</x:v>
      </x:c>
      <x:c r="G753" s="1" t="str">
        <x:v>Repeat purchase</x:v>
      </x:c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 t="str">
        <x:v>ORD-00753</x:v>
      </x:c>
      <x:c r="B754" s="1" t="str">
        <x:v>ACC-0208</x:v>
      </x:c>
      <x:c r="C754" s="19" t="n">
        <x:v>45992</x:v>
      </x:c>
      <x:c r="D754" s="1" t="str">
        <x:v>Service &amp; Parts</x:v>
      </x:c>
      <x:c r="E754" s="1" t="str">
        <x:v>Midwest</x:v>
      </x:c>
      <x:c r="F754" s="20" t="n">
        <x:v>17500</x:v>
      </x:c>
      <x:c r="G754" s="1" t="str">
        <x:v>Repeat purchase</x:v>
      </x:c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 t="str">
        <x:v>ORD-00754</x:v>
      </x:c>
      <x:c r="B755" s="1" t="str">
        <x:v>ACC-0208</x:v>
      </x:c>
      <x:c r="C755" s="19" t="n">
        <x:v>46138</x:v>
      </x:c>
      <x:c r="D755" s="1" t="str">
        <x:v>Cartoning Machine</x:v>
      </x:c>
      <x:c r="E755" s="1" t="str">
        <x:v>Midwest</x:v>
      </x:c>
      <x:c r="F755" s="20" t="n">
        <x:v>118900</x:v>
      </x:c>
      <x:c r="G755" s="1" t="str">
        <x:v>Repeat purchase</x:v>
      </x:c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 t="str">
        <x:v>ORD-00755</x:v>
      </x:c>
      <x:c r="B756" s="1" t="str">
        <x:v>ACC-0209</x:v>
      </x:c>
      <x:c r="C756" s="19" t="n">
        <x:v>45484</x:v>
      </x:c>
      <x:c r="D756" s="1" t="str">
        <x:v>Labeling System</x:v>
      </x:c>
      <x:c r="E756" s="1" t="str">
        <x:v>South</x:v>
      </x:c>
      <x:c r="F756" s="20" t="n">
        <x:v>69900</x:v>
      </x:c>
      <x:c r="G756" s="1" t="str">
        <x:v>New business</x:v>
      </x:c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 t="str">
        <x:v>ORD-00756</x:v>
      </x:c>
      <x:c r="B757" s="1" t="str">
        <x:v>ACC-0209</x:v>
      </x:c>
      <x:c r="C757" s="19" t="n">
        <x:v>46075</x:v>
      </x:c>
      <x:c r="D757" s="1" t="str">
        <x:v>Cartoning Machine</x:v>
      </x:c>
      <x:c r="E757" s="1" t="str">
        <x:v>South</x:v>
      </x:c>
      <x:c r="F757" s="20" t="n">
        <x:v>130500</x:v>
      </x:c>
      <x:c r="G757" s="1" t="str">
        <x:v>Repeat purchase</x:v>
      </x:c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 t="str">
        <x:v>ORD-00757</x:v>
      </x:c>
      <x:c r="B758" s="1" t="str">
        <x:v>ACC-0210</x:v>
      </x:c>
      <x:c r="C758" s="19" t="n">
        <x:v>46022</x:v>
      </x:c>
      <x:c r="D758" s="1" t="str">
        <x:v>Case Packer</x:v>
      </x:c>
      <x:c r="E758" s="1" t="str">
        <x:v>Northeast</x:v>
      </x:c>
      <x:c r="F758" s="20" t="n">
        <x:v>94000</x:v>
      </x:c>
      <x:c r="G758" s="1" t="str">
        <x:v>New business</x:v>
      </x:c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 t="str">
        <x:v>ORD-00758</x:v>
      </x:c>
      <x:c r="B759" s="1" t="str">
        <x:v>ACC-0210</x:v>
      </x:c>
      <x:c r="C759" s="19" t="n">
        <x:v>46172</x:v>
      </x:c>
      <x:c r="D759" s="1" t="str">
        <x:v>Service &amp; Parts</x:v>
      </x:c>
      <x:c r="E759" s="1" t="str">
        <x:v>Northeast</x:v>
      </x:c>
      <x:c r="F759" s="20" t="n">
        <x:v>11800</x:v>
      </x:c>
      <x:c r="G759" s="1" t="str">
        <x:v>Repeat purchase</x:v>
      </x:c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 t="str">
        <x:v>ORD-00759</x:v>
      </x:c>
      <x:c r="B760" s="1" t="str">
        <x:v>ACC-0210</x:v>
      </x:c>
      <x:c r="C760" s="19" t="n">
        <x:v>46192</x:v>
      </x:c>
      <x:c r="D760" s="1" t="str">
        <x:v>Pouch Filler</x:v>
      </x:c>
      <x:c r="E760" s="1" t="str">
        <x:v>Northeast</x:v>
      </x:c>
      <x:c r="F760" s="20" t="n">
        <x:v>134100</x:v>
      </x:c>
      <x:c r="G760" s="1" t="str">
        <x:v>Repeat purchase</x:v>
      </x:c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 t="str">
        <x:v>ORD-00760</x:v>
      </x:c>
      <x:c r="B761" s="1" t="str">
        <x:v>ACC-0211</x:v>
      </x:c>
      <x:c r="C761" s="19" t="n">
        <x:v>45419</x:v>
      </x:c>
      <x:c r="D761" s="1" t="str">
        <x:v>Pouch Filler</x:v>
      </x:c>
      <x:c r="E761" s="1" t="str">
        <x:v>Midwest</x:v>
      </x:c>
      <x:c r="F761" s="20" t="n">
        <x:v>206400</x:v>
      </x:c>
      <x:c r="G761" s="1" t="str">
        <x:v>New business</x:v>
      </x:c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 t="str">
        <x:v>ORD-00761</x:v>
      </x:c>
      <x:c r="B762" s="1" t="str">
        <x:v>ACC-0211</x:v>
      </x:c>
      <x:c r="C762" s="19" t="n">
        <x:v>45426</x:v>
      </x:c>
      <x:c r="D762" s="1" t="str">
        <x:v>Service &amp; Parts</x:v>
      </x:c>
      <x:c r="E762" s="1" t="str">
        <x:v>Midwest</x:v>
      </x:c>
      <x:c r="F762" s="20" t="n">
        <x:v>20100</x:v>
      </x:c>
      <x:c r="G762" s="1" t="str">
        <x:v>Repeat purchase</x:v>
      </x:c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 t="str">
        <x:v>ORD-00762</x:v>
      </x:c>
      <x:c r="B763" s="1" t="str">
        <x:v>ACC-0211</x:v>
      </x:c>
      <x:c r="C763" s="19" t="n">
        <x:v>45550</x:v>
      </x:c>
      <x:c r="D763" s="1" t="str">
        <x:v>Pouch Filler</x:v>
      </x:c>
      <x:c r="E763" s="1" t="str">
        <x:v>Midwest</x:v>
      </x:c>
      <x:c r="F763" s="20" t="n">
        <x:v>181100</x:v>
      </x:c>
      <x:c r="G763" s="1" t="str">
        <x:v>Repeat purchase</x:v>
      </x:c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 t="str">
        <x:v>ORD-00763</x:v>
      </x:c>
      <x:c r="B764" s="1" t="str">
        <x:v>ACC-0211</x:v>
      </x:c>
      <x:c r="C764" s="19" t="n">
        <x:v>45554</x:v>
      </x:c>
      <x:c r="D764" s="1" t="str">
        <x:v>Case Packer</x:v>
      </x:c>
      <x:c r="E764" s="1" t="str">
        <x:v>Midwest</x:v>
      </x:c>
      <x:c r="F764" s="20" t="n">
        <x:v>153200</x:v>
      </x:c>
      <x:c r="G764" s="1" t="str">
        <x:v>Repeat purchase</x:v>
      </x:c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 t="str">
        <x:v>ORD-00764</x:v>
      </x:c>
      <x:c r="B765" s="1" t="str">
        <x:v>ACC-0211</x:v>
      </x:c>
      <x:c r="C765" s="19" t="n">
        <x:v>45640</x:v>
      </x:c>
      <x:c r="D765" s="1" t="str">
        <x:v>Pouch Filler</x:v>
      </x:c>
      <x:c r="E765" s="1" t="str">
        <x:v>Midwest</x:v>
      </x:c>
      <x:c r="F765" s="20" t="n">
        <x:v>193600</x:v>
      </x:c>
      <x:c r="G765" s="1" t="str">
        <x:v>Repeat purchase</x:v>
      </x:c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 t="str">
        <x:v>ORD-00765</x:v>
      </x:c>
      <x:c r="B766" s="1" t="str">
        <x:v>ACC-0211</x:v>
      </x:c>
      <x:c r="C766" s="19" t="n">
        <x:v>45697</x:v>
      </x:c>
      <x:c r="D766" s="1" t="str">
        <x:v>Labeling System</x:v>
      </x:c>
      <x:c r="E766" s="1" t="str">
        <x:v>Midwest</x:v>
      </x:c>
      <x:c r="F766" s="20" t="n">
        <x:v>184500</x:v>
      </x:c>
      <x:c r="G766" s="1" t="str">
        <x:v>Repeat purchase</x:v>
      </x:c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 t="str">
        <x:v>ORD-00766</x:v>
      </x:c>
      <x:c r="B767" s="1" t="str">
        <x:v>ACC-0211</x:v>
      </x:c>
      <x:c r="C767" s="19" t="n">
        <x:v>45740</x:v>
      </x:c>
      <x:c r="D767" s="1" t="str">
        <x:v>Cartoning Machine</x:v>
      </x:c>
      <x:c r="E767" s="1" t="str">
        <x:v>Midwest</x:v>
      </x:c>
      <x:c r="F767" s="20" t="n">
        <x:v>109100</x:v>
      </x:c>
      <x:c r="G767" s="1" t="str">
        <x:v>Repeat purchase</x:v>
      </x:c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 t="str">
        <x:v>ORD-00767</x:v>
      </x:c>
      <x:c r="B768" s="1" t="str">
        <x:v>ACC-0211</x:v>
      </x:c>
      <x:c r="C768" s="19" t="n">
        <x:v>45899</x:v>
      </x:c>
      <x:c r="D768" s="1" t="str">
        <x:v>Pouch Filler</x:v>
      </x:c>
      <x:c r="E768" s="1" t="str">
        <x:v>Midwest</x:v>
      </x:c>
      <x:c r="F768" s="20" t="n">
        <x:v>201200</x:v>
      </x:c>
      <x:c r="G768" s="1" t="str">
        <x:v>Repeat purchase</x:v>
      </x:c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 t="str">
        <x:v>ORD-00768</x:v>
      </x:c>
      <x:c r="B769" s="1" t="str">
        <x:v>ACC-0212</x:v>
      </x:c>
      <x:c r="C769" s="19" t="n">
        <x:v>46037</x:v>
      </x:c>
      <x:c r="D769" s="1" t="str">
        <x:v>Labeling System</x:v>
      </x:c>
      <x:c r="E769" s="1" t="str">
        <x:v>South</x:v>
      </x:c>
      <x:c r="F769" s="20" t="n">
        <x:v>93800</x:v>
      </x:c>
      <x:c r="G769" s="1" t="str">
        <x:v>New business</x:v>
      </x:c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 t="str">
        <x:v>ORD-00769</x:v>
      </x:c>
      <x:c r="B770" s="1" t="str">
        <x:v>ACC-0212</x:v>
      </x:c>
      <x:c r="C770" s="19" t="n">
        <x:v>46107</x:v>
      </x:c>
      <x:c r="D770" s="1" t="str">
        <x:v>Case Packer</x:v>
      </x:c>
      <x:c r="E770" s="1" t="str">
        <x:v>South</x:v>
      </x:c>
      <x:c r="F770" s="20" t="n">
        <x:v>136900</x:v>
      </x:c>
      <x:c r="G770" s="1" t="str">
        <x:v>Repeat purchase</x:v>
      </x:c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 t="str">
        <x:v>ORD-00770</x:v>
      </x:c>
      <x:c r="B771" s="1" t="str">
        <x:v>ACC-0212</x:v>
      </x:c>
      <x:c r="C771" s="19" t="n">
        <x:v>46129</x:v>
      </x:c>
      <x:c r="D771" s="1" t="str">
        <x:v>Pouch Filler</x:v>
      </x:c>
      <x:c r="E771" s="1" t="str">
        <x:v>South</x:v>
      </x:c>
      <x:c r="F771" s="20" t="n">
        <x:v>172000</x:v>
      </x:c>
      <x:c r="G771" s="1" t="str">
        <x:v>Repeat purchase</x:v>
      </x:c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 t="str">
        <x:v>ORD-00771</x:v>
      </x:c>
      <x:c r="B772" s="1" t="str">
        <x:v>ACC-0213</x:v>
      </x:c>
      <x:c r="C772" s="19" t="n">
        <x:v>45998</x:v>
      </x:c>
      <x:c r="D772" s="1" t="str">
        <x:v>Service &amp; Parts</x:v>
      </x:c>
      <x:c r="E772" s="1" t="str">
        <x:v>Midwest</x:v>
      </x:c>
      <x:c r="F772" s="20" t="n">
        <x:v>8600</x:v>
      </x:c>
      <x:c r="G772" s="1" t="str">
        <x:v>New business</x:v>
      </x:c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 t="str">
        <x:v>ORD-00772</x:v>
      </x:c>
      <x:c r="B773" s="1" t="str">
        <x:v>ACC-0213</x:v>
      </x:c>
      <x:c r="C773" s="19" t="n">
        <x:v>46178</x:v>
      </x:c>
      <x:c r="D773" s="1" t="str">
        <x:v>Case Packer</x:v>
      </x:c>
      <x:c r="E773" s="1" t="str">
        <x:v>Midwest</x:v>
      </x:c>
      <x:c r="F773" s="20" t="n">
        <x:v>115300</x:v>
      </x:c>
      <x:c r="G773" s="1" t="str">
        <x:v>Repeat purchase</x:v>
      </x:c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 t="str">
        <x:v>ORD-00773</x:v>
      </x:c>
      <x:c r="B774" s="1" t="str">
        <x:v>ACC-0214</x:v>
      </x:c>
      <x:c r="C774" s="19" t="n">
        <x:v>45403</x:v>
      </x:c>
      <x:c r="D774" s="1" t="str">
        <x:v>Pouch Filler</x:v>
      </x:c>
      <x:c r="E774" s="1" t="str">
        <x:v>West</x:v>
      </x:c>
      <x:c r="F774" s="20" t="n">
        <x:v>139200</x:v>
      </x:c>
      <x:c r="G774" s="1" t="str">
        <x:v>New business</x:v>
      </x:c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 t="str">
        <x:v>ORD-00774</x:v>
      </x:c>
      <x:c r="B775" s="1" t="str">
        <x:v>ACC-0214</x:v>
      </x:c>
      <x:c r="C775" s="19" t="n">
        <x:v>45446</x:v>
      </x:c>
      <x:c r="D775" s="1" t="str">
        <x:v>Labeling System</x:v>
      </x:c>
      <x:c r="E775" s="1" t="str">
        <x:v>West</x:v>
      </x:c>
      <x:c r="F775" s="20" t="n">
        <x:v>49200</x:v>
      </x:c>
      <x:c r="G775" s="1" t="str">
        <x:v>Repeat purchase</x:v>
      </x:c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 t="str">
        <x:v>ORD-00775</x:v>
      </x:c>
      <x:c r="B776" s="1" t="str">
        <x:v>ACC-0214</x:v>
      </x:c>
      <x:c r="C776" s="19" t="n">
        <x:v>45741</x:v>
      </x:c>
      <x:c r="D776" s="1" t="str">
        <x:v>Labeling System</x:v>
      </x:c>
      <x:c r="E776" s="1" t="str">
        <x:v>West</x:v>
      </x:c>
      <x:c r="F776" s="20" t="n">
        <x:v>82100</x:v>
      </x:c>
      <x:c r="G776" s="1" t="str">
        <x:v>Repeat purchase</x:v>
      </x:c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 t="str">
        <x:v>ORD-00776</x:v>
      </x:c>
      <x:c r="B777" s="1" t="str">
        <x:v>ACC-0214</x:v>
      </x:c>
      <x:c r="C777" s="19" t="n">
        <x:v>46140</x:v>
      </x:c>
      <x:c r="D777" s="1" t="str">
        <x:v>Case Packer</x:v>
      </x:c>
      <x:c r="E777" s="1" t="str">
        <x:v>West</x:v>
      </x:c>
      <x:c r="F777" s="20" t="n">
        <x:v>92700</x:v>
      </x:c>
      <x:c r="G777" s="1" t="str">
        <x:v>Repeat purchase</x:v>
      </x:c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 t="str">
        <x:v>ORD-00777</x:v>
      </x:c>
      <x:c r="B778" s="1" t="str">
        <x:v>ACC-0215</x:v>
      </x:c>
      <x:c r="C778" s="19" t="n">
        <x:v>46165</x:v>
      </x:c>
      <x:c r="D778" s="1" t="str">
        <x:v>Case Packer</x:v>
      </x:c>
      <x:c r="E778" s="1" t="str">
        <x:v>South</x:v>
      </x:c>
      <x:c r="F778" s="20" t="n">
        <x:v>209400</x:v>
      </x:c>
      <x:c r="G778" s="1" t="str">
        <x:v>New business</x:v>
      </x:c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 t="str">
        <x:v>ORD-00778</x:v>
      </x:c>
      <x:c r="B779" s="1" t="str">
        <x:v>ACC-0215</x:v>
      </x:c>
      <x:c r="C779" s="19" t="n">
        <x:v>46180</x:v>
      </x:c>
      <x:c r="D779" s="1" t="str">
        <x:v>Case Packer</x:v>
      </x:c>
      <x:c r="E779" s="1" t="str">
        <x:v>South</x:v>
      </x:c>
      <x:c r="F779" s="20" t="n">
        <x:v>98600</x:v>
      </x:c>
      <x:c r="G779" s="1" t="str">
        <x:v>Repeat purchase</x:v>
      </x:c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 t="str">
        <x:v>ORD-00779</x:v>
      </x:c>
      <x:c r="B780" s="1" t="str">
        <x:v>ACC-0216</x:v>
      </x:c>
      <x:c r="C780" s="19" t="n">
        <x:v>45838</x:v>
      </x:c>
      <x:c r="D780" s="1" t="str">
        <x:v>Pouch Filler</x:v>
      </x:c>
      <x:c r="E780" s="1" t="str">
        <x:v>South</x:v>
      </x:c>
      <x:c r="F780" s="20" t="n">
        <x:v>243900</x:v>
      </x:c>
      <x:c r="G780" s="1" t="str">
        <x:v>New business</x:v>
      </x:c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 t="str">
        <x:v>ORD-00780</x:v>
      </x:c>
      <x:c r="B781" s="1" t="str">
        <x:v>ACC-0216</x:v>
      </x:c>
      <x:c r="C781" s="19" t="n">
        <x:v>45991</x:v>
      </x:c>
      <x:c r="D781" s="1" t="str">
        <x:v>Case Packer</x:v>
      </x:c>
      <x:c r="E781" s="1" t="str">
        <x:v>South</x:v>
      </x:c>
      <x:c r="F781" s="20" t="n">
        <x:v>122900</x:v>
      </x:c>
      <x:c r="G781" s="1" t="str">
        <x:v>Repeat purchase</x:v>
      </x:c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 t="str">
        <x:v>ORD-00781</x:v>
      </x:c>
      <x:c r="B782" s="1" t="str">
        <x:v>ACC-0216</x:v>
      </x:c>
      <x:c r="C782" s="19" t="n">
        <x:v>46026</x:v>
      </x:c>
      <x:c r="D782" s="1" t="str">
        <x:v>Service &amp; Parts</x:v>
      </x:c>
      <x:c r="E782" s="1" t="str">
        <x:v>South</x:v>
      </x:c>
      <x:c r="F782" s="20" t="n">
        <x:v>18200</x:v>
      </x:c>
      <x:c r="G782" s="1" t="str">
        <x:v>Repeat purchase</x:v>
      </x:c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 t="str">
        <x:v>ORD-00782</x:v>
      </x:c>
      <x:c r="B783" s="1" t="str">
        <x:v>ACC-0216</x:v>
      </x:c>
      <x:c r="C783" s="19" t="n">
        <x:v>46049</x:v>
      </x:c>
      <x:c r="D783" s="1" t="str">
        <x:v>Cartoning Machine</x:v>
      </x:c>
      <x:c r="E783" s="1" t="str">
        <x:v>South</x:v>
      </x:c>
      <x:c r="F783" s="20" t="n">
        <x:v>194900</x:v>
      </x:c>
      <x:c r="G783" s="1" t="str">
        <x:v>Repeat purchase</x:v>
      </x:c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 t="str">
        <x:v>ORD-00783</x:v>
      </x:c>
      <x:c r="B784" s="1" t="str">
        <x:v>ACC-0217</x:v>
      </x:c>
      <x:c r="C784" s="19" t="n">
        <x:v>46036</x:v>
      </x:c>
      <x:c r="D784" s="1" t="str">
        <x:v>Case Packer</x:v>
      </x:c>
      <x:c r="E784" s="1" t="str">
        <x:v>West</x:v>
      </x:c>
      <x:c r="F784" s="20" t="n">
        <x:v>79800</x:v>
      </x:c>
      <x:c r="G784" s="1" t="str">
        <x:v>New business</x:v>
      </x:c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 t="str">
        <x:v>ORD-00784</x:v>
      </x:c>
      <x:c r="B785" s="1" t="str">
        <x:v>ACC-0217</x:v>
      </x:c>
      <x:c r="C785" s="19" t="n">
        <x:v>46067</x:v>
      </x:c>
      <x:c r="D785" s="1" t="str">
        <x:v>Case Packer</x:v>
      </x:c>
      <x:c r="E785" s="1" t="str">
        <x:v>West</x:v>
      </x:c>
      <x:c r="F785" s="20" t="n">
        <x:v>127400</x:v>
      </x:c>
      <x:c r="G785" s="1" t="str">
        <x:v>Repeat purchase</x:v>
      </x:c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 t="str">
        <x:v>ORD-00785</x:v>
      </x:c>
      <x:c r="B786" s="1" t="str">
        <x:v>ACC-0217</x:v>
      </x:c>
      <x:c r="C786" s="19" t="n">
        <x:v>46182</x:v>
      </x:c>
      <x:c r="D786" s="1" t="str">
        <x:v>Labeling System</x:v>
      </x:c>
      <x:c r="E786" s="1" t="str">
        <x:v>West</x:v>
      </x:c>
      <x:c r="F786" s="20" t="n">
        <x:v>89600</x:v>
      </x:c>
      <x:c r="G786" s="1" t="str">
        <x:v>Repeat purchase</x:v>
      </x:c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 t="str">
        <x:v>ORD-00786</x:v>
      </x:c>
      <x:c r="B787" s="1" t="str">
        <x:v>ACC-0218</x:v>
      </x:c>
      <x:c r="C787" s="19" t="n">
        <x:v>45403</x:v>
      </x:c>
      <x:c r="D787" s="1" t="str">
        <x:v>Cartoning Machine</x:v>
      </x:c>
      <x:c r="E787" s="1" t="str">
        <x:v>Northeast</x:v>
      </x:c>
      <x:c r="F787" s="20" t="n">
        <x:v>57000</x:v>
      </x:c>
      <x:c r="G787" s="1" t="str">
        <x:v>New business</x:v>
      </x:c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 t="str">
        <x:v>ORD-00787</x:v>
      </x:c>
      <x:c r="B788" s="1" t="str">
        <x:v>ACC-0218</x:v>
      </x:c>
      <x:c r="C788" s="19" t="n">
        <x:v>45698</x:v>
      </x:c>
      <x:c r="D788" s="1" t="str">
        <x:v>Service &amp; Parts</x:v>
      </x:c>
      <x:c r="E788" s="1" t="str">
        <x:v>Northeast</x:v>
      </x:c>
      <x:c r="F788" s="20" t="n">
        <x:v>21800</x:v>
      </x:c>
      <x:c r="G788" s="1" t="str">
        <x:v>Repeat purchase</x:v>
      </x:c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 t="str">
        <x:v>ORD-00788</x:v>
      </x:c>
      <x:c r="B789" s="1" t="str">
        <x:v>ACC-0218</x:v>
      </x:c>
      <x:c r="C789" s="19" t="n">
        <x:v>46048</x:v>
      </x:c>
      <x:c r="D789" s="1" t="str">
        <x:v>Service &amp; Parts</x:v>
      </x:c>
      <x:c r="E789" s="1" t="str">
        <x:v>Northeast</x:v>
      </x:c>
      <x:c r="F789" s="20" t="n">
        <x:v>17100</x:v>
      </x:c>
      <x:c r="G789" s="1" t="str">
        <x:v>Repeat purchase</x:v>
      </x:c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 t="str">
        <x:v>ORD-00789</x:v>
      </x:c>
      <x:c r="B790" s="1" t="str">
        <x:v>ACC-0218</x:v>
      </x:c>
      <x:c r="C790" s="19" t="n">
        <x:v>46101</x:v>
      </x:c>
      <x:c r="D790" s="1" t="str">
        <x:v>Pouch Filler</x:v>
      </x:c>
      <x:c r="E790" s="1" t="str">
        <x:v>Northeast</x:v>
      </x:c>
      <x:c r="F790" s="20" t="n">
        <x:v>127700</x:v>
      </x:c>
      <x:c r="G790" s="1" t="str">
        <x:v>Repeat purchase</x:v>
      </x:c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 t="str">
        <x:v>ORD-00790</x:v>
      </x:c>
      <x:c r="B791" s="1" t="str">
        <x:v>ACC-0219</x:v>
      </x:c>
      <x:c r="C791" s="19" t="n">
        <x:v>45675</x:v>
      </x:c>
      <x:c r="D791" s="1" t="str">
        <x:v>Labeling System</x:v>
      </x:c>
      <x:c r="E791" s="1" t="str">
        <x:v>Northeast</x:v>
      </x:c>
      <x:c r="F791" s="20" t="n">
        <x:v>132400</x:v>
      </x:c>
      <x:c r="G791" s="1" t="str">
        <x:v>New business</x:v>
      </x:c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 t="str">
        <x:v>ORD-00791</x:v>
      </x:c>
      <x:c r="B792" s="1" t="str">
        <x:v>ACC-0220</x:v>
      </x:c>
      <x:c r="C792" s="19" t="n">
        <x:v>45994</x:v>
      </x:c>
      <x:c r="D792" s="1" t="str">
        <x:v>Labeling System</x:v>
      </x:c>
      <x:c r="E792" s="1" t="str">
        <x:v>West</x:v>
      </x:c>
      <x:c r="F792" s="20" t="n">
        <x:v>207700</x:v>
      </x:c>
      <x:c r="G792" s="1" t="str">
        <x:v>New business</x:v>
      </x:c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 t="str">
        <x:v>ORD-00792</x:v>
      </x:c>
      <x:c r="B793" s="1" t="str">
        <x:v>ACC-0220</x:v>
      </x:c>
      <x:c r="C793" s="19" t="n">
        <x:v>46060</x:v>
      </x:c>
      <x:c r="D793" s="1" t="str">
        <x:v>Cartoning Machine</x:v>
      </x:c>
      <x:c r="E793" s="1" t="str">
        <x:v>West</x:v>
      </x:c>
      <x:c r="F793" s="20" t="n">
        <x:v>141300</x:v>
      </x:c>
      <x:c r="G793" s="1" t="str">
        <x:v>Repeat purchase</x:v>
      </x:c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 t="str">
        <x:v>ORD-00793</x:v>
      </x:c>
      <x:c r="B794" s="1" t="str">
        <x:v>ACC-0220</x:v>
      </x:c>
      <x:c r="C794" s="19" t="n">
        <x:v>46185</x:v>
      </x:c>
      <x:c r="D794" s="1" t="str">
        <x:v>Pouch Filler</x:v>
      </x:c>
      <x:c r="E794" s="1" t="str">
        <x:v>West</x:v>
      </x:c>
      <x:c r="F794" s="20" t="n">
        <x:v>99600</x:v>
      </x:c>
      <x:c r="G794" s="1" t="str">
        <x:v>Repeat purchase</x:v>
      </x:c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 t="str">
        <x:v>ORD-00794</x:v>
      </x:c>
      <x:c r="B795" s="1" t="str">
        <x:v>ACC-0221</x:v>
      </x:c>
      <x:c r="C795" s="19" t="n">
        <x:v>46011</x:v>
      </x:c>
      <x:c r="D795" s="1" t="str">
        <x:v>Case Packer</x:v>
      </x:c>
      <x:c r="E795" s="1" t="str">
        <x:v>Midwest</x:v>
      </x:c>
      <x:c r="F795" s="20" t="n">
        <x:v>149200</x:v>
      </x:c>
      <x:c r="G795" s="1" t="str">
        <x:v>New business</x:v>
      </x:c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 t="str">
        <x:v>ORD-00795</x:v>
      </x:c>
      <x:c r="B796" s="1" t="str">
        <x:v>ACC-0222</x:v>
      </x:c>
      <x:c r="C796" s="19" t="n">
        <x:v>45866</x:v>
      </x:c>
      <x:c r="D796" s="1" t="str">
        <x:v>Service &amp; Parts</x:v>
      </x:c>
      <x:c r="E796" s="1" t="str">
        <x:v>Northeast</x:v>
      </x:c>
      <x:c r="F796" s="20" t="n">
        <x:v>16800</x:v>
      </x:c>
      <x:c r="G796" s="1" t="str">
        <x:v>New business</x:v>
      </x:c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 t="str">
        <x:v>ORD-00796</x:v>
      </x:c>
      <x:c r="B797" s="1" t="str">
        <x:v>ACC-0222</x:v>
      </x:c>
      <x:c r="C797" s="19" t="n">
        <x:v>46106</x:v>
      </x:c>
      <x:c r="D797" s="1" t="str">
        <x:v>Labeling System</x:v>
      </x:c>
      <x:c r="E797" s="1" t="str">
        <x:v>Northeast</x:v>
      </x:c>
      <x:c r="F797" s="20" t="n">
        <x:v>145800</x:v>
      </x:c>
      <x:c r="G797" s="1" t="str">
        <x:v>Repeat purchase</x:v>
      </x:c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 t="str">
        <x:v>ORD-00797</x:v>
      </x:c>
      <x:c r="B798" s="1" t="str">
        <x:v>ACC-0223</x:v>
      </x:c>
      <x:c r="C798" s="19" t="n">
        <x:v>45672</x:v>
      </x:c>
      <x:c r="D798" s="1" t="str">
        <x:v>Pouch Filler</x:v>
      </x:c>
      <x:c r="E798" s="1" t="str">
        <x:v>Midwest</x:v>
      </x:c>
      <x:c r="F798" s="20" t="n">
        <x:v>100900</x:v>
      </x:c>
      <x:c r="G798" s="1" t="str">
        <x:v>New business</x:v>
      </x:c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 t="str">
        <x:v>ORD-00798</x:v>
      </x:c>
      <x:c r="B799" s="1" t="str">
        <x:v>ACC-0223</x:v>
      </x:c>
      <x:c r="C799" s="19" t="n">
        <x:v>45966</x:v>
      </x:c>
      <x:c r="D799" s="1" t="str">
        <x:v>Pouch Filler</x:v>
      </x:c>
      <x:c r="E799" s="1" t="str">
        <x:v>Midwest</x:v>
      </x:c>
      <x:c r="F799" s="20" t="n">
        <x:v>129400</x:v>
      </x:c>
      <x:c r="G799" s="1" t="str">
        <x:v>Repeat purchase</x:v>
      </x:c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 t="str">
        <x:v>ORD-00799</x:v>
      </x:c>
      <x:c r="B800" s="1" t="str">
        <x:v>ACC-0223</x:v>
      </x:c>
      <x:c r="C800" s="19" t="n">
        <x:v>45969</x:v>
      </x:c>
      <x:c r="D800" s="1" t="str">
        <x:v>Labeling System</x:v>
      </x:c>
      <x:c r="E800" s="1" t="str">
        <x:v>Midwest</x:v>
      </x:c>
      <x:c r="F800" s="20" t="n">
        <x:v>50000</x:v>
      </x:c>
      <x:c r="G800" s="1" t="str">
        <x:v>Repeat purchase</x:v>
      </x:c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 t="str">
        <x:v>ORD-00800</x:v>
      </x:c>
      <x:c r="B801" s="1" t="str">
        <x:v>ACC-0224</x:v>
      </x:c>
      <x:c r="C801" s="19" t="n">
        <x:v>45712</x:v>
      </x:c>
      <x:c r="D801" s="1" t="str">
        <x:v>Service &amp; Parts</x:v>
      </x:c>
      <x:c r="E801" s="1" t="str">
        <x:v>West</x:v>
      </x:c>
      <x:c r="F801" s="20" t="n">
        <x:v>15200</x:v>
      </x:c>
      <x:c r="G801" s="1" t="str">
        <x:v>New business</x:v>
      </x:c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 t="str">
        <x:v>ORD-00801</x:v>
      </x:c>
      <x:c r="B802" s="1" t="str">
        <x:v>ACC-0224</x:v>
      </x:c>
      <x:c r="C802" s="19" t="n">
        <x:v>45814</x:v>
      </x:c>
      <x:c r="D802" s="1" t="str">
        <x:v>Cartoning Machine</x:v>
      </x:c>
      <x:c r="E802" s="1" t="str">
        <x:v>West</x:v>
      </x:c>
      <x:c r="F802" s="20" t="n">
        <x:v>85300</x:v>
      </x:c>
      <x:c r="G802" s="1" t="str">
        <x:v>Repeat purchase</x:v>
      </x:c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 t="str">
        <x:v>ORD-00802</x:v>
      </x:c>
      <x:c r="B803" s="1" t="str">
        <x:v>ACC-0224</x:v>
      </x:c>
      <x:c r="C803" s="19" t="n">
        <x:v>45932</x:v>
      </x:c>
      <x:c r="D803" s="1" t="str">
        <x:v>Labeling System</x:v>
      </x:c>
      <x:c r="E803" s="1" t="str">
        <x:v>West</x:v>
      </x:c>
      <x:c r="F803" s="20" t="n">
        <x:v>86300</x:v>
      </x:c>
      <x:c r="G803" s="1" t="str">
        <x:v>Repeat purchase</x:v>
      </x:c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 t="str">
        <x:v>ORD-00803</x:v>
      </x:c>
      <x:c r="B804" s="1" t="str">
        <x:v>ACC-0225</x:v>
      </x:c>
      <x:c r="C804" s="19" t="n">
        <x:v>45633</x:v>
      </x:c>
      <x:c r="D804" s="1" t="str">
        <x:v>Cartoning Machine</x:v>
      </x:c>
      <x:c r="E804" s="1" t="str">
        <x:v>Northeast</x:v>
      </x:c>
      <x:c r="F804" s="20" t="n">
        <x:v>59000</x:v>
      </x:c>
      <x:c r="G804" s="1" t="str">
        <x:v>New business</x:v>
      </x:c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 t="str">
        <x:v>ORD-00804</x:v>
      </x:c>
      <x:c r="B805" s="1" t="str">
        <x:v>ACC-0225</x:v>
      </x:c>
      <x:c r="C805" s="19" t="n">
        <x:v>45665</x:v>
      </x:c>
      <x:c r="D805" s="1" t="str">
        <x:v>Pouch Filler</x:v>
      </x:c>
      <x:c r="E805" s="1" t="str">
        <x:v>Northeast</x:v>
      </x:c>
      <x:c r="F805" s="20" t="n">
        <x:v>109300</x:v>
      </x:c>
      <x:c r="G805" s="1" t="str">
        <x:v>Repeat purchase</x:v>
      </x:c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 t="str">
        <x:v>ORD-00805</x:v>
      </x:c>
      <x:c r="B806" s="1" t="str">
        <x:v>ACC-0225</x:v>
      </x:c>
      <x:c r="C806" s="19" t="n">
        <x:v>46172</x:v>
      </x:c>
      <x:c r="D806" s="1" t="str">
        <x:v>Labeling System</x:v>
      </x:c>
      <x:c r="E806" s="1" t="str">
        <x:v>Northeast</x:v>
      </x:c>
      <x:c r="F806" s="20" t="n">
        <x:v>53800</x:v>
      </x:c>
      <x:c r="G806" s="1" t="str">
        <x:v>Repeat purchase</x:v>
      </x:c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 t="str">
        <x:v>ORD-00806</x:v>
      </x:c>
      <x:c r="B807" s="1" t="str">
        <x:v>ACC-0226</x:v>
      </x:c>
      <x:c r="C807" s="19" t="n">
        <x:v>46142</x:v>
      </x:c>
      <x:c r="D807" s="1" t="str">
        <x:v>Cartoning Machine</x:v>
      </x:c>
      <x:c r="E807" s="1" t="str">
        <x:v>West</x:v>
      </x:c>
      <x:c r="F807" s="20" t="n">
        <x:v>178500</x:v>
      </x:c>
      <x:c r="G807" s="1" t="str">
        <x:v>New business</x:v>
      </x:c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 t="str">
        <x:v>ORD-00807</x:v>
      </x:c>
      <x:c r="B808" s="1" t="str">
        <x:v>ACC-0226</x:v>
      </x:c>
      <x:c r="C808" s="19" t="n">
        <x:v>46179</x:v>
      </x:c>
      <x:c r="D808" s="1" t="str">
        <x:v>Labeling System</x:v>
      </x:c>
      <x:c r="E808" s="1" t="str">
        <x:v>West</x:v>
      </x:c>
      <x:c r="F808" s="20" t="n">
        <x:v>240000</x:v>
      </x:c>
      <x:c r="G808" s="1" t="str">
        <x:v>Repeat purchase</x:v>
      </x:c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 t="str">
        <x:v>ORD-00808</x:v>
      </x:c>
      <x:c r="B809" s="1" t="str">
        <x:v>ACC-0227</x:v>
      </x:c>
      <x:c r="C809" s="19" t="n">
        <x:v>45457</x:v>
      </x:c>
      <x:c r="D809" s="1" t="str">
        <x:v>Case Packer</x:v>
      </x:c>
      <x:c r="E809" s="1" t="str">
        <x:v>Midwest</x:v>
      </x:c>
      <x:c r="F809" s="20" t="n">
        <x:v>207900</x:v>
      </x:c>
      <x:c r="G809" s="1" t="str">
        <x:v>New business</x:v>
      </x:c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 t="str">
        <x:v>ORD-00809</x:v>
      </x:c>
      <x:c r="B810" s="1" t="str">
        <x:v>ACC-0227</x:v>
      </x:c>
      <x:c r="C810" s="19" t="n">
        <x:v>45666</x:v>
      </x:c>
      <x:c r="D810" s="1" t="str">
        <x:v>Pouch Filler</x:v>
      </x:c>
      <x:c r="E810" s="1" t="str">
        <x:v>Midwest</x:v>
      </x:c>
      <x:c r="F810" s="20" t="n">
        <x:v>254100</x:v>
      </x:c>
      <x:c r="G810" s="1" t="str">
        <x:v>Repeat purchase</x:v>
      </x:c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 t="str">
        <x:v>ORD-00810</x:v>
      </x:c>
      <x:c r="B811" s="1" t="str">
        <x:v>ACC-0227</x:v>
      </x:c>
      <x:c r="C811" s="19" t="n">
        <x:v>45703</x:v>
      </x:c>
      <x:c r="D811" s="1" t="str">
        <x:v>Case Packer</x:v>
      </x:c>
      <x:c r="E811" s="1" t="str">
        <x:v>Midwest</x:v>
      </x:c>
      <x:c r="F811" s="20" t="n">
        <x:v>219800</x:v>
      </x:c>
      <x:c r="G811" s="1" t="str">
        <x:v>Repeat purchase</x:v>
      </x:c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 t="str">
        <x:v>ORD-00811</x:v>
      </x:c>
      <x:c r="B812" s="1" t="str">
        <x:v>ACC-0227</x:v>
      </x:c>
      <x:c r="C812" s="19" t="n">
        <x:v>45873</x:v>
      </x:c>
      <x:c r="D812" s="1" t="str">
        <x:v>Cartoning Machine</x:v>
      </x:c>
      <x:c r="E812" s="1" t="str">
        <x:v>Midwest</x:v>
      </x:c>
      <x:c r="F812" s="20" t="n">
        <x:v>213000</x:v>
      </x:c>
      <x:c r="G812" s="1" t="str">
        <x:v>Repeat purchase</x:v>
      </x:c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 t="str">
        <x:v>ORD-00812</x:v>
      </x:c>
      <x:c r="B813" s="1" t="str">
        <x:v>ACC-0228</x:v>
      </x:c>
      <x:c r="C813" s="19" t="n">
        <x:v>45428</x:v>
      </x:c>
      <x:c r="D813" s="1" t="str">
        <x:v>Service &amp; Parts</x:v>
      </x:c>
      <x:c r="E813" s="1" t="str">
        <x:v>South</x:v>
      </x:c>
      <x:c r="F813" s="20" t="n">
        <x:v>11100</x:v>
      </x:c>
      <x:c r="G813" s="1" t="str">
        <x:v>New business</x:v>
      </x:c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 t="str">
        <x:v>ORD-00813</x:v>
      </x:c>
      <x:c r="B814" s="1" t="str">
        <x:v>ACC-0228</x:v>
      </x:c>
      <x:c r="C814" s="19" t="n">
        <x:v>45572</x:v>
      </x:c>
      <x:c r="D814" s="1" t="str">
        <x:v>Service &amp; Parts</x:v>
      </x:c>
      <x:c r="E814" s="1" t="str">
        <x:v>South</x:v>
      </x:c>
      <x:c r="F814" s="20" t="n">
        <x:v>30300</x:v>
      </x:c>
      <x:c r="G814" s="1" t="str">
        <x:v>Repeat purchase</x:v>
      </x:c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 t="str">
        <x:v>ORD-00814</x:v>
      </x:c>
      <x:c r="B815" s="1" t="str">
        <x:v>ACC-0228</x:v>
      </x:c>
      <x:c r="C815" s="19" t="n">
        <x:v>46182</x:v>
      </x:c>
      <x:c r="D815" s="1" t="str">
        <x:v>Cartoning Machine</x:v>
      </x:c>
      <x:c r="E815" s="1" t="str">
        <x:v>South</x:v>
      </x:c>
      <x:c r="F815" s="20" t="n">
        <x:v>179900</x:v>
      </x:c>
      <x:c r="G815" s="1" t="str">
        <x:v>Repeat purchase</x:v>
      </x:c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 t="str">
        <x:v>ORD-00815</x:v>
      </x:c>
      <x:c r="B816" s="1" t="str">
        <x:v>ACC-0229</x:v>
      </x:c>
      <x:c r="C816" s="19" t="n">
        <x:v>45543</x:v>
      </x:c>
      <x:c r="D816" s="1" t="str">
        <x:v>Service &amp; Parts</x:v>
      </x:c>
      <x:c r="E816" s="1" t="str">
        <x:v>West</x:v>
      </x:c>
      <x:c r="F816" s="20" t="n">
        <x:v>22800</x:v>
      </x:c>
      <x:c r="G816" s="1" t="str">
        <x:v>New business</x:v>
      </x:c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 t="str">
        <x:v>ORD-00816</x:v>
      </x:c>
      <x:c r="B817" s="1" t="str">
        <x:v>ACC-0229</x:v>
      </x:c>
      <x:c r="C817" s="19" t="n">
        <x:v>45581</x:v>
      </x:c>
      <x:c r="D817" s="1" t="str">
        <x:v>Pouch Filler</x:v>
      </x:c>
      <x:c r="E817" s="1" t="str">
        <x:v>West</x:v>
      </x:c>
      <x:c r="F817" s="20" t="n">
        <x:v>107500</x:v>
      </x:c>
      <x:c r="G817" s="1" t="str">
        <x:v>Repeat purchase</x:v>
      </x:c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 t="str">
        <x:v>ORD-00817</x:v>
      </x:c>
      <x:c r="B818" s="1" t="str">
        <x:v>ACC-0229</x:v>
      </x:c>
      <x:c r="C818" s="19" t="n">
        <x:v>45763</x:v>
      </x:c>
      <x:c r="D818" s="1" t="str">
        <x:v>Cartoning Machine</x:v>
      </x:c>
      <x:c r="E818" s="1" t="str">
        <x:v>West</x:v>
      </x:c>
      <x:c r="F818" s="20" t="n">
        <x:v>210300</x:v>
      </x:c>
      <x:c r="G818" s="1" t="str">
        <x:v>Repeat purchase</x:v>
      </x:c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 t="str">
        <x:v>ORD-00818</x:v>
      </x:c>
      <x:c r="B819" s="1" t="str">
        <x:v>ACC-0229</x:v>
      </x:c>
      <x:c r="C819" s="19" t="n">
        <x:v>45838</x:v>
      </x:c>
      <x:c r="D819" s="1" t="str">
        <x:v>Service &amp; Parts</x:v>
      </x:c>
      <x:c r="E819" s="1" t="str">
        <x:v>West</x:v>
      </x:c>
      <x:c r="F819" s="20" t="n">
        <x:v>28200</x:v>
      </x:c>
      <x:c r="G819" s="1" t="str">
        <x:v>Repeat purchase</x:v>
      </x:c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 t="str">
        <x:v>ORD-00819</x:v>
      </x:c>
      <x:c r="B820" s="1" t="str">
        <x:v>ACC-0230</x:v>
      </x:c>
      <x:c r="C820" s="19" t="n">
        <x:v>45578</x:v>
      </x:c>
      <x:c r="D820" s="1" t="str">
        <x:v>Cartoning Machine</x:v>
      </x:c>
      <x:c r="E820" s="1" t="str">
        <x:v>Midwest</x:v>
      </x:c>
      <x:c r="F820" s="20" t="n">
        <x:v>55000</x:v>
      </x:c>
      <x:c r="G820" s="1" t="str">
        <x:v>New business</x:v>
      </x:c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 t="str">
        <x:v>ORD-00820</x:v>
      </x:c>
      <x:c r="B821" s="1" t="str">
        <x:v>ACC-0230</x:v>
      </x:c>
      <x:c r="C821" s="19" t="n">
        <x:v>45598</x:v>
      </x:c>
      <x:c r="D821" s="1" t="str">
        <x:v>Cartoning Machine</x:v>
      </x:c>
      <x:c r="E821" s="1" t="str">
        <x:v>Midwest</x:v>
      </x:c>
      <x:c r="F821" s="20" t="n">
        <x:v>90500</x:v>
      </x:c>
      <x:c r="G821" s="1" t="str">
        <x:v>Repeat purchase</x:v>
      </x:c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 t="str">
        <x:v>ORD-00821</x:v>
      </x:c>
      <x:c r="B822" s="1" t="str">
        <x:v>ACC-0230</x:v>
      </x:c>
      <x:c r="C822" s="19" t="n">
        <x:v>45837</x:v>
      </x:c>
      <x:c r="D822" s="1" t="str">
        <x:v>Service &amp; Parts</x:v>
      </x:c>
      <x:c r="E822" s="1" t="str">
        <x:v>Midwest</x:v>
      </x:c>
      <x:c r="F822" s="20" t="n">
        <x:v>9700</x:v>
      </x:c>
      <x:c r="G822" s="1" t="str">
        <x:v>Repeat purchase</x:v>
      </x:c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 t="str">
        <x:v>ORD-00822</x:v>
      </x:c>
      <x:c r="B823" s="1" t="str">
        <x:v>ACC-0230</x:v>
      </x:c>
      <x:c r="C823" s="19" t="n">
        <x:v>45860</x:v>
      </x:c>
      <x:c r="D823" s="1" t="str">
        <x:v>Labeling System</x:v>
      </x:c>
      <x:c r="E823" s="1" t="str">
        <x:v>Midwest</x:v>
      </x:c>
      <x:c r="F823" s="20" t="n">
        <x:v>186100</x:v>
      </x:c>
      <x:c r="G823" s="1" t="str">
        <x:v>Repeat purchase</x:v>
      </x:c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 t="str">
        <x:v>ORD-00823</x:v>
      </x:c>
      <x:c r="B824" s="1" t="str">
        <x:v>ACC-0230</x:v>
      </x:c>
      <x:c r="C824" s="19" t="n">
        <x:v>46068</x:v>
      </x:c>
      <x:c r="D824" s="1" t="str">
        <x:v>Pouch Filler</x:v>
      </x:c>
      <x:c r="E824" s="1" t="str">
        <x:v>Midwest</x:v>
      </x:c>
      <x:c r="F824" s="20" t="n">
        <x:v>83800</x:v>
      </x:c>
      <x:c r="G824" s="1" t="str">
        <x:v>Repeat purchase</x:v>
      </x:c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 t="str">
        <x:v>ORD-00824</x:v>
      </x:c>
      <x:c r="B825" s="1" t="str">
        <x:v>ACC-0231</x:v>
      </x:c>
      <x:c r="C825" s="19" t="n">
        <x:v>45371</x:v>
      </x:c>
      <x:c r="D825" s="1" t="str">
        <x:v>Service &amp; Parts</x:v>
      </x:c>
      <x:c r="E825" s="1" t="str">
        <x:v>Midwest</x:v>
      </x:c>
      <x:c r="F825" s="20" t="n">
        <x:v>17500</x:v>
      </x:c>
      <x:c r="G825" s="1" t="str">
        <x:v>New business</x:v>
      </x:c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 t="str">
        <x:v>ORD-00825</x:v>
      </x:c>
      <x:c r="B826" s="1" t="str">
        <x:v>ACC-0231</x:v>
      </x:c>
      <x:c r="C826" s="19" t="n">
        <x:v>45583</x:v>
      </x:c>
      <x:c r="D826" s="1" t="str">
        <x:v>Pouch Filler</x:v>
      </x:c>
      <x:c r="E826" s="1" t="str">
        <x:v>Midwest</x:v>
      </x:c>
      <x:c r="F826" s="20" t="n">
        <x:v>197400</x:v>
      </x:c>
      <x:c r="G826" s="1" t="str">
        <x:v>Repeat purchase</x:v>
      </x:c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 t="str">
        <x:v>ORD-00826</x:v>
      </x:c>
      <x:c r="B827" s="1" t="str">
        <x:v>ACC-0231</x:v>
      </x:c>
      <x:c r="C827" s="19" t="n">
        <x:v>46012</x:v>
      </x:c>
      <x:c r="D827" s="1" t="str">
        <x:v>Labeling System</x:v>
      </x:c>
      <x:c r="E827" s="1" t="str">
        <x:v>Midwest</x:v>
      </x:c>
      <x:c r="F827" s="20" t="n">
        <x:v>86900</x:v>
      </x:c>
      <x:c r="G827" s="1" t="str">
        <x:v>Repeat purchase</x:v>
      </x:c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 t="str">
        <x:v>ORD-00827</x:v>
      </x:c>
      <x:c r="B828" s="1" t="str">
        <x:v>ACC-0231</x:v>
      </x:c>
      <x:c r="C828" s="19" t="n">
        <x:v>46017</x:v>
      </x:c>
      <x:c r="D828" s="1" t="str">
        <x:v>Service &amp; Parts</x:v>
      </x:c>
      <x:c r="E828" s="1" t="str">
        <x:v>Midwest</x:v>
      </x:c>
      <x:c r="F828" s="20" t="n">
        <x:v>12000</x:v>
      </x:c>
      <x:c r="G828" s="1" t="str">
        <x:v>Repeat purchase</x:v>
      </x:c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 t="str">
        <x:v>ORD-00828</x:v>
      </x:c>
      <x:c r="B829" s="1" t="str">
        <x:v>ACC-0231</x:v>
      </x:c>
      <x:c r="C829" s="19" t="n">
        <x:v>46106</x:v>
      </x:c>
      <x:c r="D829" s="1" t="str">
        <x:v>Case Packer</x:v>
      </x:c>
      <x:c r="E829" s="1" t="str">
        <x:v>Midwest</x:v>
      </x:c>
      <x:c r="F829" s="20" t="n">
        <x:v>112300</x:v>
      </x:c>
      <x:c r="G829" s="1" t="str">
        <x:v>Repeat purchase</x:v>
      </x:c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 t="str">
        <x:v>ORD-00829</x:v>
      </x:c>
      <x:c r="B830" s="1" t="str">
        <x:v>ACC-0232</x:v>
      </x:c>
      <x:c r="C830" s="19" t="n">
        <x:v>45565</x:v>
      </x:c>
      <x:c r="D830" s="1" t="str">
        <x:v>Pouch Filler</x:v>
      </x:c>
      <x:c r="E830" s="1" t="str">
        <x:v>Northeast</x:v>
      </x:c>
      <x:c r="F830" s="20" t="n">
        <x:v>45100</x:v>
      </x:c>
      <x:c r="G830" s="1" t="str">
        <x:v>New business</x:v>
      </x:c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 t="str">
        <x:v>ORD-00830</x:v>
      </x:c>
      <x:c r="B831" s="1" t="str">
        <x:v>ACC-0232</x:v>
      </x:c>
      <x:c r="C831" s="19" t="n">
        <x:v>45633</x:v>
      </x:c>
      <x:c r="D831" s="1" t="str">
        <x:v>Case Packer</x:v>
      </x:c>
      <x:c r="E831" s="1" t="str">
        <x:v>Northeast</x:v>
      </x:c>
      <x:c r="F831" s="20" t="n">
        <x:v>42100</x:v>
      </x:c>
      <x:c r="G831" s="1" t="str">
        <x:v>Repeat purchase</x:v>
      </x:c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 t="str">
        <x:v>ORD-00831</x:v>
      </x:c>
      <x:c r="B832" s="1" t="str">
        <x:v>ACC-0232</x:v>
      </x:c>
      <x:c r="C832" s="19" t="n">
        <x:v>45811</x:v>
      </x:c>
      <x:c r="D832" s="1" t="str">
        <x:v>Cartoning Machine</x:v>
      </x:c>
      <x:c r="E832" s="1" t="str">
        <x:v>Northeast</x:v>
      </x:c>
      <x:c r="F832" s="20" t="n">
        <x:v>79600</x:v>
      </x:c>
      <x:c r="G832" s="1" t="str">
        <x:v>Repeat purchase</x:v>
      </x:c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 t="str">
        <x:v>ORD-00832</x:v>
      </x:c>
      <x:c r="B833" s="1" t="str">
        <x:v>ACC-0232</x:v>
      </x:c>
      <x:c r="C833" s="19" t="n">
        <x:v>46050</x:v>
      </x:c>
      <x:c r="D833" s="1" t="str">
        <x:v>Case Packer</x:v>
      </x:c>
      <x:c r="E833" s="1" t="str">
        <x:v>Northeast</x:v>
      </x:c>
      <x:c r="F833" s="20" t="n">
        <x:v>110600</x:v>
      </x:c>
      <x:c r="G833" s="1" t="str">
        <x:v>Repeat purchase</x:v>
      </x:c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 t="str">
        <x:v>ORD-00833</x:v>
      </x:c>
      <x:c r="B834" s="1" t="str">
        <x:v>ACC-0233</x:v>
      </x:c>
      <x:c r="C834" s="19" t="n">
        <x:v>45529</x:v>
      </x:c>
      <x:c r="D834" s="1" t="str">
        <x:v>Service &amp; Parts</x:v>
      </x:c>
      <x:c r="E834" s="1" t="str">
        <x:v>South</x:v>
      </x:c>
      <x:c r="F834" s="20" t="n">
        <x:v>13100</x:v>
      </x:c>
      <x:c r="G834" s="1" t="str">
        <x:v>New business</x:v>
      </x:c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 t="str">
        <x:v>ORD-00834</x:v>
      </x:c>
      <x:c r="B835" s="1" t="str">
        <x:v>ACC-0233</x:v>
      </x:c>
      <x:c r="C835" s="19" t="n">
        <x:v>45764</x:v>
      </x:c>
      <x:c r="D835" s="1" t="str">
        <x:v>Service &amp; Parts</x:v>
      </x:c>
      <x:c r="E835" s="1" t="str">
        <x:v>South</x:v>
      </x:c>
      <x:c r="F835" s="20" t="n">
        <x:v>39600</x:v>
      </x:c>
      <x:c r="G835" s="1" t="str">
        <x:v>Repeat purchase</x:v>
      </x:c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 t="str">
        <x:v>ORD-00835</x:v>
      </x:c>
      <x:c r="B836" s="1" t="str">
        <x:v>ACC-0233</x:v>
      </x:c>
      <x:c r="C836" s="19" t="n">
        <x:v>45801</x:v>
      </x:c>
      <x:c r="D836" s="1" t="str">
        <x:v>Labeling System</x:v>
      </x:c>
      <x:c r="E836" s="1" t="str">
        <x:v>South</x:v>
      </x:c>
      <x:c r="F836" s="20" t="n">
        <x:v>211200</x:v>
      </x:c>
      <x:c r="G836" s="1" t="str">
        <x:v>Repeat purchase</x:v>
      </x:c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 t="str">
        <x:v>ORD-00836</x:v>
      </x:c>
      <x:c r="B837" s="1" t="str">
        <x:v>ACC-0233</x:v>
      </x:c>
      <x:c r="C837" s="19" t="n">
        <x:v>45852</x:v>
      </x:c>
      <x:c r="D837" s="1" t="str">
        <x:v>Cartoning Machine</x:v>
      </x:c>
      <x:c r="E837" s="1" t="str">
        <x:v>South</x:v>
      </x:c>
      <x:c r="F837" s="20" t="n">
        <x:v>266200</x:v>
      </x:c>
      <x:c r="G837" s="1" t="str">
        <x:v>Repeat purchase</x:v>
      </x:c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 t="str">
        <x:v>ORD-00837</x:v>
      </x:c>
      <x:c r="B838" s="1" t="str">
        <x:v>ACC-0233</x:v>
      </x:c>
      <x:c r="C838" s="19" t="n">
        <x:v>45892</x:v>
      </x:c>
      <x:c r="D838" s="1" t="str">
        <x:v>Case Packer</x:v>
      </x:c>
      <x:c r="E838" s="1" t="str">
        <x:v>South</x:v>
      </x:c>
      <x:c r="F838" s="20" t="n">
        <x:v>110400</x:v>
      </x:c>
      <x:c r="G838" s="1" t="str">
        <x:v>Repeat purchase</x:v>
      </x:c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 t="str">
        <x:v>ORD-00838</x:v>
      </x:c>
      <x:c r="B839" s="1" t="str">
        <x:v>ACC-0233</x:v>
      </x:c>
      <x:c r="C839" s="19" t="n">
        <x:v>45927</x:v>
      </x:c>
      <x:c r="D839" s="1" t="str">
        <x:v>Pouch Filler</x:v>
      </x:c>
      <x:c r="E839" s="1" t="str">
        <x:v>South</x:v>
      </x:c>
      <x:c r="F839" s="20" t="n">
        <x:v>203700</x:v>
      </x:c>
      <x:c r="G839" s="1" t="str">
        <x:v>Repeat purchase</x:v>
      </x:c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 t="str">
        <x:v>ORD-00839</x:v>
      </x:c>
      <x:c r="B840" s="1" t="str">
        <x:v>ACC-0233</x:v>
      </x:c>
      <x:c r="C840" s="19" t="n">
        <x:v>46078</x:v>
      </x:c>
      <x:c r="D840" s="1" t="str">
        <x:v>Labeling System</x:v>
      </x:c>
      <x:c r="E840" s="1" t="str">
        <x:v>South</x:v>
      </x:c>
      <x:c r="F840" s="20" t="n">
        <x:v>182400</x:v>
      </x:c>
      <x:c r="G840" s="1" t="str">
        <x:v>Repeat purchase</x:v>
      </x:c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 t="str">
        <x:v>ORD-00840</x:v>
      </x:c>
      <x:c r="B841" s="1" t="str">
        <x:v>ACC-0234</x:v>
      </x:c>
      <x:c r="C841" s="19" t="n">
        <x:v>45979</x:v>
      </x:c>
      <x:c r="D841" s="1" t="str">
        <x:v>Case Packer</x:v>
      </x:c>
      <x:c r="E841" s="1" t="str">
        <x:v>West</x:v>
      </x:c>
      <x:c r="F841" s="20" t="n">
        <x:v>83800</x:v>
      </x:c>
      <x:c r="G841" s="1" t="str">
        <x:v>New business</x:v>
      </x:c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 t="str">
        <x:v>ORD-00841</x:v>
      </x:c>
      <x:c r="B842" s="1" t="str">
        <x:v>ACC-0234</x:v>
      </x:c>
      <x:c r="C842" s="19" t="n">
        <x:v>46003</x:v>
      </x:c>
      <x:c r="D842" s="1" t="str">
        <x:v>Case Packer</x:v>
      </x:c>
      <x:c r="E842" s="1" t="str">
        <x:v>West</x:v>
      </x:c>
      <x:c r="F842" s="20" t="n">
        <x:v>88300</x:v>
      </x:c>
      <x:c r="G842" s="1" t="str">
        <x:v>Repeat purchase</x:v>
      </x:c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 t="str">
        <x:v>ORD-00842</x:v>
      </x:c>
      <x:c r="B843" s="1" t="str">
        <x:v>ACC-0234</x:v>
      </x:c>
      <x:c r="C843" s="19" t="n">
        <x:v>46052</x:v>
      </x:c>
      <x:c r="D843" s="1" t="str">
        <x:v>Service &amp; Parts</x:v>
      </x:c>
      <x:c r="E843" s="1" t="str">
        <x:v>West</x:v>
      </x:c>
      <x:c r="F843" s="20" t="n">
        <x:v>24300</x:v>
      </x:c>
      <x:c r="G843" s="1" t="str">
        <x:v>Repeat purchase</x:v>
      </x:c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 t="str">
        <x:v>ORD-00843</x:v>
      </x:c>
      <x:c r="B844" s="1" t="str">
        <x:v>ACC-0234</x:v>
      </x:c>
      <x:c r="C844" s="19" t="n">
        <x:v>46099</x:v>
      </x:c>
      <x:c r="D844" s="1" t="str">
        <x:v>Case Packer</x:v>
      </x:c>
      <x:c r="E844" s="1" t="str">
        <x:v>West</x:v>
      </x:c>
      <x:c r="F844" s="20" t="n">
        <x:v>168000</x:v>
      </x:c>
      <x:c r="G844" s="1" t="str">
        <x:v>Repeat purchase</x:v>
      </x:c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 t="str">
        <x:v>ORD-00844</x:v>
      </x:c>
      <x:c r="B845" s="1" t="str">
        <x:v>ACC-0235</x:v>
      </x:c>
      <x:c r="C845" s="19" t="n">
        <x:v>45905</x:v>
      </x:c>
      <x:c r="D845" s="1" t="str">
        <x:v>Service &amp; Parts</x:v>
      </x:c>
      <x:c r="E845" s="1" t="str">
        <x:v>Midwest</x:v>
      </x:c>
      <x:c r="F845" s="20" t="n">
        <x:v>9200</x:v>
      </x:c>
      <x:c r="G845" s="1" t="str">
        <x:v>New business</x:v>
      </x:c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 t="str">
        <x:v>ORD-00845</x:v>
      </x:c>
      <x:c r="B846" s="1" t="str">
        <x:v>ACC-0235</x:v>
      </x:c>
      <x:c r="C846" s="19" t="n">
        <x:v>45976</x:v>
      </x:c>
      <x:c r="D846" s="1" t="str">
        <x:v>Service &amp; Parts</x:v>
      </x:c>
      <x:c r="E846" s="1" t="str">
        <x:v>Midwest</x:v>
      </x:c>
      <x:c r="F846" s="20" t="n">
        <x:v>15200</x:v>
      </x:c>
      <x:c r="G846" s="1" t="str">
        <x:v>Repeat purchase</x:v>
      </x:c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 t="str">
        <x:v>ORD-00846</x:v>
      </x:c>
      <x:c r="B847" s="1" t="str">
        <x:v>ACC-0235</x:v>
      </x:c>
      <x:c r="C847" s="19" t="n">
        <x:v>46109</x:v>
      </x:c>
      <x:c r="D847" s="1" t="str">
        <x:v>Pouch Filler</x:v>
      </x:c>
      <x:c r="E847" s="1" t="str">
        <x:v>Midwest</x:v>
      </x:c>
      <x:c r="F847" s="20" t="n">
        <x:v>37600</x:v>
      </x:c>
      <x:c r="G847" s="1" t="str">
        <x:v>Repeat purchase</x:v>
      </x:c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 t="str">
        <x:v>ORD-00847</x:v>
      </x:c>
      <x:c r="B848" s="1" t="str">
        <x:v>ACC-0235</x:v>
      </x:c>
      <x:c r="C848" s="19" t="n">
        <x:v>46115</x:v>
      </x:c>
      <x:c r="D848" s="1" t="str">
        <x:v>Labeling System</x:v>
      </x:c>
      <x:c r="E848" s="1" t="str">
        <x:v>Midwest</x:v>
      </x:c>
      <x:c r="F848" s="20" t="n">
        <x:v>116800</x:v>
      </x:c>
      <x:c r="G848" s="1" t="str">
        <x:v>Repeat purchase</x:v>
      </x:c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 t="str">
        <x:v>ORD-00848</x:v>
      </x:c>
      <x:c r="B849" s="1" t="str">
        <x:v>ACC-0236</x:v>
      </x:c>
      <x:c r="C849" s="19" t="n">
        <x:v>46170</x:v>
      </x:c>
      <x:c r="D849" s="1" t="str">
        <x:v>Labeling System</x:v>
      </x:c>
      <x:c r="E849" s="1" t="str">
        <x:v>Northeast</x:v>
      </x:c>
      <x:c r="F849" s="20" t="n">
        <x:v>198300</x:v>
      </x:c>
      <x:c r="G849" s="1" t="str">
        <x:v>New business</x:v>
      </x:c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 t="str">
        <x:v>ORD-00849</x:v>
      </x:c>
      <x:c r="B850" s="1" t="str">
        <x:v>ACC-0236</x:v>
      </x:c>
      <x:c r="C850" s="19" t="n">
        <x:v>46178</x:v>
      </x:c>
      <x:c r="D850" s="1" t="str">
        <x:v>Case Packer</x:v>
      </x:c>
      <x:c r="E850" s="1" t="str">
        <x:v>Northeast</x:v>
      </x:c>
      <x:c r="F850" s="20" t="n">
        <x:v>132200</x:v>
      </x:c>
      <x:c r="G850" s="1" t="str">
        <x:v>Repeat purchase</x:v>
      </x:c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 t="str">
        <x:v>ORD-00850</x:v>
      </x:c>
      <x:c r="B851" s="1" t="str">
        <x:v>ACC-0237</x:v>
      </x:c>
      <x:c r="C851" s="19" t="n">
        <x:v>46116</x:v>
      </x:c>
      <x:c r="D851" s="1" t="str">
        <x:v>Labeling System</x:v>
      </x:c>
      <x:c r="E851" s="1" t="str">
        <x:v>Northeast</x:v>
      </x:c>
      <x:c r="F851" s="20" t="n">
        <x:v>73400</x:v>
      </x:c>
      <x:c r="G851" s="1" t="str">
        <x:v>New business</x:v>
      </x:c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 t="str">
        <x:v>ORD-00851</x:v>
      </x:c>
      <x:c r="B852" s="1" t="str">
        <x:v>ACC-0237</x:v>
      </x:c>
      <x:c r="C852" s="19" t="n">
        <x:v>46199</x:v>
      </x:c>
      <x:c r="D852" s="1" t="str">
        <x:v>Case Packer</x:v>
      </x:c>
      <x:c r="E852" s="1" t="str">
        <x:v>Northeast</x:v>
      </x:c>
      <x:c r="F852" s="20" t="n">
        <x:v>125000</x:v>
      </x:c>
      <x:c r="G852" s="1" t="str">
        <x:v>Repeat purchase</x:v>
      </x:c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 t="str">
        <x:v>ORD-00852</x:v>
      </x:c>
      <x:c r="B853" s="1" t="str">
        <x:v>ACC-0238</x:v>
      </x:c>
      <x:c r="C853" s="19" t="n">
        <x:v>46077</x:v>
      </x:c>
      <x:c r="D853" s="1" t="str">
        <x:v>Pouch Filler</x:v>
      </x:c>
      <x:c r="E853" s="1" t="str">
        <x:v>Midwest</x:v>
      </x:c>
      <x:c r="F853" s="20" t="n">
        <x:v>180300</x:v>
      </x:c>
      <x:c r="G853" s="1" t="str">
        <x:v>New business</x:v>
      </x:c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 t="str">
        <x:v>ORD-00853</x:v>
      </x:c>
      <x:c r="B854" s="1" t="str">
        <x:v>ACC-0238</x:v>
      </x:c>
      <x:c r="C854" s="19" t="n">
        <x:v>46132</x:v>
      </x:c>
      <x:c r="D854" s="1" t="str">
        <x:v>Service &amp; Parts</x:v>
      </x:c>
      <x:c r="E854" s="1" t="str">
        <x:v>Midwest</x:v>
      </x:c>
      <x:c r="F854" s="20" t="n">
        <x:v>14000</x:v>
      </x:c>
      <x:c r="G854" s="1" t="str">
        <x:v>Repeat purchase</x:v>
      </x:c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 t="str">
        <x:v>ORD-00854</x:v>
      </x:c>
      <x:c r="B855" s="1" t="str">
        <x:v>ACC-0239</x:v>
      </x:c>
      <x:c r="C855" s="19" t="n">
        <x:v>45341</x:v>
      </x:c>
      <x:c r="D855" s="1" t="str">
        <x:v>Pouch Filler</x:v>
      </x:c>
      <x:c r="E855" s="1" t="str">
        <x:v>Northeast</x:v>
      </x:c>
      <x:c r="F855" s="20" t="n">
        <x:v>50600</x:v>
      </x:c>
      <x:c r="G855" s="1" t="str">
        <x:v>New business</x:v>
      </x:c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 t="str">
        <x:v>ORD-00855</x:v>
      </x:c>
      <x:c r="B856" s="1" t="str">
        <x:v>ACC-0239</x:v>
      </x:c>
      <x:c r="C856" s="19" t="n">
        <x:v>45553</x:v>
      </x:c>
      <x:c r="D856" s="1" t="str">
        <x:v>Cartoning Machine</x:v>
      </x:c>
      <x:c r="E856" s="1" t="str">
        <x:v>Northeast</x:v>
      </x:c>
      <x:c r="F856" s="20" t="n">
        <x:v>49700</x:v>
      </x:c>
      <x:c r="G856" s="1" t="str">
        <x:v>Repeat purchase</x:v>
      </x:c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 t="str">
        <x:v>ORD-00856</x:v>
      </x:c>
      <x:c r="B857" s="1" t="str">
        <x:v>ACC-0240</x:v>
      </x:c>
      <x:c r="C857" s="19" t="n">
        <x:v>46144</x:v>
      </x:c>
      <x:c r="D857" s="1" t="str">
        <x:v>Cartoning Machine</x:v>
      </x:c>
      <x:c r="E857" s="1" t="str">
        <x:v>South</x:v>
      </x:c>
      <x:c r="F857" s="20" t="n">
        <x:v>249700</x:v>
      </x:c>
      <x:c r="G857" s="1" t="str">
        <x:v>New business</x:v>
      </x:c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 t="str">
        <x:v>ORD-00857</x:v>
      </x:c>
      <x:c r="B858" s="1" t="str">
        <x:v>ACC-0240</x:v>
      </x:c>
      <x:c r="C858" s="19" t="n">
        <x:v>46177</x:v>
      </x:c>
      <x:c r="D858" s="1" t="str">
        <x:v>Labeling System</x:v>
      </x:c>
      <x:c r="E858" s="1" t="str">
        <x:v>South</x:v>
      </x:c>
      <x:c r="F858" s="20" t="n">
        <x:v>256600</x:v>
      </x:c>
      <x:c r="G858" s="1" t="str">
        <x:v>Repeat purchase</x:v>
      </x:c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 t="str">
        <x:v>ORD-00858</x:v>
      </x:c>
      <x:c r="B859" s="1" t="str">
        <x:v>ACC-0241</x:v>
      </x:c>
      <x:c r="C859" s="19" t="n">
        <x:v>46106</x:v>
      </x:c>
      <x:c r="D859" s="1" t="str">
        <x:v>Labeling System</x:v>
      </x:c>
      <x:c r="E859" s="1" t="str">
        <x:v>Northeast</x:v>
      </x:c>
      <x:c r="F859" s="20" t="n">
        <x:v>87400</x:v>
      </x:c>
      <x:c r="G859" s="1" t="str">
        <x:v>New business</x:v>
      </x:c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 t="str">
        <x:v>ORD-00859</x:v>
      </x:c>
      <x:c r="B860" s="1" t="str">
        <x:v>ACC-0242</x:v>
      </x:c>
      <x:c r="C860" s="19" t="n">
        <x:v>46060</x:v>
      </x:c>
      <x:c r="D860" s="1" t="str">
        <x:v>Labeling System</x:v>
      </x:c>
      <x:c r="E860" s="1" t="str">
        <x:v>Midwest</x:v>
      </x:c>
      <x:c r="F860" s="20" t="n">
        <x:v>88500</x:v>
      </x:c>
      <x:c r="G860" s="1" t="str">
        <x:v>New business</x:v>
      </x:c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 t="str">
        <x:v>ORD-00860</x:v>
      </x:c>
      <x:c r="B861" s="1" t="str">
        <x:v>ACC-0242</x:v>
      </x:c>
      <x:c r="C861" s="19" t="n">
        <x:v>46063</x:v>
      </x:c>
      <x:c r="D861" s="1" t="str">
        <x:v>Pouch Filler</x:v>
      </x:c>
      <x:c r="E861" s="1" t="str">
        <x:v>Midwest</x:v>
      </x:c>
      <x:c r="F861" s="20" t="n">
        <x:v>126200</x:v>
      </x:c>
      <x:c r="G861" s="1" t="str">
        <x:v>Repeat purchase</x:v>
      </x:c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 t="str">
        <x:v>ORD-00861</x:v>
      </x:c>
      <x:c r="B862" s="1" t="str">
        <x:v>ACC-0242</x:v>
      </x:c>
      <x:c r="C862" s="19" t="n">
        <x:v>46082</x:v>
      </x:c>
      <x:c r="D862" s="1" t="str">
        <x:v>Service &amp; Parts</x:v>
      </x:c>
      <x:c r="E862" s="1" t="str">
        <x:v>Midwest</x:v>
      </x:c>
      <x:c r="F862" s="20" t="n">
        <x:v>30800</x:v>
      </x:c>
      <x:c r="G862" s="1" t="str">
        <x:v>Repeat purchase</x:v>
      </x:c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 t="str">
        <x:v>ORD-00862</x:v>
      </x:c>
      <x:c r="B863" s="1" t="str">
        <x:v>ACC-0243</x:v>
      </x:c>
      <x:c r="C863" s="19" t="n">
        <x:v>45957</x:v>
      </x:c>
      <x:c r="D863" s="1" t="str">
        <x:v>Case Packer</x:v>
      </x:c>
      <x:c r="E863" s="1" t="str">
        <x:v>Northeast</x:v>
      </x:c>
      <x:c r="F863" s="20" t="n">
        <x:v>104000</x:v>
      </x:c>
      <x:c r="G863" s="1" t="str">
        <x:v>New business</x:v>
      </x:c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 t="str">
        <x:v>ORD-00863</x:v>
      </x:c>
      <x:c r="B864" s="1" t="str">
        <x:v>ACC-0244</x:v>
      </x:c>
      <x:c r="C864" s="19" t="n">
        <x:v>45914</x:v>
      </x:c>
      <x:c r="D864" s="1" t="str">
        <x:v>Service &amp; Parts</x:v>
      </x:c>
      <x:c r="E864" s="1" t="str">
        <x:v>South</x:v>
      </x:c>
      <x:c r="F864" s="20" t="n">
        <x:v>25200</x:v>
      </x:c>
      <x:c r="G864" s="1" t="str">
        <x:v>New business</x:v>
      </x:c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 t="str">
        <x:v>ORD-00864</x:v>
      </x:c>
      <x:c r="B865" s="1" t="str">
        <x:v>ACC-0244</x:v>
      </x:c>
      <x:c r="C865" s="19" t="n">
        <x:v>45965</x:v>
      </x:c>
      <x:c r="D865" s="1" t="str">
        <x:v>Pouch Filler</x:v>
      </x:c>
      <x:c r="E865" s="1" t="str">
        <x:v>South</x:v>
      </x:c>
      <x:c r="F865" s="20" t="n">
        <x:v>177500</x:v>
      </x:c>
      <x:c r="G865" s="1" t="str">
        <x:v>Repeat purchase</x:v>
      </x:c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 t="str">
        <x:v>ORD-00865</x:v>
      </x:c>
      <x:c r="B866" s="1" t="str">
        <x:v>ACC-0244</x:v>
      </x:c>
      <x:c r="C866" s="19" t="n">
        <x:v>46091</x:v>
      </x:c>
      <x:c r="D866" s="1" t="str">
        <x:v>Service &amp; Parts</x:v>
      </x:c>
      <x:c r="E866" s="1" t="str">
        <x:v>South</x:v>
      </x:c>
      <x:c r="F866" s="20" t="n">
        <x:v>44300</x:v>
      </x:c>
      <x:c r="G866" s="1" t="str">
        <x:v>Repeat purchase</x:v>
      </x:c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 t="str">
        <x:v>ORD-00866</x:v>
      </x:c>
      <x:c r="B867" s="1" t="str">
        <x:v>ACC-0244</x:v>
      </x:c>
      <x:c r="C867" s="19" t="n">
        <x:v>46129</x:v>
      </x:c>
      <x:c r="D867" s="1" t="str">
        <x:v>Pouch Filler</x:v>
      </x:c>
      <x:c r="E867" s="1" t="str">
        <x:v>South</x:v>
      </x:c>
      <x:c r="F867" s="20" t="n">
        <x:v>211400</x:v>
      </x:c>
      <x:c r="G867" s="1" t="str">
        <x:v>Repeat purchase</x:v>
      </x:c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 t="str">
        <x:v>ORD-00867</x:v>
      </x:c>
      <x:c r="B868" s="1" t="str">
        <x:v>ACC-0244</x:v>
      </x:c>
      <x:c r="C868" s="19" t="n">
        <x:v>46175</x:v>
      </x:c>
      <x:c r="D868" s="1" t="str">
        <x:v>Case Packer</x:v>
      </x:c>
      <x:c r="E868" s="1" t="str">
        <x:v>South</x:v>
      </x:c>
      <x:c r="F868" s="20" t="n">
        <x:v>272800</x:v>
      </x:c>
      <x:c r="G868" s="1" t="str">
        <x:v>Repeat purchase</x:v>
      </x:c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 t="str">
        <x:v>ORD-00868</x:v>
      </x:c>
      <x:c r="B869" s="1" t="str">
        <x:v>ACC-0245</x:v>
      </x:c>
      <x:c r="C869" s="19" t="n">
        <x:v>45627</x:v>
      </x:c>
      <x:c r="D869" s="1" t="str">
        <x:v>Cartoning Machine</x:v>
      </x:c>
      <x:c r="E869" s="1" t="str">
        <x:v>South</x:v>
      </x:c>
      <x:c r="F869" s="20" t="n">
        <x:v>89700</x:v>
      </x:c>
      <x:c r="G869" s="1" t="str">
        <x:v>New business</x:v>
      </x:c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 t="str">
        <x:v>ORD-00869</x:v>
      </x:c>
      <x:c r="B870" s="1" t="str">
        <x:v>ACC-0245</x:v>
      </x:c>
      <x:c r="C870" s="19" t="n">
        <x:v>45762</x:v>
      </x:c>
      <x:c r="D870" s="1" t="str">
        <x:v>Case Packer</x:v>
      </x:c>
      <x:c r="E870" s="1" t="str">
        <x:v>South</x:v>
      </x:c>
      <x:c r="F870" s="20" t="n">
        <x:v>192500</x:v>
      </x:c>
      <x:c r="G870" s="1" t="str">
        <x:v>Repeat purchase</x:v>
      </x:c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 t="str">
        <x:v>ORD-00870</x:v>
      </x:c>
      <x:c r="B871" s="1" t="str">
        <x:v>ACC-0245</x:v>
      </x:c>
      <x:c r="C871" s="19" t="n">
        <x:v>46130</x:v>
      </x:c>
      <x:c r="D871" s="1" t="str">
        <x:v>Labeling System</x:v>
      </x:c>
      <x:c r="E871" s="1" t="str">
        <x:v>South</x:v>
      </x:c>
      <x:c r="F871" s="20" t="n">
        <x:v>55700</x:v>
      </x:c>
      <x:c r="G871" s="1" t="str">
        <x:v>Repeat purchase</x:v>
      </x:c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 t="str">
        <x:v>ORD-00871</x:v>
      </x:c>
      <x:c r="B872" s="1" t="str">
        <x:v>ACC-0245</x:v>
      </x:c>
      <x:c r="C872" s="19" t="n">
        <x:v>46141</x:v>
      </x:c>
      <x:c r="D872" s="1" t="str">
        <x:v>Cartoning Machine</x:v>
      </x:c>
      <x:c r="E872" s="1" t="str">
        <x:v>South</x:v>
      </x:c>
      <x:c r="F872" s="20" t="n">
        <x:v>73600</x:v>
      </x:c>
      <x:c r="G872" s="1" t="str">
        <x:v>Repeat purchase</x:v>
      </x:c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 t="str">
        <x:v>ORD-00872</x:v>
      </x:c>
      <x:c r="B873" s="1" t="str">
        <x:v>ACC-0245</x:v>
      </x:c>
      <x:c r="C873" s="19" t="n">
        <x:v>46171</x:v>
      </x:c>
      <x:c r="D873" s="1" t="str">
        <x:v>Labeling System</x:v>
      </x:c>
      <x:c r="E873" s="1" t="str">
        <x:v>South</x:v>
      </x:c>
      <x:c r="F873" s="20" t="n">
        <x:v>148200</x:v>
      </x:c>
      <x:c r="G873" s="1" t="str">
        <x:v>Repeat purchase</x:v>
      </x:c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 t="str">
        <x:v>ORD-00873</x:v>
      </x:c>
      <x:c r="B874" s="1" t="str">
        <x:v>ACC-0246</x:v>
      </x:c>
      <x:c r="C874" s="19" t="n">
        <x:v>46022</x:v>
      </x:c>
      <x:c r="D874" s="1" t="str">
        <x:v>Pouch Filler</x:v>
      </x:c>
      <x:c r="E874" s="1" t="str">
        <x:v>Midwest</x:v>
      </x:c>
      <x:c r="F874" s="20" t="n">
        <x:v>206900</x:v>
      </x:c>
      <x:c r="G874" s="1" t="str">
        <x:v>New business</x:v>
      </x:c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 t="str">
        <x:v>ORD-00874</x:v>
      </x:c>
      <x:c r="B875" s="1" t="str">
        <x:v>ACC-0246</x:v>
      </x:c>
      <x:c r="C875" s="19" t="n">
        <x:v>46145</x:v>
      </x:c>
      <x:c r="D875" s="1" t="str">
        <x:v>Cartoning Machine</x:v>
      </x:c>
      <x:c r="E875" s="1" t="str">
        <x:v>Midwest</x:v>
      </x:c>
      <x:c r="F875" s="20" t="n">
        <x:v>58200</x:v>
      </x:c>
      <x:c r="G875" s="1" t="str">
        <x:v>Repeat purchase</x:v>
      </x:c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 t="str">
        <x:v>ORD-00875</x:v>
      </x:c>
      <x:c r="B876" s="1" t="str">
        <x:v>ACC-0246</x:v>
      </x:c>
      <x:c r="C876" s="19" t="n">
        <x:v>46161</x:v>
      </x:c>
      <x:c r="D876" s="1" t="str">
        <x:v>Labeling System</x:v>
      </x:c>
      <x:c r="E876" s="1" t="str">
        <x:v>Midwest</x:v>
      </x:c>
      <x:c r="F876" s="20" t="n">
        <x:v>80500</x:v>
      </x:c>
      <x:c r="G876" s="1" t="str">
        <x:v>Repeat purchase</x:v>
      </x:c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 t="str">
        <x:v>ORD-00876</x:v>
      </x:c>
      <x:c r="B877" s="1" t="str">
        <x:v>ACC-0247</x:v>
      </x:c>
      <x:c r="C877" s="19" t="n">
        <x:v>45591</x:v>
      </x:c>
      <x:c r="D877" s="1" t="str">
        <x:v>Pouch Filler</x:v>
      </x:c>
      <x:c r="E877" s="1" t="str">
        <x:v>Midwest</x:v>
      </x:c>
      <x:c r="F877" s="20" t="n">
        <x:v>47600</x:v>
      </x:c>
      <x:c r="G877" s="1" t="str">
        <x:v>New business</x:v>
      </x:c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 t="str">
        <x:v>ORD-00877</x:v>
      </x:c>
      <x:c r="B878" s="1" t="str">
        <x:v>ACC-0247</x:v>
      </x:c>
      <x:c r="C878" s="19" t="n">
        <x:v>45640</x:v>
      </x:c>
      <x:c r="D878" s="1" t="str">
        <x:v>Cartoning Machine</x:v>
      </x:c>
      <x:c r="E878" s="1" t="str">
        <x:v>Midwest</x:v>
      </x:c>
      <x:c r="F878" s="20" t="n">
        <x:v>188600</x:v>
      </x:c>
      <x:c r="G878" s="1" t="str">
        <x:v>Repeat purchase</x:v>
      </x:c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 t="str">
        <x:v>ORD-00878</x:v>
      </x:c>
      <x:c r="B879" s="1" t="str">
        <x:v>ACC-0247</x:v>
      </x:c>
      <x:c r="C879" s="19" t="n">
        <x:v>45689</x:v>
      </x:c>
      <x:c r="D879" s="1" t="str">
        <x:v>Case Packer</x:v>
      </x:c>
      <x:c r="E879" s="1" t="str">
        <x:v>Midwest</x:v>
      </x:c>
      <x:c r="F879" s="20" t="n">
        <x:v>186600</x:v>
      </x:c>
      <x:c r="G879" s="1" t="str">
        <x:v>Repeat purchase</x:v>
      </x:c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 t="str">
        <x:v>ORD-00879</x:v>
      </x:c>
      <x:c r="B880" s="1" t="str">
        <x:v>ACC-0247</x:v>
      </x:c>
      <x:c r="C880" s="19" t="n">
        <x:v>45854</x:v>
      </x:c>
      <x:c r="D880" s="1" t="str">
        <x:v>Case Packer</x:v>
      </x:c>
      <x:c r="E880" s="1" t="str">
        <x:v>Midwest</x:v>
      </x:c>
      <x:c r="F880" s="20" t="n">
        <x:v>99400</x:v>
      </x:c>
      <x:c r="G880" s="1" t="str">
        <x:v>Repeat purchase</x:v>
      </x:c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 t="str">
        <x:v>ORD-00880</x:v>
      </x:c>
      <x:c r="B881" s="1" t="str">
        <x:v>ACC-0248</x:v>
      </x:c>
      <x:c r="C881" s="19" t="n">
        <x:v>45673</x:v>
      </x:c>
      <x:c r="D881" s="1" t="str">
        <x:v>Pouch Filler</x:v>
      </x:c>
      <x:c r="E881" s="1" t="str">
        <x:v>Northeast</x:v>
      </x:c>
      <x:c r="F881" s="20" t="n">
        <x:v>139800</x:v>
      </x:c>
      <x:c r="G881" s="1" t="str">
        <x:v>New business</x:v>
      </x:c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 t="str">
        <x:v>ORD-00881</x:v>
      </x:c>
      <x:c r="B882" s="1" t="str">
        <x:v>ACC-0248</x:v>
      </x:c>
      <x:c r="C882" s="19" t="n">
        <x:v>45697</x:v>
      </x:c>
      <x:c r="D882" s="1" t="str">
        <x:v>Case Packer</x:v>
      </x:c>
      <x:c r="E882" s="1" t="str">
        <x:v>Northeast</x:v>
      </x:c>
      <x:c r="F882" s="20" t="n">
        <x:v>144900</x:v>
      </x:c>
      <x:c r="G882" s="1" t="str">
        <x:v>Repeat purchase</x:v>
      </x:c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 t="str">
        <x:v>ORD-00882</x:v>
      </x:c>
      <x:c r="B883" s="1" t="str">
        <x:v>ACC-0248</x:v>
      </x:c>
      <x:c r="C883" s="19" t="n">
        <x:v>45909</x:v>
      </x:c>
      <x:c r="D883" s="1" t="str">
        <x:v>Labeling System</x:v>
      </x:c>
      <x:c r="E883" s="1" t="str">
        <x:v>Northeast</x:v>
      </x:c>
      <x:c r="F883" s="20" t="n">
        <x:v>192200</x:v>
      </x:c>
      <x:c r="G883" s="1" t="str">
        <x:v>Repeat purchase</x:v>
      </x:c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 t="str">
        <x:v>ORD-00883</x:v>
      </x:c>
      <x:c r="B884" s="1" t="str">
        <x:v>ACC-0248</x:v>
      </x:c>
      <x:c r="C884" s="19" t="n">
        <x:v>46097</x:v>
      </x:c>
      <x:c r="D884" s="1" t="str">
        <x:v>Pouch Filler</x:v>
      </x:c>
      <x:c r="E884" s="1" t="str">
        <x:v>Northeast</x:v>
      </x:c>
      <x:c r="F884" s="20" t="n">
        <x:v>92900</x:v>
      </x:c>
      <x:c r="G884" s="1" t="str">
        <x:v>Repeat purchase</x:v>
      </x:c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 t="str">
        <x:v>ORD-00884</x:v>
      </x:c>
      <x:c r="B885" s="1" t="str">
        <x:v>ACC-0248</x:v>
      </x:c>
      <x:c r="C885" s="19" t="n">
        <x:v>46156</x:v>
      </x:c>
      <x:c r="D885" s="1" t="str">
        <x:v>Case Packer</x:v>
      </x:c>
      <x:c r="E885" s="1" t="str">
        <x:v>Northeast</x:v>
      </x:c>
      <x:c r="F885" s="20" t="n">
        <x:v>111400</x:v>
      </x:c>
      <x:c r="G885" s="1" t="str">
        <x:v>Repeat purchase</x:v>
      </x:c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 t="str">
        <x:v>ORD-00885</x:v>
      </x:c>
      <x:c r="B886" s="1" t="str">
        <x:v>ACC-0249</x:v>
      </x:c>
      <x:c r="C886" s="19" t="n">
        <x:v>46019</x:v>
      </x:c>
      <x:c r="D886" s="1" t="str">
        <x:v>Case Packer</x:v>
      </x:c>
      <x:c r="E886" s="1" t="str">
        <x:v>Midwest</x:v>
      </x:c>
      <x:c r="F886" s="20" t="n">
        <x:v>88300</x:v>
      </x:c>
      <x:c r="G886" s="1" t="str">
        <x:v>New business</x:v>
      </x:c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 t="str">
        <x:v>ORD-00886</x:v>
      </x:c>
      <x:c r="B887" s="1" t="str">
        <x:v>ACC-0249</x:v>
      </x:c>
      <x:c r="C887" s="19" t="n">
        <x:v>46023</x:v>
      </x:c>
      <x:c r="D887" s="1" t="str">
        <x:v>Cartoning Machine</x:v>
      </x:c>
      <x:c r="E887" s="1" t="str">
        <x:v>Midwest</x:v>
      </x:c>
      <x:c r="F887" s="20" t="n">
        <x:v>139900</x:v>
      </x:c>
      <x:c r="G887" s="1" t="str">
        <x:v>Repeat purchase</x:v>
      </x:c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 t="str">
        <x:v>ORD-00887</x:v>
      </x:c>
      <x:c r="B888" s="1" t="str">
        <x:v>ACC-0249</x:v>
      </x:c>
      <x:c r="C888" s="19" t="n">
        <x:v>46130</x:v>
      </x:c>
      <x:c r="D888" s="1" t="str">
        <x:v>Case Packer</x:v>
      </x:c>
      <x:c r="E888" s="1" t="str">
        <x:v>Midwest</x:v>
      </x:c>
      <x:c r="F888" s="20" t="n">
        <x:v>110700</x:v>
      </x:c>
      <x:c r="G888" s="1" t="str">
        <x:v>Repeat purchase</x:v>
      </x:c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 t="str">
        <x:v>ORD-00888</x:v>
      </x:c>
      <x:c r="B889" s="1" t="str">
        <x:v>ACC-0250</x:v>
      </x:c>
      <x:c r="C889" s="19" t="n">
        <x:v>45835</x:v>
      </x:c>
      <x:c r="D889" s="1" t="str">
        <x:v>Service &amp; Parts</x:v>
      </x:c>
      <x:c r="E889" s="1" t="str">
        <x:v>South</x:v>
      </x:c>
      <x:c r="F889" s="20" t="n">
        <x:v>25500</x:v>
      </x:c>
      <x:c r="G889" s="1" t="str">
        <x:v>New business</x:v>
      </x:c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 t="str">
        <x:v>ORD-00889</x:v>
      </x:c>
      <x:c r="B890" s="1" t="str">
        <x:v>ACC-0250</x:v>
      </x:c>
      <x:c r="C890" s="19" t="n">
        <x:v>46057</x:v>
      </x:c>
      <x:c r="D890" s="1" t="str">
        <x:v>Case Packer</x:v>
      </x:c>
      <x:c r="E890" s="1" t="str">
        <x:v>South</x:v>
      </x:c>
      <x:c r="F890" s="20" t="n">
        <x:v>84500</x:v>
      </x:c>
      <x:c r="G890" s="1" t="str">
        <x:v>Repeat purchase</x:v>
      </x:c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 t="str">
        <x:v>ORD-00890</x:v>
      </x:c>
      <x:c r="B891" s="1" t="str">
        <x:v>ACC-0250</x:v>
      </x:c>
      <x:c r="C891" s="19" t="n">
        <x:v>46081</x:v>
      </x:c>
      <x:c r="D891" s="1" t="str">
        <x:v>Labeling System</x:v>
      </x:c>
      <x:c r="E891" s="1" t="str">
        <x:v>South</x:v>
      </x:c>
      <x:c r="F891" s="20" t="n">
        <x:v>211600</x:v>
      </x:c>
      <x:c r="G891" s="1" t="str">
        <x:v>Repeat purchase</x:v>
      </x:c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 t="str">
        <x:v>ORD-00891</x:v>
      </x:c>
      <x:c r="B892" s="1" t="str">
        <x:v>ACC-0250</x:v>
      </x:c>
      <x:c r="C892" s="19" t="n">
        <x:v>46090</x:v>
      </x:c>
      <x:c r="D892" s="1" t="str">
        <x:v>Case Packer</x:v>
      </x:c>
      <x:c r="E892" s="1" t="str">
        <x:v>South</x:v>
      </x:c>
      <x:c r="F892" s="20" t="n">
        <x:v>215000</x:v>
      </x:c>
      <x:c r="G892" s="1" t="str">
        <x:v>Repeat purchase</x:v>
      </x:c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 t="str">
        <x:v>ORD-00892</x:v>
      </x:c>
      <x:c r="B893" s="1" t="str">
        <x:v>ACC-0250</x:v>
      </x:c>
      <x:c r="C893" s="19" t="n">
        <x:v>46132</x:v>
      </x:c>
      <x:c r="D893" s="1" t="str">
        <x:v>Pouch Filler</x:v>
      </x:c>
      <x:c r="E893" s="1" t="str">
        <x:v>South</x:v>
      </x:c>
      <x:c r="F893" s="20" t="n">
        <x:v>188300</x:v>
      </x:c>
      <x:c r="G893" s="1" t="str">
        <x:v>Repeat purchase</x:v>
      </x:c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 t="str">
        <x:v>ORD-00893</x:v>
      </x:c>
      <x:c r="B894" s="1" t="str">
        <x:v>ACC-0251</x:v>
      </x:c>
      <x:c r="C894" s="19" t="n">
        <x:v>45998</x:v>
      </x:c>
      <x:c r="D894" s="1" t="str">
        <x:v>Case Packer</x:v>
      </x:c>
      <x:c r="E894" s="1" t="str">
        <x:v>Midwest</x:v>
      </x:c>
      <x:c r="F894" s="20" t="n">
        <x:v>93400</x:v>
      </x:c>
      <x:c r="G894" s="1" t="str">
        <x:v>New business</x:v>
      </x:c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 t="str">
        <x:v>ORD-00894</x:v>
      </x:c>
      <x:c r="B895" s="1" t="str">
        <x:v>ACC-0251</x:v>
      </x:c>
      <x:c r="C895" s="19" t="n">
        <x:v>46128</x:v>
      </x:c>
      <x:c r="D895" s="1" t="str">
        <x:v>Service &amp; Parts</x:v>
      </x:c>
      <x:c r="E895" s="1" t="str">
        <x:v>Midwest</x:v>
      </x:c>
      <x:c r="F895" s="20" t="n">
        <x:v>17900</x:v>
      </x:c>
      <x:c r="G895" s="1" t="str">
        <x:v>Repeat purchase</x:v>
      </x:c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 t="str">
        <x:v>ORD-00895</x:v>
      </x:c>
      <x:c r="B896" s="1" t="str">
        <x:v>ACC-0251</x:v>
      </x:c>
      <x:c r="C896" s="19" t="n">
        <x:v>46179</x:v>
      </x:c>
      <x:c r="D896" s="1" t="str">
        <x:v>Labeling System</x:v>
      </x:c>
      <x:c r="E896" s="1" t="str">
        <x:v>Midwest</x:v>
      </x:c>
      <x:c r="F896" s="20" t="n">
        <x:v>47900</x:v>
      </x:c>
      <x:c r="G896" s="1" t="str">
        <x:v>Repeat purchase</x:v>
      </x:c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 t="str">
        <x:v>ORD-00896</x:v>
      </x:c>
      <x:c r="B897" s="1" t="str">
        <x:v>ACC-0252</x:v>
      </x:c>
      <x:c r="C897" s="19" t="n">
        <x:v>45622</x:v>
      </x:c>
      <x:c r="D897" s="1" t="str">
        <x:v>Service &amp; Parts</x:v>
      </x:c>
      <x:c r="E897" s="1" t="str">
        <x:v>Northeast</x:v>
      </x:c>
      <x:c r="F897" s="20" t="n">
        <x:v>25300</x:v>
      </x:c>
      <x:c r="G897" s="1" t="str">
        <x:v>New business</x:v>
      </x:c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 t="str">
        <x:v>ORD-00897</x:v>
      </x:c>
      <x:c r="B898" s="1" t="str">
        <x:v>ACC-0252</x:v>
      </x:c>
      <x:c r="C898" s="19" t="n">
        <x:v>45731</x:v>
      </x:c>
      <x:c r="D898" s="1" t="str">
        <x:v>Pouch Filler</x:v>
      </x:c>
      <x:c r="E898" s="1" t="str">
        <x:v>Northeast</x:v>
      </x:c>
      <x:c r="F898" s="20" t="n">
        <x:v>136700</x:v>
      </x:c>
      <x:c r="G898" s="1" t="str">
        <x:v>Repeat purchase</x:v>
      </x:c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 t="str">
        <x:v>ORD-00898</x:v>
      </x:c>
      <x:c r="B899" s="1" t="str">
        <x:v>ACC-0252</x:v>
      </x:c>
      <x:c r="C899" s="19" t="n">
        <x:v>45780</x:v>
      </x:c>
      <x:c r="D899" s="1" t="str">
        <x:v>Service &amp; Parts</x:v>
      </x:c>
      <x:c r="E899" s="1" t="str">
        <x:v>Northeast</x:v>
      </x:c>
      <x:c r="F899" s="20" t="n">
        <x:v>13800</x:v>
      </x:c>
      <x:c r="G899" s="1" t="str">
        <x:v>Repeat purchase</x:v>
      </x:c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 t="str">
        <x:v>ORD-00899</x:v>
      </x:c>
      <x:c r="B900" s="1" t="str">
        <x:v>ACC-0252</x:v>
      </x:c>
      <x:c r="C900" s="19" t="n">
        <x:v>45869</x:v>
      </x:c>
      <x:c r="D900" s="1" t="str">
        <x:v>Pouch Filler</x:v>
      </x:c>
      <x:c r="E900" s="1" t="str">
        <x:v>Northeast</x:v>
      </x:c>
      <x:c r="F900" s="20" t="n">
        <x:v>199800</x:v>
      </x:c>
      <x:c r="G900" s="1" t="str">
        <x:v>Repeat purchase</x:v>
      </x:c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 t="str">
        <x:v>ORD-00900</x:v>
      </x:c>
      <x:c r="B901" s="1" t="str">
        <x:v>ACC-0252</x:v>
      </x:c>
      <x:c r="C901" s="19" t="n">
        <x:v>45987</x:v>
      </x:c>
      <x:c r="D901" s="1" t="str">
        <x:v>Labeling System</x:v>
      </x:c>
      <x:c r="E901" s="1" t="str">
        <x:v>Northeast</x:v>
      </x:c>
      <x:c r="F901" s="20" t="n">
        <x:v>248000</x:v>
      </x:c>
      <x:c r="G901" s="1" t="str">
        <x:v>Repeat purchase</x:v>
      </x:c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 t="str">
        <x:v>ORD-00901</x:v>
      </x:c>
      <x:c r="B902" s="1" t="str">
        <x:v>ACC-0252</x:v>
      </x:c>
      <x:c r="C902" s="19" t="n">
        <x:v>46039</x:v>
      </x:c>
      <x:c r="D902" s="1" t="str">
        <x:v>Labeling System</x:v>
      </x:c>
      <x:c r="E902" s="1" t="str">
        <x:v>Northeast</x:v>
      </x:c>
      <x:c r="F902" s="20" t="n">
        <x:v>278800</x:v>
      </x:c>
      <x:c r="G902" s="1" t="str">
        <x:v>Repeat purchase</x:v>
      </x:c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 t="str">
        <x:v>ORD-00902</x:v>
      </x:c>
      <x:c r="B903" s="1" t="str">
        <x:v>ACC-0253</x:v>
      </x:c>
      <x:c r="C903" s="19" t="n">
        <x:v>45776</x:v>
      </x:c>
      <x:c r="D903" s="1" t="str">
        <x:v>Case Packer</x:v>
      </x:c>
      <x:c r="E903" s="1" t="str">
        <x:v>Midwest</x:v>
      </x:c>
      <x:c r="F903" s="20" t="n">
        <x:v>99300</x:v>
      </x:c>
      <x:c r="G903" s="1" t="str">
        <x:v>New business</x:v>
      </x:c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 t="str">
        <x:v>ORD-00903</x:v>
      </x:c>
      <x:c r="B904" s="1" t="str">
        <x:v>ACC-0253</x:v>
      </x:c>
      <x:c r="C904" s="19" t="n">
        <x:v>45933</x:v>
      </x:c>
      <x:c r="D904" s="1" t="str">
        <x:v>Cartoning Machine</x:v>
      </x:c>
      <x:c r="E904" s="1" t="str">
        <x:v>Midwest</x:v>
      </x:c>
      <x:c r="F904" s="20" t="n">
        <x:v>109000</x:v>
      </x:c>
      <x:c r="G904" s="1" t="str">
        <x:v>Repeat purchase</x:v>
      </x:c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 t="str">
        <x:v>ORD-00904</x:v>
      </x:c>
      <x:c r="B905" s="1" t="str">
        <x:v>ACC-0254</x:v>
      </x:c>
      <x:c r="C905" s="19" t="n">
        <x:v>45390</x:v>
      </x:c>
      <x:c r="D905" s="1" t="str">
        <x:v>Pouch Filler</x:v>
      </x:c>
      <x:c r="E905" s="1" t="str">
        <x:v>South</x:v>
      </x:c>
      <x:c r="F905" s="20" t="n">
        <x:v>127000</x:v>
      </x:c>
      <x:c r="G905" s="1" t="str">
        <x:v>New business</x:v>
      </x:c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 t="str">
        <x:v>ORD-00905</x:v>
      </x:c>
      <x:c r="B906" s="1" t="str">
        <x:v>ACC-0254</x:v>
      </x:c>
      <x:c r="C906" s="19" t="n">
        <x:v>45912</x:v>
      </x:c>
      <x:c r="D906" s="1" t="str">
        <x:v>Pouch Filler</x:v>
      </x:c>
      <x:c r="E906" s="1" t="str">
        <x:v>South</x:v>
      </x:c>
      <x:c r="F906" s="20" t="n">
        <x:v>135200</x:v>
      </x:c>
      <x:c r="G906" s="1" t="str">
        <x:v>Repeat purchase</x:v>
      </x:c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 t="str">
        <x:v>ORD-00906</x:v>
      </x:c>
      <x:c r="B907" s="1" t="str">
        <x:v>ACC-0255</x:v>
      </x:c>
      <x:c r="C907" s="19" t="n">
        <x:v>46138</x:v>
      </x:c>
      <x:c r="D907" s="1" t="str">
        <x:v>Labeling System</x:v>
      </x:c>
      <x:c r="E907" s="1" t="str">
        <x:v>Midwest</x:v>
      </x:c>
      <x:c r="F907" s="20" t="n">
        <x:v>121300</x:v>
      </x:c>
      <x:c r="G907" s="1" t="str">
        <x:v>New business</x:v>
      </x:c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 t="str">
        <x:v>ORD-00907</x:v>
      </x:c>
      <x:c r="B908" s="1" t="str">
        <x:v>ACC-0256</x:v>
      </x:c>
      <x:c r="C908" s="19" t="n">
        <x:v>45769</x:v>
      </x:c>
      <x:c r="D908" s="1" t="str">
        <x:v>Cartoning Machine</x:v>
      </x:c>
      <x:c r="E908" s="1" t="str">
        <x:v>Midwest</x:v>
      </x:c>
      <x:c r="F908" s="20" t="n">
        <x:v>81400</x:v>
      </x:c>
      <x:c r="G908" s="1" t="str">
        <x:v>New business</x:v>
      </x:c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 t="str">
        <x:v>ORD-00908</x:v>
      </x:c>
      <x:c r="B909" s="1" t="str">
        <x:v>ACC-0256</x:v>
      </x:c>
      <x:c r="C909" s="19" t="n">
        <x:v>45895</x:v>
      </x:c>
      <x:c r="D909" s="1" t="str">
        <x:v>Pouch Filler</x:v>
      </x:c>
      <x:c r="E909" s="1" t="str">
        <x:v>Midwest</x:v>
      </x:c>
      <x:c r="F909" s="20" t="n">
        <x:v>89900</x:v>
      </x:c>
      <x:c r="G909" s="1" t="str">
        <x:v>Repeat purchase</x:v>
      </x:c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 t="str">
        <x:v>ORD-00909</x:v>
      </x:c>
      <x:c r="B910" s="1" t="str">
        <x:v>ACC-0256</x:v>
      </x:c>
      <x:c r="C910" s="19" t="n">
        <x:v>45920</x:v>
      </x:c>
      <x:c r="D910" s="1" t="str">
        <x:v>Labeling System</x:v>
      </x:c>
      <x:c r="E910" s="1" t="str">
        <x:v>Midwest</x:v>
      </x:c>
      <x:c r="F910" s="20" t="n">
        <x:v>78400</x:v>
      </x:c>
      <x:c r="G910" s="1" t="str">
        <x:v>Repeat purchase</x:v>
      </x:c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 t="str">
        <x:v>ORD-00910</x:v>
      </x:c>
      <x:c r="B911" s="1" t="str">
        <x:v>ACC-0256</x:v>
      </x:c>
      <x:c r="C911" s="19" t="n">
        <x:v>45993</x:v>
      </x:c>
      <x:c r="D911" s="1" t="str">
        <x:v>Labeling System</x:v>
      </x:c>
      <x:c r="E911" s="1" t="str">
        <x:v>Midwest</x:v>
      </x:c>
      <x:c r="F911" s="20" t="n">
        <x:v>204900</x:v>
      </x:c>
      <x:c r="G911" s="1" t="str">
        <x:v>Repeat purchase</x:v>
      </x:c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 t="str">
        <x:v>ORD-00911</x:v>
      </x:c>
      <x:c r="B912" s="1" t="str">
        <x:v>ACC-0256</x:v>
      </x:c>
      <x:c r="C912" s="19" t="n">
        <x:v>46085</x:v>
      </x:c>
      <x:c r="D912" s="1" t="str">
        <x:v>Cartoning Machine</x:v>
      </x:c>
      <x:c r="E912" s="1" t="str">
        <x:v>Midwest</x:v>
      </x:c>
      <x:c r="F912" s="20" t="n">
        <x:v>82300</x:v>
      </x:c>
      <x:c r="G912" s="1" t="str">
        <x:v>Repeat purchase</x:v>
      </x:c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 t="str">
        <x:v>ORD-00912</x:v>
      </x:c>
      <x:c r="B913" s="1" t="str">
        <x:v>ACC-0256</x:v>
      </x:c>
      <x:c r="C913" s="19" t="n">
        <x:v>46147</x:v>
      </x:c>
      <x:c r="D913" s="1" t="str">
        <x:v>Service &amp; Parts</x:v>
      </x:c>
      <x:c r="E913" s="1" t="str">
        <x:v>Midwest</x:v>
      </x:c>
      <x:c r="F913" s="20" t="n">
        <x:v>26300</x:v>
      </x:c>
      <x:c r="G913" s="1" t="str">
        <x:v>Repeat purchase</x:v>
      </x:c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 t="str">
        <x:v>ORD-00913</x:v>
      </x:c>
      <x:c r="B914" s="1" t="str">
        <x:v>ACC-0257</x:v>
      </x:c>
      <x:c r="C914" s="19" t="n">
        <x:v>45706</x:v>
      </x:c>
      <x:c r="D914" s="1" t="str">
        <x:v>Cartoning Machine</x:v>
      </x:c>
      <x:c r="E914" s="1" t="str">
        <x:v>Midwest</x:v>
      </x:c>
      <x:c r="F914" s="20" t="n">
        <x:v>283300</x:v>
      </x:c>
      <x:c r="G914" s="1" t="str">
        <x:v>New business</x:v>
      </x:c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 t="str">
        <x:v>ORD-00914</x:v>
      </x:c>
      <x:c r="B915" s="1" t="str">
        <x:v>ACC-0257</x:v>
      </x:c>
      <x:c r="C915" s="19" t="n">
        <x:v>45740</x:v>
      </x:c>
      <x:c r="D915" s="1" t="str">
        <x:v>Pouch Filler</x:v>
      </x:c>
      <x:c r="E915" s="1" t="str">
        <x:v>Midwest</x:v>
      </x:c>
      <x:c r="F915" s="20" t="n">
        <x:v>150300</x:v>
      </x:c>
      <x:c r="G915" s="1" t="str">
        <x:v>Repeat purchase</x:v>
      </x:c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 t="str">
        <x:v>ORD-00915</x:v>
      </x:c>
      <x:c r="B916" s="1" t="str">
        <x:v>ACC-0257</x:v>
      </x:c>
      <x:c r="C916" s="19" t="n">
        <x:v>45920</x:v>
      </x:c>
      <x:c r="D916" s="1" t="str">
        <x:v>Service &amp; Parts</x:v>
      </x:c>
      <x:c r="E916" s="1" t="str">
        <x:v>Midwest</x:v>
      </x:c>
      <x:c r="F916" s="20" t="n">
        <x:v>41800</x:v>
      </x:c>
      <x:c r="G916" s="1" t="str">
        <x:v>Repeat purchase</x:v>
      </x:c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 t="str">
        <x:v>ORD-00916</x:v>
      </x:c>
      <x:c r="B917" s="1" t="str">
        <x:v>ACC-0257</x:v>
      </x:c>
      <x:c r="C917" s="19" t="n">
        <x:v>45927</x:v>
      </x:c>
      <x:c r="D917" s="1" t="str">
        <x:v>Case Packer</x:v>
      </x:c>
      <x:c r="E917" s="1" t="str">
        <x:v>Midwest</x:v>
      </x:c>
      <x:c r="F917" s="20" t="n">
        <x:v>165200</x:v>
      </x:c>
      <x:c r="G917" s="1" t="str">
        <x:v>Repeat purchase</x:v>
      </x:c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 t="str">
        <x:v>ORD-00917</x:v>
      </x:c>
      <x:c r="B918" s="1" t="str">
        <x:v>ACC-0257</x:v>
      </x:c>
      <x:c r="C918" s="19" t="n">
        <x:v>46000</x:v>
      </x:c>
      <x:c r="D918" s="1" t="str">
        <x:v>Cartoning Machine</x:v>
      </x:c>
      <x:c r="E918" s="1" t="str">
        <x:v>Midwest</x:v>
      </x:c>
      <x:c r="F918" s="20" t="n">
        <x:v>131700</x:v>
      </x:c>
      <x:c r="G918" s="1" t="str">
        <x:v>Repeat purchase</x:v>
      </x:c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 t="str">
        <x:v>ORD-00918</x:v>
      </x:c>
      <x:c r="B919" s="1" t="str">
        <x:v>ACC-0257</x:v>
      </x:c>
      <x:c r="C919" s="19" t="n">
        <x:v>46113</x:v>
      </x:c>
      <x:c r="D919" s="1" t="str">
        <x:v>Case Packer</x:v>
      </x:c>
      <x:c r="E919" s="1" t="str">
        <x:v>Midwest</x:v>
      </x:c>
      <x:c r="F919" s="20" t="n">
        <x:v>75700</x:v>
      </x:c>
      <x:c r="G919" s="1" t="str">
        <x:v>Repeat purchase</x:v>
      </x:c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 t="str">
        <x:v>ORD-00919</x:v>
      </x:c>
      <x:c r="B920" s="1" t="str">
        <x:v>ACC-0257</x:v>
      </x:c>
      <x:c r="C920" s="19" t="n">
        <x:v>46186</x:v>
      </x:c>
      <x:c r="D920" s="1" t="str">
        <x:v>Labeling System</x:v>
      </x:c>
      <x:c r="E920" s="1" t="str">
        <x:v>Midwest</x:v>
      </x:c>
      <x:c r="F920" s="20" t="n">
        <x:v>76700</x:v>
      </x:c>
      <x:c r="G920" s="1" t="str">
        <x:v>Repeat purchase</x:v>
      </x:c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 t="str">
        <x:v>ORD-00920</x:v>
      </x:c>
      <x:c r="B921" s="1" t="str">
        <x:v>ACC-0258</x:v>
      </x:c>
      <x:c r="C921" s="19" t="n">
        <x:v>45680</x:v>
      </x:c>
      <x:c r="D921" s="1" t="str">
        <x:v>Pouch Filler</x:v>
      </x:c>
      <x:c r="E921" s="1" t="str">
        <x:v>South</x:v>
      </x:c>
      <x:c r="F921" s="20" t="n">
        <x:v>157200</x:v>
      </x:c>
      <x:c r="G921" s="1" t="str">
        <x:v>New business</x:v>
      </x:c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 t="str">
        <x:v>ORD-00921</x:v>
      </x:c>
      <x:c r="B922" s="1" t="str">
        <x:v>ACC-0258</x:v>
      </x:c>
      <x:c r="C922" s="19" t="n">
        <x:v>45760</x:v>
      </x:c>
      <x:c r="D922" s="1" t="str">
        <x:v>Pouch Filler</x:v>
      </x:c>
      <x:c r="E922" s="1" t="str">
        <x:v>South</x:v>
      </x:c>
      <x:c r="F922" s="20" t="n">
        <x:v>187800</x:v>
      </x:c>
      <x:c r="G922" s="1" t="str">
        <x:v>Repeat purchase</x:v>
      </x:c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 t="str">
        <x:v>ORD-00922</x:v>
      </x:c>
      <x:c r="B923" s="1" t="str">
        <x:v>ACC-0258</x:v>
      </x:c>
      <x:c r="C923" s="19" t="n">
        <x:v>45954</x:v>
      </x:c>
      <x:c r="D923" s="1" t="str">
        <x:v>Service &amp; Parts</x:v>
      </x:c>
      <x:c r="E923" s="1" t="str">
        <x:v>South</x:v>
      </x:c>
      <x:c r="F923" s="20" t="n">
        <x:v>22700</x:v>
      </x:c>
      <x:c r="G923" s="1" t="str">
        <x:v>Repeat purchase</x:v>
      </x:c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 t="str">
        <x:v>ORD-00923</x:v>
      </x:c>
      <x:c r="B924" s="1" t="str">
        <x:v>ACC-0259</x:v>
      </x:c>
      <x:c r="C924" s="19" t="n">
        <x:v>46022</x:v>
      </x:c>
      <x:c r="D924" s="1" t="str">
        <x:v>Pouch Filler</x:v>
      </x:c>
      <x:c r="E924" s="1" t="str">
        <x:v>South</x:v>
      </x:c>
      <x:c r="F924" s="20" t="n">
        <x:v>266600</x:v>
      </x:c>
      <x:c r="G924" s="1" t="str">
        <x:v>New business</x:v>
      </x:c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 t="str">
        <x:v>ORD-00924</x:v>
      </x:c>
      <x:c r="B925" s="1" t="str">
        <x:v>ACC-0259</x:v>
      </x:c>
      <x:c r="C925" s="19" t="n">
        <x:v>46158</x:v>
      </x:c>
      <x:c r="D925" s="1" t="str">
        <x:v>Pouch Filler</x:v>
      </x:c>
      <x:c r="E925" s="1" t="str">
        <x:v>South</x:v>
      </x:c>
      <x:c r="F925" s="20" t="n">
        <x:v>210200</x:v>
      </x:c>
      <x:c r="G925" s="1" t="str">
        <x:v>Repeat purchase</x:v>
      </x:c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 t="str">
        <x:v>ORD-00925</x:v>
      </x:c>
      <x:c r="B926" s="1" t="str">
        <x:v>ACC-0259</x:v>
      </x:c>
      <x:c r="C926" s="19" t="n">
        <x:v>46180</x:v>
      </x:c>
      <x:c r="D926" s="1" t="str">
        <x:v>Case Packer</x:v>
      </x:c>
      <x:c r="E926" s="1" t="str">
        <x:v>South</x:v>
      </x:c>
      <x:c r="F926" s="20" t="n">
        <x:v>77400</x:v>
      </x:c>
      <x:c r="G926" s="1" t="str">
        <x:v>Repeat purchase</x:v>
      </x:c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 t="str">
        <x:v>ORD-00926</x:v>
      </x:c>
      <x:c r="B927" s="1" t="str">
        <x:v>ACC-0260</x:v>
      </x:c>
      <x:c r="C927" s="19" t="n">
        <x:v>46108</x:v>
      </x:c>
      <x:c r="D927" s="1" t="str">
        <x:v>Case Packer</x:v>
      </x:c>
      <x:c r="E927" s="1" t="str">
        <x:v>South</x:v>
      </x:c>
      <x:c r="F927" s="20" t="n">
        <x:v>238800</x:v>
      </x:c>
      <x:c r="G927" s="1" t="str">
        <x:v>New business</x:v>
      </x:c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 t="str">
        <x:v>ORD-00927</x:v>
      </x:c>
      <x:c r="B928" s="1" t="str">
        <x:v>ACC-0260</x:v>
      </x:c>
      <x:c r="C928" s="19" t="n">
        <x:v>46134</x:v>
      </x:c>
      <x:c r="D928" s="1" t="str">
        <x:v>Labeling System</x:v>
      </x:c>
      <x:c r="E928" s="1" t="str">
        <x:v>South</x:v>
      </x:c>
      <x:c r="F928" s="20" t="n">
        <x:v>153200</x:v>
      </x:c>
      <x:c r="G928" s="1" t="str">
        <x:v>Repeat purchase</x:v>
      </x:c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 t="str">
        <x:v>ORD-00928</x:v>
      </x:c>
      <x:c r="B929" s="1" t="str">
        <x:v>ACC-0261</x:v>
      </x:c>
      <x:c r="C929" s="19" t="n">
        <x:v>46130</x:v>
      </x:c>
      <x:c r="D929" s="1" t="str">
        <x:v>Cartoning Machine</x:v>
      </x:c>
      <x:c r="E929" s="1" t="str">
        <x:v>Northeast</x:v>
      </x:c>
      <x:c r="F929" s="20" t="n">
        <x:v>115300</x:v>
      </x:c>
      <x:c r="G929" s="1" t="str">
        <x:v>New business</x:v>
      </x:c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 t="str">
        <x:v>ORD-00929</x:v>
      </x:c>
      <x:c r="B930" s="1" t="str">
        <x:v>ACC-0261</x:v>
      </x:c>
      <x:c r="C930" s="19" t="n">
        <x:v>46191</x:v>
      </x:c>
      <x:c r="D930" s="1" t="str">
        <x:v>Service &amp; Parts</x:v>
      </x:c>
      <x:c r="E930" s="1" t="str">
        <x:v>Northeast</x:v>
      </x:c>
      <x:c r="F930" s="20" t="n">
        <x:v>32200</x:v>
      </x:c>
      <x:c r="G930" s="1" t="str">
        <x:v>Repeat purchase</x:v>
      </x:c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 t="str">
        <x:v>ORD-00930</x:v>
      </x:c>
      <x:c r="B931" s="1" t="str">
        <x:v>ACC-0262</x:v>
      </x:c>
      <x:c r="C931" s="19" t="n">
        <x:v>45598</x:v>
      </x:c>
      <x:c r="D931" s="1" t="str">
        <x:v>Service &amp; Parts</x:v>
      </x:c>
      <x:c r="E931" s="1" t="str">
        <x:v>South</x:v>
      </x:c>
      <x:c r="F931" s="20" t="n">
        <x:v>23500</x:v>
      </x:c>
      <x:c r="G931" s="1" t="str">
        <x:v>New business</x:v>
      </x:c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 t="str">
        <x:v>ORD-00931</x:v>
      </x:c>
      <x:c r="B932" s="1" t="str">
        <x:v>ACC-0262</x:v>
      </x:c>
      <x:c r="C932" s="19" t="n">
        <x:v>45687</x:v>
      </x:c>
      <x:c r="D932" s="1" t="str">
        <x:v>Labeling System</x:v>
      </x:c>
      <x:c r="E932" s="1" t="str">
        <x:v>South</x:v>
      </x:c>
      <x:c r="F932" s="20" t="n">
        <x:v>109700</x:v>
      </x:c>
      <x:c r="G932" s="1" t="str">
        <x:v>Repeat purchase</x:v>
      </x:c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 t="str">
        <x:v>ORD-00932</x:v>
      </x:c>
      <x:c r="B933" s="1" t="str">
        <x:v>ACC-0263</x:v>
      </x:c>
      <x:c r="C933" s="19" t="n">
        <x:v>45777</x:v>
      </x:c>
      <x:c r="D933" s="1" t="str">
        <x:v>Service &amp; Parts</x:v>
      </x:c>
      <x:c r="E933" s="1" t="str">
        <x:v>West</x:v>
      </x:c>
      <x:c r="F933" s="20" t="n">
        <x:v>23400</x:v>
      </x:c>
      <x:c r="G933" s="1" t="str">
        <x:v>New business</x:v>
      </x:c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 t="str">
        <x:v>ORD-00933</x:v>
      </x:c>
      <x:c r="B934" s="1" t="str">
        <x:v>ACC-0263</x:v>
      </x:c>
      <x:c r="C934" s="19" t="n">
        <x:v>46026</x:v>
      </x:c>
      <x:c r="D934" s="1" t="str">
        <x:v>Labeling System</x:v>
      </x:c>
      <x:c r="E934" s="1" t="str">
        <x:v>West</x:v>
      </x:c>
      <x:c r="F934" s="20" t="n">
        <x:v>122800</x:v>
      </x:c>
      <x:c r="G934" s="1" t="str">
        <x:v>Repeat purchase</x:v>
      </x:c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 t="str">
        <x:v>ORD-00934</x:v>
      </x:c>
      <x:c r="B935" s="1" t="str">
        <x:v>ACC-0263</x:v>
      </x:c>
      <x:c r="C935" s="19" t="n">
        <x:v>46058</x:v>
      </x:c>
      <x:c r="D935" s="1" t="str">
        <x:v>Case Packer</x:v>
      </x:c>
      <x:c r="E935" s="1" t="str">
        <x:v>West</x:v>
      </x:c>
      <x:c r="F935" s="20" t="n">
        <x:v>162700</x:v>
      </x:c>
      <x:c r="G935" s="1" t="str">
        <x:v>Repeat purchase</x:v>
      </x:c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 t="str">
        <x:v>ORD-00935</x:v>
      </x:c>
      <x:c r="B936" s="1" t="str">
        <x:v>ACC-0264</x:v>
      </x:c>
      <x:c r="C936" s="19" t="n">
        <x:v>46109</x:v>
      </x:c>
      <x:c r="D936" s="1" t="str">
        <x:v>Case Packer</x:v>
      </x:c>
      <x:c r="E936" s="1" t="str">
        <x:v>West</x:v>
      </x:c>
      <x:c r="F936" s="20" t="n">
        <x:v>168500</x:v>
      </x:c>
      <x:c r="G936" s="1" t="str">
        <x:v>New business</x:v>
      </x:c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 t="str">
        <x:v>ORD-00936</x:v>
      </x:c>
      <x:c r="B937" s="1" t="str">
        <x:v>ACC-0264</x:v>
      </x:c>
      <x:c r="C937" s="19" t="n">
        <x:v>46141</x:v>
      </x:c>
      <x:c r="D937" s="1" t="str">
        <x:v>Pouch Filler</x:v>
      </x:c>
      <x:c r="E937" s="1" t="str">
        <x:v>West</x:v>
      </x:c>
      <x:c r="F937" s="20" t="n">
        <x:v>177100</x:v>
      </x:c>
      <x:c r="G937" s="1" t="str">
        <x:v>Repeat purchase</x:v>
      </x:c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 t="str">
        <x:v>ORD-00937</x:v>
      </x:c>
      <x:c r="B938" s="1" t="str">
        <x:v>ACC-0265</x:v>
      </x:c>
      <x:c r="C938" s="19" t="n">
        <x:v>46046</x:v>
      </x:c>
      <x:c r="D938" s="1" t="str">
        <x:v>Pouch Filler</x:v>
      </x:c>
      <x:c r="E938" s="1" t="str">
        <x:v>Northeast</x:v>
      </x:c>
      <x:c r="F938" s="20" t="n">
        <x:v>269300</x:v>
      </x:c>
      <x:c r="G938" s="1" t="str">
        <x:v>New business</x:v>
      </x:c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 t="str">
        <x:v>ORD-00938</x:v>
      </x:c>
      <x:c r="B939" s="1" t="str">
        <x:v>ACC-0265</x:v>
      </x:c>
      <x:c r="C939" s="19" t="n">
        <x:v>46073</x:v>
      </x:c>
      <x:c r="D939" s="1" t="str">
        <x:v>Labeling System</x:v>
      </x:c>
      <x:c r="E939" s="1" t="str">
        <x:v>Northeast</x:v>
      </x:c>
      <x:c r="F939" s="20" t="n">
        <x:v>226400</x:v>
      </x:c>
      <x:c r="G939" s="1" t="str">
        <x:v>Repeat purchase</x:v>
      </x:c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 t="str">
        <x:v>ORD-00939</x:v>
      </x:c>
      <x:c r="B940" s="1" t="str">
        <x:v>ACC-0265</x:v>
      </x:c>
      <x:c r="C940" s="19" t="n">
        <x:v>46128</x:v>
      </x:c>
      <x:c r="D940" s="1" t="str">
        <x:v>Service &amp; Parts</x:v>
      </x:c>
      <x:c r="E940" s="1" t="str">
        <x:v>Northeast</x:v>
      </x:c>
      <x:c r="F940" s="20" t="n">
        <x:v>42400</x:v>
      </x:c>
      <x:c r="G940" s="1" t="str">
        <x:v>Repeat purchase</x:v>
      </x:c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 t="str">
        <x:v>ORD-00940</x:v>
      </x:c>
      <x:c r="B941" s="1" t="str">
        <x:v>ACC-0266</x:v>
      </x:c>
      <x:c r="C941" s="19" t="n">
        <x:v>45393</x:v>
      </x:c>
      <x:c r="D941" s="1" t="str">
        <x:v>Case Packer</x:v>
      </x:c>
      <x:c r="E941" s="1" t="str">
        <x:v>West</x:v>
      </x:c>
      <x:c r="F941" s="20" t="n">
        <x:v>71000</x:v>
      </x:c>
      <x:c r="G941" s="1" t="str">
        <x:v>New business</x:v>
      </x:c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 t="str">
        <x:v>ORD-00941</x:v>
      </x:c>
      <x:c r="B942" s="1" t="str">
        <x:v>ACC-0266</x:v>
      </x:c>
      <x:c r="C942" s="19" t="n">
        <x:v>45761</x:v>
      </x:c>
      <x:c r="D942" s="1" t="str">
        <x:v>Pouch Filler</x:v>
      </x:c>
      <x:c r="E942" s="1" t="str">
        <x:v>West</x:v>
      </x:c>
      <x:c r="F942" s="20" t="n">
        <x:v>156500</x:v>
      </x:c>
      <x:c r="G942" s="1" t="str">
        <x:v>Repeat purchase</x:v>
      </x:c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 t="str">
        <x:v>ORD-00942</x:v>
      </x:c>
      <x:c r="B943" s="1" t="str">
        <x:v>ACC-0266</x:v>
      </x:c>
      <x:c r="C943" s="19" t="n">
        <x:v>45784</x:v>
      </x:c>
      <x:c r="D943" s="1" t="str">
        <x:v>Case Packer</x:v>
      </x:c>
      <x:c r="E943" s="1" t="str">
        <x:v>West</x:v>
      </x:c>
      <x:c r="F943" s="20" t="n">
        <x:v>89800</x:v>
      </x:c>
      <x:c r="G943" s="1" t="str">
        <x:v>Repeat purchase</x:v>
      </x:c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 t="str">
        <x:v>ORD-00943</x:v>
      </x:c>
      <x:c r="B944" s="1" t="str">
        <x:v>ACC-0266</x:v>
      </x:c>
      <x:c r="C944" s="19" t="n">
        <x:v>45913</x:v>
      </x:c>
      <x:c r="D944" s="1" t="str">
        <x:v>Labeling System</x:v>
      </x:c>
      <x:c r="E944" s="1" t="str">
        <x:v>West</x:v>
      </x:c>
      <x:c r="F944" s="20" t="n">
        <x:v>77900</x:v>
      </x:c>
      <x:c r="G944" s="1" t="str">
        <x:v>Repeat purchase</x:v>
      </x:c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 t="str">
        <x:v>ORD-00944</x:v>
      </x:c>
      <x:c r="B945" s="1" t="str">
        <x:v>ACC-0267</x:v>
      </x:c>
      <x:c r="C945" s="19" t="n">
        <x:v>45665</x:v>
      </x:c>
      <x:c r="D945" s="1" t="str">
        <x:v>Cartoning Machine</x:v>
      </x:c>
      <x:c r="E945" s="1" t="str">
        <x:v>Midwest</x:v>
      </x:c>
      <x:c r="F945" s="20" t="n">
        <x:v>128000</x:v>
      </x:c>
      <x:c r="G945" s="1" t="str">
        <x:v>New business</x:v>
      </x:c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 t="str">
        <x:v>ORD-00945</x:v>
      </x:c>
      <x:c r="B946" s="1" t="str">
        <x:v>ACC-0267</x:v>
      </x:c>
      <x:c r="C946" s="19" t="n">
        <x:v>45698</x:v>
      </x:c>
      <x:c r="D946" s="1" t="str">
        <x:v>Cartoning Machine</x:v>
      </x:c>
      <x:c r="E946" s="1" t="str">
        <x:v>Midwest</x:v>
      </x:c>
      <x:c r="F946" s="20" t="n">
        <x:v>61000</x:v>
      </x:c>
      <x:c r="G946" s="1" t="str">
        <x:v>Repeat purchase</x:v>
      </x:c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 t="str">
        <x:v>ORD-00946</x:v>
      </x:c>
      <x:c r="B947" s="1" t="str">
        <x:v>ACC-0267</x:v>
      </x:c>
      <x:c r="C947" s="19" t="n">
        <x:v>45986</x:v>
      </x:c>
      <x:c r="D947" s="1" t="str">
        <x:v>Cartoning Machine</x:v>
      </x:c>
      <x:c r="E947" s="1" t="str">
        <x:v>Midwest</x:v>
      </x:c>
      <x:c r="F947" s="20" t="n">
        <x:v>62000</x:v>
      </x:c>
      <x:c r="G947" s="1" t="str">
        <x:v>Repeat purchase</x:v>
      </x:c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 t="str">
        <x:v>ORD-00947</x:v>
      </x:c>
      <x:c r="B948" s="1" t="str">
        <x:v>ACC-0267</x:v>
      </x:c>
      <x:c r="C948" s="19" t="n">
        <x:v>46019</x:v>
      </x:c>
      <x:c r="D948" s="1" t="str">
        <x:v>Labeling System</x:v>
      </x:c>
      <x:c r="E948" s="1" t="str">
        <x:v>Midwest</x:v>
      </x:c>
      <x:c r="F948" s="20" t="n">
        <x:v>49900</x:v>
      </x:c>
      <x:c r="G948" s="1" t="str">
        <x:v>Repeat purchase</x:v>
      </x:c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 t="str">
        <x:v>ORD-00948</x:v>
      </x:c>
      <x:c r="B949" s="1" t="str">
        <x:v>ACC-0267</x:v>
      </x:c>
      <x:c r="C949" s="19" t="n">
        <x:v>46073</x:v>
      </x:c>
      <x:c r="D949" s="1" t="str">
        <x:v>Service &amp; Parts</x:v>
      </x:c>
      <x:c r="E949" s="1" t="str">
        <x:v>Midwest</x:v>
      </x:c>
      <x:c r="F949" s="20" t="n">
        <x:v>23300</x:v>
      </x:c>
      <x:c r="G949" s="1" t="str">
        <x:v>Repeat purchase</x:v>
      </x:c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 t="str">
        <x:v>ORD-00949</x:v>
      </x:c>
      <x:c r="B950" s="1" t="str">
        <x:v>ACC-0267</x:v>
      </x:c>
      <x:c r="C950" s="19" t="n">
        <x:v>46183</x:v>
      </x:c>
      <x:c r="D950" s="1" t="str">
        <x:v>Case Packer</x:v>
      </x:c>
      <x:c r="E950" s="1" t="str">
        <x:v>Midwest</x:v>
      </x:c>
      <x:c r="F950" s="20" t="n">
        <x:v>77500</x:v>
      </x:c>
      <x:c r="G950" s="1" t="str">
        <x:v>Repeat purchase</x:v>
      </x:c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 t="str">
        <x:v>ORD-00950</x:v>
      </x:c>
      <x:c r="B951" s="1" t="str">
        <x:v>ACC-0268</x:v>
      </x:c>
      <x:c r="C951" s="19" t="n">
        <x:v>46172</x:v>
      </x:c>
      <x:c r="D951" s="1" t="str">
        <x:v>Cartoning Machine</x:v>
      </x:c>
      <x:c r="E951" s="1" t="str">
        <x:v>West</x:v>
      </x:c>
      <x:c r="F951" s="20" t="n">
        <x:v>105300</x:v>
      </x:c>
      <x:c r="G951" s="1" t="str">
        <x:v>New business</x:v>
      </x:c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 t="str">
        <x:v>ORD-00951</x:v>
      </x:c>
      <x:c r="B952" s="1" t="str">
        <x:v>ACC-0268</x:v>
      </x:c>
      <x:c r="C952" s="19" t="n">
        <x:v>46186</x:v>
      </x:c>
      <x:c r="D952" s="1" t="str">
        <x:v>Labeling System</x:v>
      </x:c>
      <x:c r="E952" s="1" t="str">
        <x:v>West</x:v>
      </x:c>
      <x:c r="F952" s="20" t="n">
        <x:v>134100</x:v>
      </x:c>
      <x:c r="G952" s="1" t="str">
        <x:v>Repeat purchase</x:v>
      </x:c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 t="str">
        <x:v>ORD-00952</x:v>
      </x:c>
      <x:c r="B953" s="1" t="str">
        <x:v>ACC-0269</x:v>
      </x:c>
      <x:c r="C953" s="19" t="n">
        <x:v>45728</x:v>
      </x:c>
      <x:c r="D953" s="1" t="str">
        <x:v>Pouch Filler</x:v>
      </x:c>
      <x:c r="E953" s="1" t="str">
        <x:v>Midwest</x:v>
      </x:c>
      <x:c r="F953" s="20" t="n">
        <x:v>91700</x:v>
      </x:c>
      <x:c r="G953" s="1" t="str">
        <x:v>New business</x:v>
      </x:c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 t="str">
        <x:v>ORD-00953</x:v>
      </x:c>
      <x:c r="B954" s="1" t="str">
        <x:v>ACC-0269</x:v>
      </x:c>
      <x:c r="C954" s="19" t="n">
        <x:v>45789</x:v>
      </x:c>
      <x:c r="D954" s="1" t="str">
        <x:v>Pouch Filler</x:v>
      </x:c>
      <x:c r="E954" s="1" t="str">
        <x:v>Midwest</x:v>
      </x:c>
      <x:c r="F954" s="20" t="n">
        <x:v>132600</x:v>
      </x:c>
      <x:c r="G954" s="1" t="str">
        <x:v>Repeat purchase</x:v>
      </x:c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 t="str">
        <x:v>ORD-00954</x:v>
      </x:c>
      <x:c r="B955" s="1" t="str">
        <x:v>ACC-0269</x:v>
      </x:c>
      <x:c r="C955" s="19" t="n">
        <x:v>46138</x:v>
      </x:c>
      <x:c r="D955" s="1" t="str">
        <x:v>Service &amp; Parts</x:v>
      </x:c>
      <x:c r="E955" s="1" t="str">
        <x:v>Midwest</x:v>
      </x:c>
      <x:c r="F955" s="20" t="n">
        <x:v>20700</x:v>
      </x:c>
      <x:c r="G955" s="1" t="str">
        <x:v>Repeat purchase</x:v>
      </x:c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 t="str">
        <x:v>ORD-00955</x:v>
      </x:c>
      <x:c r="B956" s="1" t="str">
        <x:v>ACC-0270</x:v>
      </x:c>
      <x:c r="C956" s="19" t="n">
        <x:v>46152</x:v>
      </x:c>
      <x:c r="D956" s="1" t="str">
        <x:v>Service &amp; Parts</x:v>
      </x:c>
      <x:c r="E956" s="1" t="str">
        <x:v>South</x:v>
      </x:c>
      <x:c r="F956" s="20" t="n">
        <x:v>19500</x:v>
      </x:c>
      <x:c r="G956" s="1" t="str">
        <x:v>New business</x:v>
      </x:c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 t="str">
        <x:v>ORD-00956</x:v>
      </x:c>
      <x:c r="B957" s="1" t="str">
        <x:v>ACC-0270</x:v>
      </x:c>
      <x:c r="C957" s="19" t="n">
        <x:v>46166</x:v>
      </x:c>
      <x:c r="D957" s="1" t="str">
        <x:v>Labeling System</x:v>
      </x:c>
      <x:c r="E957" s="1" t="str">
        <x:v>South</x:v>
      </x:c>
      <x:c r="F957" s="20" t="n">
        <x:v>121700</x:v>
      </x:c>
      <x:c r="G957" s="1" t="str">
        <x:v>Repeat purchase</x:v>
      </x:c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 t="str">
        <x:v>ORD-00957</x:v>
      </x:c>
      <x:c r="B958" s="1" t="str">
        <x:v>ACC-0271</x:v>
      </x:c>
      <x:c r="C958" s="19" t="n">
        <x:v>45351</x:v>
      </x:c>
      <x:c r="D958" s="1" t="str">
        <x:v>Cartoning Machine</x:v>
      </x:c>
      <x:c r="E958" s="1" t="str">
        <x:v>South</x:v>
      </x:c>
      <x:c r="F958" s="20" t="n">
        <x:v>122800</x:v>
      </x:c>
      <x:c r="G958" s="1" t="str">
        <x:v>New business</x:v>
      </x:c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 t="str">
        <x:v>ORD-00958</x:v>
      </x:c>
      <x:c r="B959" s="1" t="str">
        <x:v>ACC-0271</x:v>
      </x:c>
      <x:c r="C959" s="19" t="n">
        <x:v>45490</x:v>
      </x:c>
      <x:c r="D959" s="1" t="str">
        <x:v>Service &amp; Parts</x:v>
      </x:c>
      <x:c r="E959" s="1" t="str">
        <x:v>South</x:v>
      </x:c>
      <x:c r="F959" s="20" t="n">
        <x:v>6900</x:v>
      </x:c>
      <x:c r="G959" s="1" t="str">
        <x:v>Repeat purchase</x:v>
      </x:c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 t="str">
        <x:v>ORD-00959</x:v>
      </x:c>
      <x:c r="B960" s="1" t="str">
        <x:v>ACC-0271</x:v>
      </x:c>
      <x:c r="C960" s="19" t="n">
        <x:v>45562</x:v>
      </x:c>
      <x:c r="D960" s="1" t="str">
        <x:v>Cartoning Machine</x:v>
      </x:c>
      <x:c r="E960" s="1" t="str">
        <x:v>South</x:v>
      </x:c>
      <x:c r="F960" s="20" t="n">
        <x:v>55000</x:v>
      </x:c>
      <x:c r="G960" s="1" t="str">
        <x:v>Repeat purchase</x:v>
      </x:c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 t="str">
        <x:v>ORD-00960</x:v>
      </x:c>
      <x:c r="B961" s="1" t="str">
        <x:v>ACC-0271</x:v>
      </x:c>
      <x:c r="C961" s="19" t="n">
        <x:v>45665</x:v>
      </x:c>
      <x:c r="D961" s="1" t="str">
        <x:v>Pouch Filler</x:v>
      </x:c>
      <x:c r="E961" s="1" t="str">
        <x:v>South</x:v>
      </x:c>
      <x:c r="F961" s="20" t="n">
        <x:v>32600</x:v>
      </x:c>
      <x:c r="G961" s="1" t="str">
        <x:v>Repeat purchase</x:v>
      </x:c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 t="str">
        <x:v>ORD-00961</x:v>
      </x:c>
      <x:c r="B962" s="1" t="str">
        <x:v>ACC-0272</x:v>
      </x:c>
      <x:c r="C962" s="19" t="n">
        <x:v>45969</x:v>
      </x:c>
      <x:c r="D962" s="1" t="str">
        <x:v>Case Packer</x:v>
      </x:c>
      <x:c r="E962" s="1" t="str">
        <x:v>West</x:v>
      </x:c>
      <x:c r="F962" s="20" t="n">
        <x:v>170100</x:v>
      </x:c>
      <x:c r="G962" s="1" t="str">
        <x:v>New business</x:v>
      </x:c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 t="str">
        <x:v>ORD-00962</x:v>
      </x:c>
      <x:c r="B963" s="1" t="str">
        <x:v>ACC-0272</x:v>
      </x:c>
      <x:c r="C963" s="19" t="n">
        <x:v>46094</x:v>
      </x:c>
      <x:c r="D963" s="1" t="str">
        <x:v>Service &amp; Parts</x:v>
      </x:c>
      <x:c r="E963" s="1" t="str">
        <x:v>West</x:v>
      </x:c>
      <x:c r="F963" s="20" t="n">
        <x:v>19300</x:v>
      </x:c>
      <x:c r="G963" s="1" t="str">
        <x:v>Repeat purchase</x:v>
      </x:c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 t="str">
        <x:v>ORD-00963</x:v>
      </x:c>
      <x:c r="B964" s="1" t="str">
        <x:v>ACC-0272</x:v>
      </x:c>
      <x:c r="C964" s="19" t="n">
        <x:v>46179</x:v>
      </x:c>
      <x:c r="D964" s="1" t="str">
        <x:v>Pouch Filler</x:v>
      </x:c>
      <x:c r="E964" s="1" t="str">
        <x:v>West</x:v>
      </x:c>
      <x:c r="F964" s="20" t="n">
        <x:v>124900</x:v>
      </x:c>
      <x:c r="G964" s="1" t="str">
        <x:v>Repeat purchase</x:v>
      </x:c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 t="str">
        <x:v>ORD-00964</x:v>
      </x:c>
      <x:c r="B965" s="1" t="str">
        <x:v>ACC-0273</x:v>
      </x:c>
      <x:c r="C965" s="19" t="n">
        <x:v>45930</x:v>
      </x:c>
      <x:c r="D965" s="1" t="str">
        <x:v>Service &amp; Parts</x:v>
      </x:c>
      <x:c r="E965" s="1" t="str">
        <x:v>South</x:v>
      </x:c>
      <x:c r="F965" s="20" t="n">
        <x:v>27200</x:v>
      </x:c>
      <x:c r="G965" s="1" t="str">
        <x:v>New business</x:v>
      </x:c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 t="str">
        <x:v>ORD-00965</x:v>
      </x:c>
      <x:c r="B966" s="1" t="str">
        <x:v>ACC-0273</x:v>
      </x:c>
      <x:c r="C966" s="19" t="n">
        <x:v>45931</x:v>
      </x:c>
      <x:c r="D966" s="1" t="str">
        <x:v>Pouch Filler</x:v>
      </x:c>
      <x:c r="E966" s="1" t="str">
        <x:v>South</x:v>
      </x:c>
      <x:c r="F966" s="20" t="n">
        <x:v>224900</x:v>
      </x:c>
      <x:c r="G966" s="1" t="str">
        <x:v>Repeat purchase</x:v>
      </x:c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 t="str">
        <x:v>ORD-00966</x:v>
      </x:c>
      <x:c r="B967" s="1" t="str">
        <x:v>ACC-0273</x:v>
      </x:c>
      <x:c r="C967" s="19" t="n">
        <x:v>45948</x:v>
      </x:c>
      <x:c r="D967" s="1" t="str">
        <x:v>Cartoning Machine</x:v>
      </x:c>
      <x:c r="E967" s="1" t="str">
        <x:v>South</x:v>
      </x:c>
      <x:c r="F967" s="20" t="n">
        <x:v>274500</x:v>
      </x:c>
      <x:c r="G967" s="1" t="str">
        <x:v>Repeat purchase</x:v>
      </x:c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 t="str">
        <x:v>ORD-00967</x:v>
      </x:c>
      <x:c r="B968" s="1" t="str">
        <x:v>ACC-0273</x:v>
      </x:c>
      <x:c r="C968" s="19" t="n">
        <x:v>46007</x:v>
      </x:c>
      <x:c r="D968" s="1" t="str">
        <x:v>Cartoning Machine</x:v>
      </x:c>
      <x:c r="E968" s="1" t="str">
        <x:v>South</x:v>
      </x:c>
      <x:c r="F968" s="20" t="n">
        <x:v>199700</x:v>
      </x:c>
      <x:c r="G968" s="1" t="str">
        <x:v>Repeat purchase</x:v>
      </x:c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 t="str">
        <x:v>ORD-00968</x:v>
      </x:c>
      <x:c r="B969" s="1" t="str">
        <x:v>ACC-0274</x:v>
      </x:c>
      <x:c r="C969" s="19" t="n">
        <x:v>45412</x:v>
      </x:c>
      <x:c r="D969" s="1" t="str">
        <x:v>Service &amp; Parts</x:v>
      </x:c>
      <x:c r="E969" s="1" t="str">
        <x:v>West</x:v>
      </x:c>
      <x:c r="F969" s="20" t="n">
        <x:v>25100</x:v>
      </x:c>
      <x:c r="G969" s="1" t="str">
        <x:v>New business</x:v>
      </x:c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 t="str">
        <x:v>ORD-00969</x:v>
      </x:c>
      <x:c r="B970" s="1" t="str">
        <x:v>ACC-0274</x:v>
      </x:c>
      <x:c r="C970" s="19" t="n">
        <x:v>46056</x:v>
      </x:c>
      <x:c r="D970" s="1" t="str">
        <x:v>Labeling System</x:v>
      </x:c>
      <x:c r="E970" s="1" t="str">
        <x:v>West</x:v>
      </x:c>
      <x:c r="F970" s="20" t="n">
        <x:v>182500</x:v>
      </x:c>
      <x:c r="G970" s="1" t="str">
        <x:v>Repeat purchase</x:v>
      </x:c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 t="str">
        <x:v>ORD-00970</x:v>
      </x:c>
      <x:c r="B971" s="1" t="str">
        <x:v>ACC-0274</x:v>
      </x:c>
      <x:c r="C971" s="19" t="n">
        <x:v>46110</x:v>
      </x:c>
      <x:c r="D971" s="1" t="str">
        <x:v>Pouch Filler</x:v>
      </x:c>
      <x:c r="E971" s="1" t="str">
        <x:v>West</x:v>
      </x:c>
      <x:c r="F971" s="20" t="n">
        <x:v>176900</x:v>
      </x:c>
      <x:c r="G971" s="1" t="str">
        <x:v>Repeat purchase</x:v>
      </x:c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 t="str">
        <x:v>ORD-00971</x:v>
      </x:c>
      <x:c r="B972" s="1" t="str">
        <x:v>ACC-0274</x:v>
      </x:c>
      <x:c r="C972" s="19" t="n">
        <x:v>46177</x:v>
      </x:c>
      <x:c r="D972" s="1" t="str">
        <x:v>Cartoning Machine</x:v>
      </x:c>
      <x:c r="E972" s="1" t="str">
        <x:v>West</x:v>
      </x:c>
      <x:c r="F972" s="20" t="n">
        <x:v>128900</x:v>
      </x:c>
      <x:c r="G972" s="1" t="str">
        <x:v>Repeat purchase</x:v>
      </x:c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 t="str">
        <x:v>ORD-00972</x:v>
      </x:c>
      <x:c r="B973" s="1" t="str">
        <x:v>ACC-0274</x:v>
      </x:c>
      <x:c r="C973" s="19" t="n">
        <x:v>46190</x:v>
      </x:c>
      <x:c r="D973" s="1" t="str">
        <x:v>Pouch Filler</x:v>
      </x:c>
      <x:c r="E973" s="1" t="str">
        <x:v>West</x:v>
      </x:c>
      <x:c r="F973" s="20" t="n">
        <x:v>109900</x:v>
      </x:c>
      <x:c r="G973" s="1" t="str">
        <x:v>Repeat purchase</x:v>
      </x:c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 t="str">
        <x:v>ORD-00973</x:v>
      </x:c>
      <x:c r="B974" s="1" t="str">
        <x:v>ACC-0275</x:v>
      </x:c>
      <x:c r="C974" s="19" t="n">
        <x:v>45938</x:v>
      </x:c>
      <x:c r="D974" s="1" t="str">
        <x:v>Cartoning Machine</x:v>
      </x:c>
      <x:c r="E974" s="1" t="str">
        <x:v>South</x:v>
      </x:c>
      <x:c r="F974" s="20" t="n">
        <x:v>94600</x:v>
      </x:c>
      <x:c r="G974" s="1" t="str">
        <x:v>New business</x:v>
      </x:c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 t="str">
        <x:v>ORD-00974</x:v>
      </x:c>
      <x:c r="B975" s="1" t="str">
        <x:v>ACC-0276</x:v>
      </x:c>
      <x:c r="C975" s="19" t="n">
        <x:v>45643</x:v>
      </x:c>
      <x:c r="D975" s="1" t="str">
        <x:v>Cartoning Machine</x:v>
      </x:c>
      <x:c r="E975" s="1" t="str">
        <x:v>West</x:v>
      </x:c>
      <x:c r="F975" s="20" t="n">
        <x:v>192700</x:v>
      </x:c>
      <x:c r="G975" s="1" t="str">
        <x:v>New business</x:v>
      </x:c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 t="str">
        <x:v>ORD-00975</x:v>
      </x:c>
      <x:c r="B976" s="1" t="str">
        <x:v>ACC-0276</x:v>
      </x:c>
      <x:c r="C976" s="19" t="n">
        <x:v>45803</x:v>
      </x:c>
      <x:c r="D976" s="1" t="str">
        <x:v>Pouch Filler</x:v>
      </x:c>
      <x:c r="E976" s="1" t="str">
        <x:v>West</x:v>
      </x:c>
      <x:c r="F976" s="20" t="n">
        <x:v>174400</x:v>
      </x:c>
      <x:c r="G976" s="1" t="str">
        <x:v>Repeat purchase</x:v>
      </x:c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 t="str">
        <x:v>ORD-00976</x:v>
      </x:c>
      <x:c r="B977" s="1" t="str">
        <x:v>ACC-0276</x:v>
      </x:c>
      <x:c r="C977" s="19" t="n">
        <x:v>46087</x:v>
      </x:c>
      <x:c r="D977" s="1" t="str">
        <x:v>Service &amp; Parts</x:v>
      </x:c>
      <x:c r="E977" s="1" t="str">
        <x:v>West</x:v>
      </x:c>
      <x:c r="F977" s="20" t="n">
        <x:v>22800</x:v>
      </x:c>
      <x:c r="G977" s="1" t="str">
        <x:v>Repeat purchase</x:v>
      </x:c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 t="str">
        <x:v>ORD-00977</x:v>
      </x:c>
      <x:c r="B978" s="1" t="str">
        <x:v>ACC-0276</x:v>
      </x:c>
      <x:c r="C978" s="19" t="n">
        <x:v>46127</x:v>
      </x:c>
      <x:c r="D978" s="1" t="str">
        <x:v>Service &amp; Parts</x:v>
      </x:c>
      <x:c r="E978" s="1" t="str">
        <x:v>West</x:v>
      </x:c>
      <x:c r="F978" s="20" t="n">
        <x:v>37000</x:v>
      </x:c>
      <x:c r="G978" s="1" t="str">
        <x:v>Repeat purchase</x:v>
      </x:c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 t="str">
        <x:v>ORD-00978</x:v>
      </x:c>
      <x:c r="B979" s="1" t="str">
        <x:v>ACC-0276</x:v>
      </x:c>
      <x:c r="C979" s="19" t="n">
        <x:v>46165</x:v>
      </x:c>
      <x:c r="D979" s="1" t="str">
        <x:v>Cartoning Machine</x:v>
      </x:c>
      <x:c r="E979" s="1" t="str">
        <x:v>West</x:v>
      </x:c>
      <x:c r="F979" s="20" t="n">
        <x:v>158800</x:v>
      </x:c>
      <x:c r="G979" s="1" t="str">
        <x:v>Repeat purchase</x:v>
      </x:c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 t="str">
        <x:v>ORD-00979</x:v>
      </x:c>
      <x:c r="B980" s="1" t="str">
        <x:v>ACC-0277</x:v>
      </x:c>
      <x:c r="C980" s="19" t="n">
        <x:v>46026</x:v>
      </x:c>
      <x:c r="D980" s="1" t="str">
        <x:v>Case Packer</x:v>
      </x:c>
      <x:c r="E980" s="1" t="str">
        <x:v>South</x:v>
      </x:c>
      <x:c r="F980" s="20" t="n">
        <x:v>69500</x:v>
      </x:c>
      <x:c r="G980" s="1" t="str">
        <x:v>New business</x:v>
      </x:c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 t="str">
        <x:v>ORD-00980</x:v>
      </x:c>
      <x:c r="B981" s="1" t="str">
        <x:v>ACC-0277</x:v>
      </x:c>
      <x:c r="C981" s="19" t="n">
        <x:v>46079</x:v>
      </x:c>
      <x:c r="D981" s="1" t="str">
        <x:v>Pouch Filler</x:v>
      </x:c>
      <x:c r="E981" s="1" t="str">
        <x:v>South</x:v>
      </x:c>
      <x:c r="F981" s="20" t="n">
        <x:v>45100</x:v>
      </x:c>
      <x:c r="G981" s="1" t="str">
        <x:v>Repeat purchase</x:v>
      </x:c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 t="str">
        <x:v>ORD-00981</x:v>
      </x:c>
      <x:c r="B982" s="1" t="str">
        <x:v>ACC-0278</x:v>
      </x:c>
      <x:c r="C982" s="19" t="n">
        <x:v>45294</x:v>
      </x:c>
      <x:c r="D982" s="1" t="str">
        <x:v>Cartoning Machine</x:v>
      </x:c>
      <x:c r="E982" s="1" t="str">
        <x:v>Midwest</x:v>
      </x:c>
      <x:c r="F982" s="20" t="n">
        <x:v>142300</x:v>
      </x:c>
      <x:c r="G982" s="1" t="str">
        <x:v>New business</x:v>
      </x:c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 t="str">
        <x:v>ORD-00982</x:v>
      </x:c>
      <x:c r="B983" s="1" t="str">
        <x:v>ACC-0278</x:v>
      </x:c>
      <x:c r="C983" s="19" t="n">
        <x:v>45445</x:v>
      </x:c>
      <x:c r="D983" s="1" t="str">
        <x:v>Labeling System</x:v>
      </x:c>
      <x:c r="E983" s="1" t="str">
        <x:v>Midwest</x:v>
      </x:c>
      <x:c r="F983" s="20" t="n">
        <x:v>92900</x:v>
      </x:c>
      <x:c r="G983" s="1" t="str">
        <x:v>Repeat purchase</x:v>
      </x:c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 t="str">
        <x:v>ORD-00983</x:v>
      </x:c>
      <x:c r="B984" s="1" t="str">
        <x:v>ACC-0278</x:v>
      </x:c>
      <x:c r="C984" s="19" t="n">
        <x:v>45681</x:v>
      </x:c>
      <x:c r="D984" s="1" t="str">
        <x:v>Labeling System</x:v>
      </x:c>
      <x:c r="E984" s="1" t="str">
        <x:v>Midwest</x:v>
      </x:c>
      <x:c r="F984" s="20" t="n">
        <x:v>194300</x:v>
      </x:c>
      <x:c r="G984" s="1" t="str">
        <x:v>Repeat purchase</x:v>
      </x:c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 t="str">
        <x:v>ORD-00984</x:v>
      </x:c>
      <x:c r="B985" s="1" t="str">
        <x:v>ACC-0278</x:v>
      </x:c>
      <x:c r="C985" s="19" t="n">
        <x:v>45796</x:v>
      </x:c>
      <x:c r="D985" s="1" t="str">
        <x:v>Pouch Filler</x:v>
      </x:c>
      <x:c r="E985" s="1" t="str">
        <x:v>Midwest</x:v>
      </x:c>
      <x:c r="F985" s="20" t="n">
        <x:v>120600</x:v>
      </x:c>
      <x:c r="G985" s="1" t="str">
        <x:v>Repeat purchase</x:v>
      </x:c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 t="str">
        <x:v>ORD-00985</x:v>
      </x:c>
      <x:c r="B986" s="1" t="str">
        <x:v>ACC-0278</x:v>
      </x:c>
      <x:c r="C986" s="19" t="n">
        <x:v>45837</x:v>
      </x:c>
      <x:c r="D986" s="1" t="str">
        <x:v>Service &amp; Parts</x:v>
      </x:c>
      <x:c r="E986" s="1" t="str">
        <x:v>Midwest</x:v>
      </x:c>
      <x:c r="F986" s="20" t="n">
        <x:v>28000</x:v>
      </x:c>
      <x:c r="G986" s="1" t="str">
        <x:v>Repeat purchase</x:v>
      </x:c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 t="str">
        <x:v>ORD-00986</x:v>
      </x:c>
      <x:c r="B987" s="1" t="str">
        <x:v>ACC-0278</x:v>
      </x:c>
      <x:c r="C987" s="19" t="n">
        <x:v>45916</x:v>
      </x:c>
      <x:c r="D987" s="1" t="str">
        <x:v>Cartoning Machine</x:v>
      </x:c>
      <x:c r="E987" s="1" t="str">
        <x:v>Midwest</x:v>
      </x:c>
      <x:c r="F987" s="20" t="n">
        <x:v>137900</x:v>
      </x:c>
      <x:c r="G987" s="1" t="str">
        <x:v>Repeat purchase</x:v>
      </x:c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 t="str">
        <x:v>ORD-00987</x:v>
      </x:c>
      <x:c r="B988" s="1" t="str">
        <x:v>ACC-0279</x:v>
      </x:c>
      <x:c r="C988" s="19" t="n">
        <x:v>45788</x:v>
      </x:c>
      <x:c r="D988" s="1" t="str">
        <x:v>Labeling System</x:v>
      </x:c>
      <x:c r="E988" s="1" t="str">
        <x:v>Midwest</x:v>
      </x:c>
      <x:c r="F988" s="20" t="n">
        <x:v>146200</x:v>
      </x:c>
      <x:c r="G988" s="1" t="str">
        <x:v>New business</x:v>
      </x:c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 t="str">
        <x:v>ORD-00988</x:v>
      </x:c>
      <x:c r="B989" s="1" t="str">
        <x:v>ACC-0279</x:v>
      </x:c>
      <x:c r="C989" s="19" t="n">
        <x:v>45815</x:v>
      </x:c>
      <x:c r="D989" s="1" t="str">
        <x:v>Cartoning Machine</x:v>
      </x:c>
      <x:c r="E989" s="1" t="str">
        <x:v>Midwest</x:v>
      </x:c>
      <x:c r="F989" s="20" t="n">
        <x:v>131600</x:v>
      </x:c>
      <x:c r="G989" s="1" t="str">
        <x:v>Repeat purchase</x:v>
      </x:c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 t="str">
        <x:v>ORD-00989</x:v>
      </x:c>
      <x:c r="B990" s="1" t="str">
        <x:v>ACC-0279</x:v>
      </x:c>
      <x:c r="C990" s="19" t="n">
        <x:v>45816</x:v>
      </x:c>
      <x:c r="D990" s="1" t="str">
        <x:v>Service &amp; Parts</x:v>
      </x:c>
      <x:c r="E990" s="1" t="str">
        <x:v>Midwest</x:v>
      </x:c>
      <x:c r="F990" s="20" t="n">
        <x:v>32000</x:v>
      </x:c>
      <x:c r="G990" s="1" t="str">
        <x:v>Repeat purchase</x:v>
      </x:c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 t="str">
        <x:v>ORD-00990</x:v>
      </x:c>
      <x:c r="B991" s="1" t="str">
        <x:v>ACC-0279</x:v>
      </x:c>
      <x:c r="C991" s="19" t="n">
        <x:v>46091</x:v>
      </x:c>
      <x:c r="D991" s="1" t="str">
        <x:v>Cartoning Machine</x:v>
      </x:c>
      <x:c r="E991" s="1" t="str">
        <x:v>Midwest</x:v>
      </x:c>
      <x:c r="F991" s="20" t="n">
        <x:v>166700</x:v>
      </x:c>
      <x:c r="G991" s="1" t="str">
        <x:v>Repeat purchase</x:v>
      </x:c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 t="str">
        <x:v>ORD-00991</x:v>
      </x:c>
      <x:c r="B992" s="1" t="str">
        <x:v>ACC-0280</x:v>
      </x:c>
      <x:c r="C992" s="19" t="n">
        <x:v>45796</x:v>
      </x:c>
      <x:c r="D992" s="1" t="str">
        <x:v>Pouch Filler</x:v>
      </x:c>
      <x:c r="E992" s="1" t="str">
        <x:v>West</x:v>
      </x:c>
      <x:c r="F992" s="20" t="n">
        <x:v>186500</x:v>
      </x:c>
      <x:c r="G992" s="1" t="str">
        <x:v>New business</x:v>
      </x:c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 t="str">
        <x:v>ORD-00992</x:v>
      </x:c>
      <x:c r="B993" s="1" t="str">
        <x:v>ACC-0280</x:v>
      </x:c>
      <x:c r="C993" s="19" t="n">
        <x:v>45815</x:v>
      </x:c>
      <x:c r="D993" s="1" t="str">
        <x:v>Case Packer</x:v>
      </x:c>
      <x:c r="E993" s="1" t="str">
        <x:v>West</x:v>
      </x:c>
      <x:c r="F993" s="20" t="n">
        <x:v>178800</x:v>
      </x:c>
      <x:c r="G993" s="1" t="str">
        <x:v>Repeat purchase</x:v>
      </x:c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 t="str">
        <x:v>ORD-00993</x:v>
      </x:c>
      <x:c r="B994" s="1" t="str">
        <x:v>ACC-0280</x:v>
      </x:c>
      <x:c r="C994" s="19" t="n">
        <x:v>46138</x:v>
      </x:c>
      <x:c r="D994" s="1" t="str">
        <x:v>Cartoning Machine</x:v>
      </x:c>
      <x:c r="E994" s="1" t="str">
        <x:v>West</x:v>
      </x:c>
      <x:c r="F994" s="20" t="n">
        <x:v>57400</x:v>
      </x:c>
      <x:c r="G994" s="1" t="str">
        <x:v>Repeat purchase</x:v>
      </x:c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 t="str">
        <x:v>ORD-00994</x:v>
      </x:c>
      <x:c r="B995" s="1" t="str">
        <x:v>ACC-0280</x:v>
      </x:c>
      <x:c r="C995" s="19" t="n">
        <x:v>46156</x:v>
      </x:c>
      <x:c r="D995" s="1" t="str">
        <x:v>Pouch Filler</x:v>
      </x:c>
      <x:c r="E995" s="1" t="str">
        <x:v>West</x:v>
      </x:c>
      <x:c r="F995" s="20" t="n">
        <x:v>80500</x:v>
      </x:c>
      <x:c r="G995" s="1" t="str">
        <x:v>Repeat purchase</x:v>
      </x:c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 t="str">
        <x:v>ORD-00995</x:v>
      </x:c>
      <x:c r="B996" s="1" t="str">
        <x:v>ACC-0281</x:v>
      </x:c>
      <x:c r="C996" s="19" t="n">
        <x:v>45800</x:v>
      </x:c>
      <x:c r="D996" s="1" t="str">
        <x:v>Pouch Filler</x:v>
      </x:c>
      <x:c r="E996" s="1" t="str">
        <x:v>West</x:v>
      </x:c>
      <x:c r="F996" s="20" t="n">
        <x:v>146900</x:v>
      </x:c>
      <x:c r="G996" s="1" t="str">
        <x:v>New business</x:v>
      </x:c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 t="str">
        <x:v>ORD-00996</x:v>
      </x:c>
      <x:c r="B997" s="1" t="str">
        <x:v>ACC-0282</x:v>
      </x:c>
      <x:c r="C997" s="19" t="n">
        <x:v>45437</x:v>
      </x:c>
      <x:c r="D997" s="1" t="str">
        <x:v>Service &amp; Parts</x:v>
      </x:c>
      <x:c r="E997" s="1" t="str">
        <x:v>South</x:v>
      </x:c>
      <x:c r="F997" s="20" t="n">
        <x:v>6800</x:v>
      </x:c>
      <x:c r="G997" s="1" t="str">
        <x:v>New business</x:v>
      </x:c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 t="str">
        <x:v>ORD-00997</x:v>
      </x:c>
      <x:c r="B998" s="1" t="str">
        <x:v>ACC-0283</x:v>
      </x:c>
      <x:c r="C998" s="19" t="n">
        <x:v>45361</x:v>
      </x:c>
      <x:c r="D998" s="1" t="str">
        <x:v>Labeling System</x:v>
      </x:c>
      <x:c r="E998" s="1" t="str">
        <x:v>Midwest</x:v>
      </x:c>
      <x:c r="F998" s="20" t="n">
        <x:v>73300</x:v>
      </x:c>
      <x:c r="G998" s="1" t="str">
        <x:v>New business</x:v>
      </x:c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 t="str">
        <x:v>ORD-00998</x:v>
      </x:c>
      <x:c r="B999" s="1" t="str">
        <x:v>ACC-0284</x:v>
      </x:c>
      <x:c r="C999" s="19" t="n">
        <x:v>45597</x:v>
      </x:c>
      <x:c r="D999" s="1" t="str">
        <x:v>Pouch Filler</x:v>
      </x:c>
      <x:c r="E999" s="1" t="str">
        <x:v>Midwest</x:v>
      </x:c>
      <x:c r="F999" s="20" t="n">
        <x:v>137000</x:v>
      </x:c>
      <x:c r="G999" s="1" t="str">
        <x:v>New business</x:v>
      </x:c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 t="str">
        <x:v>ORD-00999</x:v>
      </x:c>
      <x:c r="B1000" s="1" t="str">
        <x:v>ACC-0284</x:v>
      </x:c>
      <x:c r="C1000" s="19" t="n">
        <x:v>45992</x:v>
      </x:c>
      <x:c r="D1000" s="1" t="str">
        <x:v>Cartoning Machine</x:v>
      </x:c>
      <x:c r="E1000" s="1" t="str">
        <x:v>Midwest</x:v>
      </x:c>
      <x:c r="F1000" s="20" t="n">
        <x:v>242600</x:v>
      </x:c>
      <x:c r="G1000" s="1" t="str">
        <x:v>Repeat purchase</x:v>
      </x:c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 t="str">
        <x:v>ORD-01000</x:v>
      </x:c>
      <x:c r="B1001" s="1" t="str">
        <x:v>ACC-0284</x:v>
      </x:c>
      <x:c r="C1001" s="19" t="n">
        <x:v>45994</x:v>
      </x:c>
      <x:c r="D1001" s="1" t="str">
        <x:v>Case Packer</x:v>
      </x:c>
      <x:c r="E1001" s="1" t="str">
        <x:v>Midwest</x:v>
      </x:c>
      <x:c r="F1001" s="20" t="n">
        <x:v>79100</x:v>
      </x:c>
      <x:c r="G1001" s="1" t="str">
        <x:v>Repeat purchase</x:v>
      </x:c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 t="str">
        <x:v>ORD-01001</x:v>
      </x:c>
      <x:c r="B1002" s="1" t="str">
        <x:v>ACC-0284</x:v>
      </x:c>
      <x:c r="C1002" s="19" t="n">
        <x:v>46008</x:v>
      </x:c>
      <x:c r="D1002" s="1" t="str">
        <x:v>Pouch Filler</x:v>
      </x:c>
      <x:c r="E1002" s="1" t="str">
        <x:v>Midwest</x:v>
      </x:c>
      <x:c r="F1002" s="20" t="n">
        <x:v>120700</x:v>
      </x:c>
      <x:c r="G1002" s="1" t="str">
        <x:v>Repeat purchase</x:v>
      </x:c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 t="str">
        <x:v>ORD-01002</x:v>
      </x:c>
      <x:c r="B1003" s="1" t="str">
        <x:v>ACC-0284</x:v>
      </x:c>
      <x:c r="C1003" s="19" t="n">
        <x:v>46124</x:v>
      </x:c>
      <x:c r="D1003" s="1" t="str">
        <x:v>Case Packer</x:v>
      </x:c>
      <x:c r="E1003" s="1" t="str">
        <x:v>Midwest</x:v>
      </x:c>
      <x:c r="F1003" s="20" t="n">
        <x:v>79900</x:v>
      </x:c>
      <x:c r="G1003" s="1" t="str">
        <x:v>Repeat purchase</x:v>
      </x:c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 t="str">
        <x:v>ORD-01003</x:v>
      </x:c>
      <x:c r="B1004" s="1" t="str">
        <x:v>ACC-0284</x:v>
      </x:c>
      <x:c r="C1004" s="19" t="n">
        <x:v>46172</x:v>
      </x:c>
      <x:c r="D1004" s="1" t="str">
        <x:v>Pouch Filler</x:v>
      </x:c>
      <x:c r="E1004" s="1" t="str">
        <x:v>Midwest</x:v>
      </x:c>
      <x:c r="F1004" s="20" t="n">
        <x:v>107800</x:v>
      </x:c>
      <x:c r="G1004" s="1" t="str">
        <x:v>Repeat purchase</x:v>
      </x:c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 t="str">
        <x:v>ORD-01004</x:v>
      </x:c>
      <x:c r="B1005" s="1" t="str">
        <x:v>ACC-0285</x:v>
      </x:c>
      <x:c r="C1005" s="19" t="n">
        <x:v>46082</x:v>
      </x:c>
      <x:c r="D1005" s="1" t="str">
        <x:v>Cartoning Machine</x:v>
      </x:c>
      <x:c r="E1005" s="1" t="str">
        <x:v>West</x:v>
      </x:c>
      <x:c r="F1005" s="20" t="n">
        <x:v>112100</x:v>
      </x:c>
      <x:c r="G1005" s="1" t="str">
        <x:v>New business</x:v>
      </x:c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 t="str">
        <x:v>ORD-01005</x:v>
      </x:c>
      <x:c r="B1006" s="1" t="str">
        <x:v>ACC-0285</x:v>
      </x:c>
      <x:c r="C1006" s="19" t="n">
        <x:v>46122</x:v>
      </x:c>
      <x:c r="D1006" s="1" t="str">
        <x:v>Case Packer</x:v>
      </x:c>
      <x:c r="E1006" s="1" t="str">
        <x:v>West</x:v>
      </x:c>
      <x:c r="F1006" s="20" t="n">
        <x:v>110300</x:v>
      </x:c>
      <x:c r="G1006" s="1" t="str">
        <x:v>Repeat purchase</x:v>
      </x:c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 t="str">
        <x:v>ORD-01006</x:v>
      </x:c>
      <x:c r="B1007" s="1" t="str">
        <x:v>ACC-0286</x:v>
      </x:c>
      <x:c r="C1007" s="19" t="n">
        <x:v>46166</x:v>
      </x:c>
      <x:c r="D1007" s="1" t="str">
        <x:v>Service &amp; Parts</x:v>
      </x:c>
      <x:c r="E1007" s="1" t="str">
        <x:v>South</x:v>
      </x:c>
      <x:c r="F1007" s="20" t="n">
        <x:v>14600</x:v>
      </x:c>
      <x:c r="G1007" s="1" t="str">
        <x:v>New business</x:v>
      </x:c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 t="str">
        <x:v>ORD-01007</x:v>
      </x:c>
      <x:c r="B1008" s="1" t="str">
        <x:v>ACC-0286</x:v>
      </x:c>
      <x:c r="C1008" s="19" t="n">
        <x:v>46183</x:v>
      </x:c>
      <x:c r="D1008" s="1" t="str">
        <x:v>Case Packer</x:v>
      </x:c>
      <x:c r="E1008" s="1" t="str">
        <x:v>South</x:v>
      </x:c>
      <x:c r="F1008" s="20" t="n">
        <x:v>124500</x:v>
      </x:c>
      <x:c r="G1008" s="1" t="str">
        <x:v>Repeat purchase</x:v>
      </x:c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 t="str">
        <x:v>ORD-01008</x:v>
      </x:c>
      <x:c r="B1009" s="1" t="str">
        <x:v>ACC-0287</x:v>
      </x:c>
      <x:c r="C1009" s="19" t="n">
        <x:v>45773</x:v>
      </x:c>
      <x:c r="D1009" s="1" t="str">
        <x:v>Cartoning Machine</x:v>
      </x:c>
      <x:c r="E1009" s="1" t="str">
        <x:v>South</x:v>
      </x:c>
      <x:c r="F1009" s="20" t="n">
        <x:v>151100</x:v>
      </x:c>
      <x:c r="G1009" s="1" t="str">
        <x:v>New business</x:v>
      </x:c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 t="str">
        <x:v>ORD-01009</x:v>
      </x:c>
      <x:c r="B1010" s="1" t="str">
        <x:v>ACC-0287</x:v>
      </x:c>
      <x:c r="C1010" s="19" t="n">
        <x:v>45849</x:v>
      </x:c>
      <x:c r="D1010" s="1" t="str">
        <x:v>Cartoning Machine</x:v>
      </x:c>
      <x:c r="E1010" s="1" t="str">
        <x:v>South</x:v>
      </x:c>
      <x:c r="F1010" s="20" t="n">
        <x:v>59500</x:v>
      </x:c>
      <x:c r="G1010" s="1" t="str">
        <x:v>Repeat purchase</x:v>
      </x:c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 t="str">
        <x:v>ORD-01010</x:v>
      </x:c>
      <x:c r="B1011" s="1" t="str">
        <x:v>ACC-0287</x:v>
      </x:c>
      <x:c r="C1011" s="19" t="n">
        <x:v>45936</x:v>
      </x:c>
      <x:c r="D1011" s="1" t="str">
        <x:v>Pouch Filler</x:v>
      </x:c>
      <x:c r="E1011" s="1" t="str">
        <x:v>South</x:v>
      </x:c>
      <x:c r="F1011" s="20" t="n">
        <x:v>127400</x:v>
      </x:c>
      <x:c r="G1011" s="1" t="str">
        <x:v>Repeat purchase</x:v>
      </x:c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 t="str">
        <x:v>ORD-01011</x:v>
      </x:c>
      <x:c r="B1012" s="1" t="str">
        <x:v>ACC-0287</x:v>
      </x:c>
      <x:c r="C1012" s="19" t="n">
        <x:v>46010</x:v>
      </x:c>
      <x:c r="D1012" s="1" t="str">
        <x:v>Cartoning Machine</x:v>
      </x:c>
      <x:c r="E1012" s="1" t="str">
        <x:v>South</x:v>
      </x:c>
      <x:c r="F1012" s="20" t="n">
        <x:v>46600</x:v>
      </x:c>
      <x:c r="G1012" s="1" t="str">
        <x:v>Repeat purchase</x:v>
      </x:c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 t="str">
        <x:v>ORD-01012</x:v>
      </x:c>
      <x:c r="B1013" s="1" t="str">
        <x:v>ACC-0288</x:v>
      </x:c>
      <x:c r="C1013" s="19" t="n">
        <x:v>45758</x:v>
      </x:c>
      <x:c r="D1013" s="1" t="str">
        <x:v>Case Packer</x:v>
      </x:c>
      <x:c r="E1013" s="1" t="str">
        <x:v>South</x:v>
      </x:c>
      <x:c r="F1013" s="20" t="n">
        <x:v>138900</x:v>
      </x:c>
      <x:c r="G1013" s="1" t="str">
        <x:v>New business</x:v>
      </x:c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 t="str">
        <x:v>ORD-01013</x:v>
      </x:c>
      <x:c r="B1014" s="1" t="str">
        <x:v>ACC-0288</x:v>
      </x:c>
      <x:c r="C1014" s="19" t="n">
        <x:v>45815</x:v>
      </x:c>
      <x:c r="D1014" s="1" t="str">
        <x:v>Service &amp; Parts</x:v>
      </x:c>
      <x:c r="E1014" s="1" t="str">
        <x:v>South</x:v>
      </x:c>
      <x:c r="F1014" s="20" t="n">
        <x:v>18100</x:v>
      </x:c>
      <x:c r="G1014" s="1" t="str">
        <x:v>Repeat purchase</x:v>
      </x:c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 t="str">
        <x:v>ORD-01014</x:v>
      </x:c>
      <x:c r="B1015" s="1" t="str">
        <x:v>ACC-0288</x:v>
      </x:c>
      <x:c r="C1015" s="19" t="n">
        <x:v>46055</x:v>
      </x:c>
      <x:c r="D1015" s="1" t="str">
        <x:v>Labeling System</x:v>
      </x:c>
      <x:c r="E1015" s="1" t="str">
        <x:v>South</x:v>
      </x:c>
      <x:c r="F1015" s="20" t="n">
        <x:v>113400</x:v>
      </x:c>
      <x:c r="G1015" s="1" t="str">
        <x:v>Repeat purchase</x:v>
      </x:c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 t="str">
        <x:v>ORD-01015</x:v>
      </x:c>
      <x:c r="B1016" s="1" t="str">
        <x:v>ACC-0288</x:v>
      </x:c>
      <x:c r="C1016" s="19" t="n">
        <x:v>46131</x:v>
      </x:c>
      <x:c r="D1016" s="1" t="str">
        <x:v>Cartoning Machine</x:v>
      </x:c>
      <x:c r="E1016" s="1" t="str">
        <x:v>South</x:v>
      </x:c>
      <x:c r="F1016" s="20" t="n">
        <x:v>61400</x:v>
      </x:c>
      <x:c r="G1016" s="1" t="str">
        <x:v>Repeat purchase</x:v>
      </x:c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 t="str">
        <x:v>ORD-01016</x:v>
      </x:c>
      <x:c r="B1017" s="1" t="str">
        <x:v>ACC-0289</x:v>
      </x:c>
      <x:c r="C1017" s="19" t="n">
        <x:v>45618</x:v>
      </x:c>
      <x:c r="D1017" s="1" t="str">
        <x:v>Service &amp; Parts</x:v>
      </x:c>
      <x:c r="E1017" s="1" t="str">
        <x:v>West</x:v>
      </x:c>
      <x:c r="F1017" s="20" t="n">
        <x:v>21300</x:v>
      </x:c>
      <x:c r="G1017" s="1" t="str">
        <x:v>New business</x:v>
      </x:c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 t="str">
        <x:v>ORD-01017</x:v>
      </x:c>
      <x:c r="B1018" s="1" t="str">
        <x:v>ACC-0289</x:v>
      </x:c>
      <x:c r="C1018" s="19" t="n">
        <x:v>46100</x:v>
      </x:c>
      <x:c r="D1018" s="1" t="str">
        <x:v>Labeling System</x:v>
      </x:c>
      <x:c r="E1018" s="1" t="str">
        <x:v>West</x:v>
      </x:c>
      <x:c r="F1018" s="20" t="n">
        <x:v>174500</x:v>
      </x:c>
      <x:c r="G1018" s="1" t="str">
        <x:v>Repeat purchase</x:v>
      </x:c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 t="str">
        <x:v>ORD-01018</x:v>
      </x:c>
      <x:c r="B1019" s="1" t="str">
        <x:v>ACC-0290</x:v>
      </x:c>
      <x:c r="C1019" s="19" t="n">
        <x:v>45972</x:v>
      </x:c>
      <x:c r="D1019" s="1" t="str">
        <x:v>Case Packer</x:v>
      </x:c>
      <x:c r="E1019" s="1" t="str">
        <x:v>South</x:v>
      </x:c>
      <x:c r="F1019" s="20" t="n">
        <x:v>118700</x:v>
      </x:c>
      <x:c r="G1019" s="1" t="str">
        <x:v>New business</x:v>
      </x:c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 t="str">
        <x:v>ORD-01019</x:v>
      </x:c>
      <x:c r="B1020" s="1" t="str">
        <x:v>ACC-0290</x:v>
      </x:c>
      <x:c r="C1020" s="19" t="n">
        <x:v>45973</x:v>
      </x:c>
      <x:c r="D1020" s="1" t="str">
        <x:v>Service &amp; Parts</x:v>
      </x:c>
      <x:c r="E1020" s="1" t="str">
        <x:v>South</x:v>
      </x:c>
      <x:c r="F1020" s="20" t="n">
        <x:v>6900</x:v>
      </x:c>
      <x:c r="G1020" s="1" t="str">
        <x:v>Repeat purchase</x:v>
      </x:c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 t="str">
        <x:v>ORD-01020</x:v>
      </x:c>
      <x:c r="B1021" s="1" t="str">
        <x:v>ACC-0290</x:v>
      </x:c>
      <x:c r="C1021" s="19" t="n">
        <x:v>46181</x:v>
      </x:c>
      <x:c r="D1021" s="1" t="str">
        <x:v>Pouch Filler</x:v>
      </x:c>
      <x:c r="E1021" s="1" t="str">
        <x:v>South</x:v>
      </x:c>
      <x:c r="F1021" s="20" t="n">
        <x:v>148400</x:v>
      </x:c>
      <x:c r="G1021" s="1" t="str">
        <x:v>Repeat purchase</x:v>
      </x:c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 t="str">
        <x:v>ORD-01021</x:v>
      </x:c>
      <x:c r="B1022" s="1" t="str">
        <x:v>ACC-0291</x:v>
      </x:c>
      <x:c r="C1022" s="19" t="n">
        <x:v>45849</x:v>
      </x:c>
      <x:c r="D1022" s="1" t="str">
        <x:v>Service &amp; Parts</x:v>
      </x:c>
      <x:c r="E1022" s="1" t="str">
        <x:v>Northeast</x:v>
      </x:c>
      <x:c r="F1022" s="20" t="n">
        <x:v>8900</x:v>
      </x:c>
      <x:c r="G1022" s="1" t="str">
        <x:v>New business</x:v>
      </x:c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 t="str">
        <x:v>ORD-01022</x:v>
      </x:c>
      <x:c r="B1023" s="1" t="str">
        <x:v>ACC-0291</x:v>
      </x:c>
      <x:c r="C1023" s="19" t="n">
        <x:v>45909</x:v>
      </x:c>
      <x:c r="D1023" s="1" t="str">
        <x:v>Cartoning Machine</x:v>
      </x:c>
      <x:c r="E1023" s="1" t="str">
        <x:v>Northeast</x:v>
      </x:c>
      <x:c r="F1023" s="20" t="n">
        <x:v>135000</x:v>
      </x:c>
      <x:c r="G1023" s="1" t="str">
        <x:v>Repeat purchase</x:v>
      </x:c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 t="str">
        <x:v>ORD-01023</x:v>
      </x:c>
      <x:c r="B1024" s="1" t="str">
        <x:v>ACC-0292</x:v>
      </x:c>
      <x:c r="C1024" s="19" t="n">
        <x:v>45789</x:v>
      </x:c>
      <x:c r="D1024" s="1" t="str">
        <x:v>Case Packer</x:v>
      </x:c>
      <x:c r="E1024" s="1" t="str">
        <x:v>Midwest</x:v>
      </x:c>
      <x:c r="F1024" s="20" t="n">
        <x:v>205200</x:v>
      </x:c>
      <x:c r="G1024" s="1" t="str">
        <x:v>New business</x:v>
      </x:c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 t="str">
        <x:v>ORD-01024</x:v>
      </x:c>
      <x:c r="B1025" s="1" t="str">
        <x:v>ACC-0292</x:v>
      </x:c>
      <x:c r="C1025" s="19" t="n">
        <x:v>45986</x:v>
      </x:c>
      <x:c r="D1025" s="1" t="str">
        <x:v>Cartoning Machine</x:v>
      </x:c>
      <x:c r="E1025" s="1" t="str">
        <x:v>Midwest</x:v>
      </x:c>
      <x:c r="F1025" s="20" t="n">
        <x:v>162100</x:v>
      </x:c>
      <x:c r="G1025" s="1" t="str">
        <x:v>Repeat purchase</x:v>
      </x:c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 t="str">
        <x:v>ORD-01025</x:v>
      </x:c>
      <x:c r="B1026" s="1" t="str">
        <x:v>ACC-0292</x:v>
      </x:c>
      <x:c r="C1026" s="19" t="n">
        <x:v>46057</x:v>
      </x:c>
      <x:c r="D1026" s="1" t="str">
        <x:v>Labeling System</x:v>
      </x:c>
      <x:c r="E1026" s="1" t="str">
        <x:v>Midwest</x:v>
      </x:c>
      <x:c r="F1026" s="20" t="n">
        <x:v>191900</x:v>
      </x:c>
      <x:c r="G1026" s="1" t="str">
        <x:v>Repeat purchase</x:v>
      </x:c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 t="str">
        <x:v>ORD-01026</x:v>
      </x:c>
      <x:c r="B1027" s="1" t="str">
        <x:v>ACC-0292</x:v>
      </x:c>
      <x:c r="C1027" s="19" t="n">
        <x:v>46147</x:v>
      </x:c>
      <x:c r="D1027" s="1" t="str">
        <x:v>Service &amp; Parts</x:v>
      </x:c>
      <x:c r="E1027" s="1" t="str">
        <x:v>Midwest</x:v>
      </x:c>
      <x:c r="F1027" s="20" t="n">
        <x:v>34700</x:v>
      </x:c>
      <x:c r="G1027" s="1" t="str">
        <x:v>Repeat purchase</x:v>
      </x:c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 t="str">
        <x:v>ORD-01027</x:v>
      </x:c>
      <x:c r="B1028" s="1" t="str">
        <x:v>ACC-0293</x:v>
      </x:c>
      <x:c r="C1028" s="19" t="n">
        <x:v>45322</x:v>
      </x:c>
      <x:c r="D1028" s="1" t="str">
        <x:v>Case Packer</x:v>
      </x:c>
      <x:c r="E1028" s="1" t="str">
        <x:v>South</x:v>
      </x:c>
      <x:c r="F1028" s="20" t="n">
        <x:v>66200</x:v>
      </x:c>
      <x:c r="G1028" s="1" t="str">
        <x:v>New business</x:v>
      </x:c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 t="str">
        <x:v>ORD-01028</x:v>
      </x:c>
      <x:c r="B1029" s="1" t="str">
        <x:v>ACC-0293</x:v>
      </x:c>
      <x:c r="C1029" s="19" t="n">
        <x:v>45380</x:v>
      </x:c>
      <x:c r="D1029" s="1" t="str">
        <x:v>Cartoning Machine</x:v>
      </x:c>
      <x:c r="E1029" s="1" t="str">
        <x:v>South</x:v>
      </x:c>
      <x:c r="F1029" s="20" t="n">
        <x:v>60700</x:v>
      </x:c>
      <x:c r="G1029" s="1" t="str">
        <x:v>Repeat purchase</x:v>
      </x:c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 t="str">
        <x:v>ORD-01029</x:v>
      </x:c>
      <x:c r="B1030" s="1" t="str">
        <x:v>ACC-0293</x:v>
      </x:c>
      <x:c r="C1030" s="19" t="n">
        <x:v>45930</x:v>
      </x:c>
      <x:c r="D1030" s="1" t="str">
        <x:v>Labeling System</x:v>
      </x:c>
      <x:c r="E1030" s="1" t="str">
        <x:v>South</x:v>
      </x:c>
      <x:c r="F1030" s="20" t="n">
        <x:v>76700</x:v>
      </x:c>
      <x:c r="G1030" s="1" t="str">
        <x:v>Repeat purchase</x:v>
      </x:c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 t="str">
        <x:v>ORD-01030</x:v>
      </x:c>
      <x:c r="B1031" s="1" t="str">
        <x:v>ACC-0294</x:v>
      </x:c>
      <x:c r="C1031" s="19" t="n">
        <x:v>45331</x:v>
      </x:c>
      <x:c r="D1031" s="1" t="str">
        <x:v>Case Packer</x:v>
      </x:c>
      <x:c r="E1031" s="1" t="str">
        <x:v>Northeast</x:v>
      </x:c>
      <x:c r="F1031" s="20" t="n">
        <x:v>136400</x:v>
      </x:c>
      <x:c r="G1031" s="1" t="str">
        <x:v>New business</x:v>
      </x:c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 t="str">
        <x:v>ORD-01031</x:v>
      </x:c>
      <x:c r="B1032" s="1" t="str">
        <x:v>ACC-0294</x:v>
      </x:c>
      <x:c r="C1032" s="19" t="n">
        <x:v>45756</x:v>
      </x:c>
      <x:c r="D1032" s="1" t="str">
        <x:v>Cartoning Machine</x:v>
      </x:c>
      <x:c r="E1032" s="1" t="str">
        <x:v>Northeast</x:v>
      </x:c>
      <x:c r="F1032" s="20" t="n">
        <x:v>123400</x:v>
      </x:c>
      <x:c r="G1032" s="1" t="str">
        <x:v>Repeat purchase</x:v>
      </x:c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 t="str">
        <x:v>ORD-01032</x:v>
      </x:c>
      <x:c r="B1033" s="1" t="str">
        <x:v>ACC-0295</x:v>
      </x:c>
      <x:c r="C1033" s="19" t="n">
        <x:v>45567</x:v>
      </x:c>
      <x:c r="D1033" s="1" t="str">
        <x:v>Service &amp; Parts</x:v>
      </x:c>
      <x:c r="E1033" s="1" t="str">
        <x:v>South</x:v>
      </x:c>
      <x:c r="F1033" s="20" t="n">
        <x:v>17500</x:v>
      </x:c>
      <x:c r="G1033" s="1" t="str">
        <x:v>New business</x:v>
      </x:c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 t="str">
        <x:v>ORD-01033</x:v>
      </x:c>
      <x:c r="B1034" s="1" t="str">
        <x:v>ACC-0295</x:v>
      </x:c>
      <x:c r="C1034" s="19" t="n">
        <x:v>45725</x:v>
      </x:c>
      <x:c r="D1034" s="1" t="str">
        <x:v>Service &amp; Parts</x:v>
      </x:c>
      <x:c r="E1034" s="1" t="str">
        <x:v>South</x:v>
      </x:c>
      <x:c r="F1034" s="20" t="n">
        <x:v>31300</x:v>
      </x:c>
      <x:c r="G1034" s="1" t="str">
        <x:v>Repeat purchase</x:v>
      </x:c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 t="str">
        <x:v>ORD-01034</x:v>
      </x:c>
      <x:c r="B1035" s="1" t="str">
        <x:v>ACC-0295</x:v>
      </x:c>
      <x:c r="C1035" s="19" t="n">
        <x:v>45799</x:v>
      </x:c>
      <x:c r="D1035" s="1" t="str">
        <x:v>Service &amp; Parts</x:v>
      </x:c>
      <x:c r="E1035" s="1" t="str">
        <x:v>South</x:v>
      </x:c>
      <x:c r="F1035" s="20" t="n">
        <x:v>27500</x:v>
      </x:c>
      <x:c r="G1035" s="1" t="str">
        <x:v>Repeat purchase</x:v>
      </x:c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 t="str">
        <x:v>ORD-01035</x:v>
      </x:c>
      <x:c r="B1036" s="1" t="str">
        <x:v>ACC-0295</x:v>
      </x:c>
      <x:c r="C1036" s="19" t="n">
        <x:v>45986</x:v>
      </x:c>
      <x:c r="D1036" s="1" t="str">
        <x:v>Case Packer</x:v>
      </x:c>
      <x:c r="E1036" s="1" t="str">
        <x:v>South</x:v>
      </x:c>
      <x:c r="F1036" s="20" t="n">
        <x:v>132300</x:v>
      </x:c>
      <x:c r="G1036" s="1" t="str">
        <x:v>Repeat purchase</x:v>
      </x:c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 t="str">
        <x:v>ORD-01036</x:v>
      </x:c>
      <x:c r="B1037" s="1" t="str">
        <x:v>ACC-0296</x:v>
      </x:c>
      <x:c r="C1037" s="19" t="n">
        <x:v>45747</x:v>
      </x:c>
      <x:c r="D1037" s="1" t="str">
        <x:v>Service &amp; Parts</x:v>
      </x:c>
      <x:c r="E1037" s="1" t="str">
        <x:v>Northeast</x:v>
      </x:c>
      <x:c r="F1037" s="20" t="n">
        <x:v>13100</x:v>
      </x:c>
      <x:c r="G1037" s="1" t="str">
        <x:v>New business</x:v>
      </x:c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 t="str">
        <x:v>ORD-01037</x:v>
      </x:c>
      <x:c r="B1038" s="1" t="str">
        <x:v>ACC-0297</x:v>
      </x:c>
      <x:c r="C1038" s="19" t="n">
        <x:v>45657</x:v>
      </x:c>
      <x:c r="D1038" s="1" t="str">
        <x:v>Pouch Filler</x:v>
      </x:c>
      <x:c r="E1038" s="1" t="str">
        <x:v>South</x:v>
      </x:c>
      <x:c r="F1038" s="20" t="n">
        <x:v>188800</x:v>
      </x:c>
      <x:c r="G1038" s="1" t="str">
        <x:v>New business</x:v>
      </x:c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 t="str">
        <x:v>ORD-01038</x:v>
      </x:c>
      <x:c r="B1039" s="1" t="str">
        <x:v>ACC-0297</x:v>
      </x:c>
      <x:c r="C1039" s="19" t="n">
        <x:v>45784</x:v>
      </x:c>
      <x:c r="D1039" s="1" t="str">
        <x:v>Pouch Filler</x:v>
      </x:c>
      <x:c r="E1039" s="1" t="str">
        <x:v>South</x:v>
      </x:c>
      <x:c r="F1039" s="20" t="n">
        <x:v>106000</x:v>
      </x:c>
      <x:c r="G1039" s="1" t="str">
        <x:v>Repeat purchase</x:v>
      </x:c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 t="str">
        <x:v>ORD-01039</x:v>
      </x:c>
      <x:c r="B1040" s="1" t="str">
        <x:v>ACC-0297</x:v>
      </x:c>
      <x:c r="C1040" s="19" t="n">
        <x:v>45788</x:v>
      </x:c>
      <x:c r="D1040" s="1" t="str">
        <x:v>Case Packer</x:v>
      </x:c>
      <x:c r="E1040" s="1" t="str">
        <x:v>South</x:v>
      </x:c>
      <x:c r="F1040" s="20" t="n">
        <x:v>265900</x:v>
      </x:c>
      <x:c r="G1040" s="1" t="str">
        <x:v>Repeat purchase</x:v>
      </x:c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 t="str">
        <x:v>ORD-01040</x:v>
      </x:c>
      <x:c r="B1041" s="1" t="str">
        <x:v>ACC-0297</x:v>
      </x:c>
      <x:c r="C1041" s="19" t="n">
        <x:v>45862</x:v>
      </x:c>
      <x:c r="D1041" s="1" t="str">
        <x:v>Service &amp; Parts</x:v>
      </x:c>
      <x:c r="E1041" s="1" t="str">
        <x:v>South</x:v>
      </x:c>
      <x:c r="F1041" s="20" t="n">
        <x:v>19100</x:v>
      </x:c>
      <x:c r="G1041" s="1" t="str">
        <x:v>Repeat purchase</x:v>
      </x:c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 t="str">
        <x:v>ORD-01041</x:v>
      </x:c>
      <x:c r="B1042" s="1" t="str">
        <x:v>ACC-0297</x:v>
      </x:c>
      <x:c r="C1042" s="19" t="n">
        <x:v>45892</x:v>
      </x:c>
      <x:c r="D1042" s="1" t="str">
        <x:v>Labeling System</x:v>
      </x:c>
      <x:c r="E1042" s="1" t="str">
        <x:v>South</x:v>
      </x:c>
      <x:c r="F1042" s="20" t="n">
        <x:v>157500</x:v>
      </x:c>
      <x:c r="G1042" s="1" t="str">
        <x:v>Repeat purchase</x:v>
      </x:c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 t="str">
        <x:v>ORD-01042</x:v>
      </x:c>
      <x:c r="B1043" s="1" t="str">
        <x:v>ACC-0297</x:v>
      </x:c>
      <x:c r="C1043" s="19" t="n">
        <x:v>45903</x:v>
      </x:c>
      <x:c r="D1043" s="1" t="str">
        <x:v>Case Packer</x:v>
      </x:c>
      <x:c r="E1043" s="1" t="str">
        <x:v>South</x:v>
      </x:c>
      <x:c r="F1043" s="20" t="n">
        <x:v>115900</x:v>
      </x:c>
      <x:c r="G1043" s="1" t="str">
        <x:v>Repeat purchase</x:v>
      </x:c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 t="str">
        <x:v>ORD-01043</x:v>
      </x:c>
      <x:c r="B1044" s="1" t="str">
        <x:v>ACC-0297</x:v>
      </x:c>
      <x:c r="C1044" s="19" t="n">
        <x:v>45906</x:v>
      </x:c>
      <x:c r="D1044" s="1" t="str">
        <x:v>Labeling System</x:v>
      </x:c>
      <x:c r="E1044" s="1" t="str">
        <x:v>South</x:v>
      </x:c>
      <x:c r="F1044" s="20" t="n">
        <x:v>97000</x:v>
      </x:c>
      <x:c r="G1044" s="1" t="str">
        <x:v>Repeat purchase</x:v>
      </x:c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 t="str">
        <x:v>ORD-01044</x:v>
      </x:c>
      <x:c r="B1045" s="1" t="str">
        <x:v>ACC-0297</x:v>
      </x:c>
      <x:c r="C1045" s="19" t="n">
        <x:v>46080</x:v>
      </x:c>
      <x:c r="D1045" s="1" t="str">
        <x:v>Case Packer</x:v>
      </x:c>
      <x:c r="E1045" s="1" t="str">
        <x:v>South</x:v>
      </x:c>
      <x:c r="F1045" s="20" t="n">
        <x:v>117600</x:v>
      </x:c>
      <x:c r="G1045" s="1" t="str">
        <x:v>Repeat purchase</x:v>
      </x:c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 t="str">
        <x:v>ORD-01045</x:v>
      </x:c>
      <x:c r="B1046" s="1" t="str">
        <x:v>ACC-0298</x:v>
      </x:c>
      <x:c r="C1046" s="19" t="n">
        <x:v>45724</x:v>
      </x:c>
      <x:c r="D1046" s="1" t="str">
        <x:v>Service &amp; Parts</x:v>
      </x:c>
      <x:c r="E1046" s="1" t="str">
        <x:v>Northeast</x:v>
      </x:c>
      <x:c r="F1046" s="20" t="n">
        <x:v>13900</x:v>
      </x:c>
      <x:c r="G1046" s="1" t="str">
        <x:v>New business</x:v>
      </x:c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 t="str">
        <x:v>ORD-01046</x:v>
      </x:c>
      <x:c r="B1047" s="1" t="str">
        <x:v>ACC-0298</x:v>
      </x:c>
      <x:c r="C1047" s="19" t="n">
        <x:v>45796</x:v>
      </x:c>
      <x:c r="D1047" s="1" t="str">
        <x:v>Case Packer</x:v>
      </x:c>
      <x:c r="E1047" s="1" t="str">
        <x:v>Northeast</x:v>
      </x:c>
      <x:c r="F1047" s="20" t="n">
        <x:v>79200</x:v>
      </x:c>
      <x:c r="G1047" s="1" t="str">
        <x:v>Repeat purchase</x:v>
      </x:c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 t="str">
        <x:v>ORD-01047</x:v>
      </x:c>
      <x:c r="B1048" s="1" t="str">
        <x:v>ACC-0298</x:v>
      </x:c>
      <x:c r="C1048" s="19" t="n">
        <x:v>45857</x:v>
      </x:c>
      <x:c r="D1048" s="1" t="str">
        <x:v>Labeling System</x:v>
      </x:c>
      <x:c r="E1048" s="1" t="str">
        <x:v>Northeast</x:v>
      </x:c>
      <x:c r="F1048" s="20" t="n">
        <x:v>204800</x:v>
      </x:c>
      <x:c r="G1048" s="1" t="str">
        <x:v>Repeat purchase</x:v>
      </x:c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 t="str">
        <x:v>ORD-01048</x:v>
      </x:c>
      <x:c r="B1049" s="1" t="str">
        <x:v>ACC-0298</x:v>
      </x:c>
      <x:c r="C1049" s="19" t="n">
        <x:v>46060</x:v>
      </x:c>
      <x:c r="D1049" s="1" t="str">
        <x:v>Cartoning Machine</x:v>
      </x:c>
      <x:c r="E1049" s="1" t="str">
        <x:v>Northeast</x:v>
      </x:c>
      <x:c r="F1049" s="20" t="n">
        <x:v>96400</x:v>
      </x:c>
      <x:c r="G1049" s="1" t="str">
        <x:v>Repeat purchase</x:v>
      </x:c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 t="str">
        <x:v>ORD-01049</x:v>
      </x:c>
      <x:c r="B1050" s="1" t="str">
        <x:v>ACC-0298</x:v>
      </x:c>
      <x:c r="C1050" s="19" t="n">
        <x:v>46173</x:v>
      </x:c>
      <x:c r="D1050" s="1" t="str">
        <x:v>Service &amp; Parts</x:v>
      </x:c>
      <x:c r="E1050" s="1" t="str">
        <x:v>Northeast</x:v>
      </x:c>
      <x:c r="F1050" s="20" t="n">
        <x:v>24800</x:v>
      </x:c>
      <x:c r="G1050" s="1" t="str">
        <x:v>Repeat purchase</x:v>
      </x:c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 t="str">
        <x:v>ORD-01050</x:v>
      </x:c>
      <x:c r="B1051" s="1" t="str">
        <x:v>ACC-0298</x:v>
      </x:c>
      <x:c r="C1051" s="19" t="n">
        <x:v>46191</x:v>
      </x:c>
      <x:c r="D1051" s="1" t="str">
        <x:v>Cartoning Machine</x:v>
      </x:c>
      <x:c r="E1051" s="1" t="str">
        <x:v>Northeast</x:v>
      </x:c>
      <x:c r="F1051" s="20" t="n">
        <x:v>52900</x:v>
      </x:c>
      <x:c r="G1051" s="1" t="str">
        <x:v>Repeat purchase</x:v>
      </x:c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 t="str">
        <x:v>ORD-01051</x:v>
      </x:c>
      <x:c r="B1052" s="1" t="str">
        <x:v>ACC-0299</x:v>
      </x:c>
      <x:c r="C1052" s="19" t="n">
        <x:v>45362</x:v>
      </x:c>
      <x:c r="D1052" s="1" t="str">
        <x:v>Case Packer</x:v>
      </x:c>
      <x:c r="E1052" s="1" t="str">
        <x:v>South</x:v>
      </x:c>
      <x:c r="F1052" s="20" t="n">
        <x:v>92900</x:v>
      </x:c>
      <x:c r="G1052" s="1" t="str">
        <x:v>New business</x:v>
      </x:c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 t="str">
        <x:v>ORD-01052</x:v>
      </x:c>
      <x:c r="B1053" s="1" t="str">
        <x:v>ACC-0299</x:v>
      </x:c>
      <x:c r="C1053" s="19" t="n">
        <x:v>45918</x:v>
      </x:c>
      <x:c r="D1053" s="1" t="str">
        <x:v>Pouch Filler</x:v>
      </x:c>
      <x:c r="E1053" s="1" t="str">
        <x:v>South</x:v>
      </x:c>
      <x:c r="F1053" s="20" t="n">
        <x:v>146100</x:v>
      </x:c>
      <x:c r="G1053" s="1" t="str">
        <x:v>Repeat purchase</x:v>
      </x:c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 t="str">
        <x:v>ORD-01053</x:v>
      </x:c>
      <x:c r="B1054" s="1" t="str">
        <x:v>ACC-0299</x:v>
      </x:c>
      <x:c r="C1054" s="19" t="n">
        <x:v>45963</x:v>
      </x:c>
      <x:c r="D1054" s="1" t="str">
        <x:v>Service &amp; Parts</x:v>
      </x:c>
      <x:c r="E1054" s="1" t="str">
        <x:v>South</x:v>
      </x:c>
      <x:c r="F1054" s="20" t="n">
        <x:v>9800</x:v>
      </x:c>
      <x:c r="G1054" s="1" t="str">
        <x:v>Repeat purchase</x:v>
      </x:c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 t="str">
        <x:v>ORD-01054</x:v>
      </x:c>
      <x:c r="B1055" s="1" t="str">
        <x:v>ACC-0300</x:v>
      </x:c>
      <x:c r="C1055" s="19" t="n">
        <x:v>45763</x:v>
      </x:c>
      <x:c r="D1055" s="1" t="str">
        <x:v>Labeling System</x:v>
      </x:c>
      <x:c r="E1055" s="1" t="str">
        <x:v>South</x:v>
      </x:c>
      <x:c r="F1055" s="20" t="n">
        <x:v>197400</x:v>
      </x:c>
      <x:c r="G1055" s="1" t="str">
        <x:v>New business</x:v>
      </x:c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 t="str">
        <x:v>ORD-01055</x:v>
      </x:c>
      <x:c r="B1056" s="1" t="str">
        <x:v>ACC-0300</x:v>
      </x:c>
      <x:c r="C1056" s="19" t="n">
        <x:v>45929</x:v>
      </x:c>
      <x:c r="D1056" s="1" t="str">
        <x:v>Service &amp; Parts</x:v>
      </x:c>
      <x:c r="E1056" s="1" t="str">
        <x:v>South</x:v>
      </x:c>
      <x:c r="F1056" s="20" t="n">
        <x:v>40500</x:v>
      </x:c>
      <x:c r="G1056" s="1" t="str">
        <x:v>Repeat purchase</x:v>
      </x:c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 t="str">
        <x:v>ORD-01056</x:v>
      </x:c>
      <x:c r="B1057" s="1" t="str">
        <x:v>ACC-0300</x:v>
      </x:c>
      <x:c r="C1057" s="19" t="n">
        <x:v>46116</x:v>
      </x:c>
      <x:c r="D1057" s="1" t="str">
        <x:v>Pouch Filler</x:v>
      </x:c>
      <x:c r="E1057" s="1" t="str">
        <x:v>South</x:v>
      </x:c>
      <x:c r="F1057" s="20" t="n">
        <x:v>207900</x:v>
      </x:c>
      <x:c r="G1057" s="1" t="str">
        <x:v>Repeat purchase</x:v>
      </x:c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 t="str">
        <x:v>ORD-01057</x:v>
      </x:c>
      <x:c r="B1058" s="1" t="str">
        <x:v>ACC-0300</x:v>
      </x:c>
      <x:c r="C1058" s="19" t="n">
        <x:v>46184</x:v>
      </x:c>
      <x:c r="D1058" s="1" t="str">
        <x:v>Service &amp; Parts</x:v>
      </x:c>
      <x:c r="E1058" s="1" t="str">
        <x:v>South</x:v>
      </x:c>
      <x:c r="F1058" s="20" t="n">
        <x:v>45300</x:v>
      </x:c>
      <x:c r="G1058" s="1" t="str">
        <x:v>Repeat purchase</x:v>
      </x:c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 t="str">
        <x:v>ORD-01058</x:v>
      </x:c>
      <x:c r="B1059" s="1" t="str">
        <x:v>ACC-0301</x:v>
      </x:c>
      <x:c r="C1059" s="19" t="n">
        <x:v>45294</x:v>
      </x:c>
      <x:c r="D1059" s="1" t="str">
        <x:v>Cartoning Machine</x:v>
      </x:c>
      <x:c r="E1059" s="1" t="str">
        <x:v>West</x:v>
      </x:c>
      <x:c r="F1059" s="20" t="n">
        <x:v>179200</x:v>
      </x:c>
      <x:c r="G1059" s="1" t="str">
        <x:v>New business</x:v>
      </x:c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 t="str">
        <x:v>ORD-01059</x:v>
      </x:c>
      <x:c r="B1060" s="1" t="str">
        <x:v>ACC-0301</x:v>
      </x:c>
      <x:c r="C1060" s="19" t="n">
        <x:v>45327</x:v>
      </x:c>
      <x:c r="D1060" s="1" t="str">
        <x:v>Case Packer</x:v>
      </x:c>
      <x:c r="E1060" s="1" t="str">
        <x:v>West</x:v>
      </x:c>
      <x:c r="F1060" s="20" t="n">
        <x:v>172100</x:v>
      </x:c>
      <x:c r="G1060" s="1" t="str">
        <x:v>Repeat purchase</x:v>
      </x:c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 t="str">
        <x:v>ORD-01060</x:v>
      </x:c>
      <x:c r="B1061" s="1" t="str">
        <x:v>ACC-0301</x:v>
      </x:c>
      <x:c r="C1061" s="19" t="n">
        <x:v>45390</x:v>
      </x:c>
      <x:c r="D1061" s="1" t="str">
        <x:v>Case Packer</x:v>
      </x:c>
      <x:c r="E1061" s="1" t="str">
        <x:v>West</x:v>
      </x:c>
      <x:c r="F1061" s="20" t="n">
        <x:v>227400</x:v>
      </x:c>
      <x:c r="G1061" s="1" t="str">
        <x:v>Repeat purchase</x:v>
      </x:c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 t="str">
        <x:v>ORD-01061</x:v>
      </x:c>
      <x:c r="B1062" s="1" t="str">
        <x:v>ACC-0301</x:v>
      </x:c>
      <x:c r="C1062" s="19" t="n">
        <x:v>45645</x:v>
      </x:c>
      <x:c r="D1062" s="1" t="str">
        <x:v>Pouch Filler</x:v>
      </x:c>
      <x:c r="E1062" s="1" t="str">
        <x:v>West</x:v>
      </x:c>
      <x:c r="F1062" s="20" t="n">
        <x:v>209500</x:v>
      </x:c>
      <x:c r="G1062" s="1" t="str">
        <x:v>Repeat purchase</x:v>
      </x:c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 t="str">
        <x:v>ORD-01062</x:v>
      </x:c>
      <x:c r="B1063" s="1" t="str">
        <x:v>ACC-0302</x:v>
      </x:c>
      <x:c r="C1063" s="19" t="n">
        <x:v>45988</x:v>
      </x:c>
      <x:c r="D1063" s="1" t="str">
        <x:v>Case Packer</x:v>
      </x:c>
      <x:c r="E1063" s="1" t="str">
        <x:v>Midwest</x:v>
      </x:c>
      <x:c r="F1063" s="20" t="n">
        <x:v>76600</x:v>
      </x:c>
      <x:c r="G1063" s="1" t="str">
        <x:v>New business</x:v>
      </x:c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 t="str">
        <x:v>ORD-01063</x:v>
      </x:c>
      <x:c r="B1064" s="1" t="str">
        <x:v>ACC-0302</x:v>
      </x:c>
      <x:c r="C1064" s="19" t="n">
        <x:v>46018</x:v>
      </x:c>
      <x:c r="D1064" s="1" t="str">
        <x:v>Pouch Filler</x:v>
      </x:c>
      <x:c r="E1064" s="1" t="str">
        <x:v>Midwest</x:v>
      </x:c>
      <x:c r="F1064" s="20" t="n">
        <x:v>207300</x:v>
      </x:c>
      <x:c r="G1064" s="1" t="str">
        <x:v>Repeat purchase</x:v>
      </x:c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 t="str">
        <x:v>ORD-01064</x:v>
      </x:c>
      <x:c r="B1065" s="1" t="str">
        <x:v>ACC-0302</x:v>
      </x:c>
      <x:c r="C1065" s="19" t="n">
        <x:v>46187</x:v>
      </x:c>
      <x:c r="D1065" s="1" t="str">
        <x:v>Pouch Filler</x:v>
      </x:c>
      <x:c r="E1065" s="1" t="str">
        <x:v>Midwest</x:v>
      </x:c>
      <x:c r="F1065" s="20" t="n">
        <x:v>47500</x:v>
      </x:c>
      <x:c r="G1065" s="1" t="str">
        <x:v>Repeat purchase</x:v>
      </x:c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 t="str">
        <x:v>ORD-01065</x:v>
      </x:c>
      <x:c r="B1066" s="1" t="str">
        <x:v>ACC-0303</x:v>
      </x:c>
      <x:c r="C1066" s="19" t="n">
        <x:v>46161</x:v>
      </x:c>
      <x:c r="D1066" s="1" t="str">
        <x:v>Service &amp; Parts</x:v>
      </x:c>
      <x:c r="E1066" s="1" t="str">
        <x:v>South</x:v>
      </x:c>
      <x:c r="F1066" s="20" t="n">
        <x:v>10000</x:v>
      </x:c>
      <x:c r="G1066" s="1" t="str">
        <x:v>New business</x:v>
      </x:c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 t="str">
        <x:v>ORD-01066</x:v>
      </x:c>
      <x:c r="B1067" s="1" t="str">
        <x:v>ACC-0303</x:v>
      </x:c>
      <x:c r="C1067" s="19" t="n">
        <x:v>46201</x:v>
      </x:c>
      <x:c r="D1067" s="1" t="str">
        <x:v>Service &amp; Parts</x:v>
      </x:c>
      <x:c r="E1067" s="1" t="str">
        <x:v>South</x:v>
      </x:c>
      <x:c r="F1067" s="20" t="n">
        <x:v>22000</x:v>
      </x:c>
      <x:c r="G1067" s="1" t="str">
        <x:v>Repeat purchase</x:v>
      </x:c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 t="str">
        <x:v>ORD-01067</x:v>
      </x:c>
      <x:c r="B1068" s="1" t="str">
        <x:v>ACC-0304</x:v>
      </x:c>
      <x:c r="C1068" s="19" t="n">
        <x:v>45293</x:v>
      </x:c>
      <x:c r="D1068" s="1" t="str">
        <x:v>Case Packer</x:v>
      </x:c>
      <x:c r="E1068" s="1" t="str">
        <x:v>South</x:v>
      </x:c>
      <x:c r="F1068" s="20" t="n">
        <x:v>252100</x:v>
      </x:c>
      <x:c r="G1068" s="1" t="str">
        <x:v>New business</x:v>
      </x:c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 t="str">
        <x:v>ORD-01068</x:v>
      </x:c>
      <x:c r="B1069" s="1" t="str">
        <x:v>ACC-0304</x:v>
      </x:c>
      <x:c r="C1069" s="19" t="n">
        <x:v>45695</x:v>
      </x:c>
      <x:c r="D1069" s="1" t="str">
        <x:v>Case Packer</x:v>
      </x:c>
      <x:c r="E1069" s="1" t="str">
        <x:v>South</x:v>
      </x:c>
      <x:c r="F1069" s="20" t="n">
        <x:v>194300</x:v>
      </x:c>
      <x:c r="G1069" s="1" t="str">
        <x:v>Repeat purchase</x:v>
      </x:c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 t="str">
        <x:v>ORD-01069</x:v>
      </x:c>
      <x:c r="B1070" s="1" t="str">
        <x:v>ACC-0304</x:v>
      </x:c>
      <x:c r="C1070" s="19" t="n">
        <x:v>45700</x:v>
      </x:c>
      <x:c r="D1070" s="1" t="str">
        <x:v>Pouch Filler</x:v>
      </x:c>
      <x:c r="E1070" s="1" t="str">
        <x:v>South</x:v>
      </x:c>
      <x:c r="F1070" s="20" t="n">
        <x:v>211400</x:v>
      </x:c>
      <x:c r="G1070" s="1" t="str">
        <x:v>Repeat purchase</x:v>
      </x:c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 t="str">
        <x:v>ORD-01070</x:v>
      </x:c>
      <x:c r="B1071" s="1" t="str">
        <x:v>ACC-0304</x:v>
      </x:c>
      <x:c r="C1071" s="19" t="n">
        <x:v>46036</x:v>
      </x:c>
      <x:c r="D1071" s="1" t="str">
        <x:v>Cartoning Machine</x:v>
      </x:c>
      <x:c r="E1071" s="1" t="str">
        <x:v>South</x:v>
      </x:c>
      <x:c r="F1071" s="20" t="n">
        <x:v>265900</x:v>
      </x:c>
      <x:c r="G1071" s="1" t="str">
        <x:v>Repeat purchase</x:v>
      </x:c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 t="str">
        <x:v>ORD-01071</x:v>
      </x:c>
      <x:c r="B1072" s="1" t="str">
        <x:v>ACC-0304</x:v>
      </x:c>
      <x:c r="C1072" s="19" t="n">
        <x:v>46099</x:v>
      </x:c>
      <x:c r="D1072" s="1" t="str">
        <x:v>Pouch Filler</x:v>
      </x:c>
      <x:c r="E1072" s="1" t="str">
        <x:v>South</x:v>
      </x:c>
      <x:c r="F1072" s="20" t="n">
        <x:v>196700</x:v>
      </x:c>
      <x:c r="G1072" s="1" t="str">
        <x:v>Repeat purchase</x:v>
      </x:c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 t="str">
        <x:v>ORD-01072</x:v>
      </x:c>
      <x:c r="B1073" s="1" t="str">
        <x:v>ACC-0305</x:v>
      </x:c>
      <x:c r="C1073" s="19" t="n">
        <x:v>45311</x:v>
      </x:c>
      <x:c r="D1073" s="1" t="str">
        <x:v>Labeling System</x:v>
      </x:c>
      <x:c r="E1073" s="1" t="str">
        <x:v>Northeast</x:v>
      </x:c>
      <x:c r="F1073" s="20" t="n">
        <x:v>143500</x:v>
      </x:c>
      <x:c r="G1073" s="1" t="str">
        <x:v>New business</x:v>
      </x:c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 t="str">
        <x:v>ORD-01073</x:v>
      </x:c>
      <x:c r="B1074" s="1" t="str">
        <x:v>ACC-0305</x:v>
      </x:c>
      <x:c r="C1074" s="19" t="n">
        <x:v>45690</x:v>
      </x:c>
      <x:c r="D1074" s="1" t="str">
        <x:v>Labeling System</x:v>
      </x:c>
      <x:c r="E1074" s="1" t="str">
        <x:v>Northeast</x:v>
      </x:c>
      <x:c r="F1074" s="20" t="n">
        <x:v>203500</x:v>
      </x:c>
      <x:c r="G1074" s="1" t="str">
        <x:v>Repeat purchase</x:v>
      </x:c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 t="str">
        <x:v>ORD-01074</x:v>
      </x:c>
      <x:c r="B1075" s="1" t="str">
        <x:v>ACC-0305</x:v>
      </x:c>
      <x:c r="C1075" s="19" t="n">
        <x:v>45880</x:v>
      </x:c>
      <x:c r="D1075" s="1" t="str">
        <x:v>Pouch Filler</x:v>
      </x:c>
      <x:c r="E1075" s="1" t="str">
        <x:v>Northeast</x:v>
      </x:c>
      <x:c r="F1075" s="20" t="n">
        <x:v>67800</x:v>
      </x:c>
      <x:c r="G1075" s="1" t="str">
        <x:v>Repeat purchase</x:v>
      </x:c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 t="str">
        <x:v>ORD-01075</x:v>
      </x:c>
      <x:c r="B1076" s="1" t="str">
        <x:v>ACC-0305</x:v>
      </x:c>
      <x:c r="C1076" s="19" t="n">
        <x:v>45901</x:v>
      </x:c>
      <x:c r="D1076" s="1" t="str">
        <x:v>Cartoning Machine</x:v>
      </x:c>
      <x:c r="E1076" s="1" t="str">
        <x:v>Northeast</x:v>
      </x:c>
      <x:c r="F1076" s="20" t="n">
        <x:v>165200</x:v>
      </x:c>
      <x:c r="G1076" s="1" t="str">
        <x:v>Repeat purchase</x:v>
      </x:c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 t="str">
        <x:v>ORD-01076</x:v>
      </x:c>
      <x:c r="B1077" s="1" t="str">
        <x:v>ACC-0305</x:v>
      </x:c>
      <x:c r="C1077" s="19" t="n">
        <x:v>46003</x:v>
      </x:c>
      <x:c r="D1077" s="1" t="str">
        <x:v>Case Packer</x:v>
      </x:c>
      <x:c r="E1077" s="1" t="str">
        <x:v>Northeast</x:v>
      </x:c>
      <x:c r="F1077" s="20" t="n">
        <x:v>105000</x:v>
      </x:c>
      <x:c r="G1077" s="1" t="str">
        <x:v>Repeat purchase</x:v>
      </x:c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 t="str">
        <x:v>ORD-01077</x:v>
      </x:c>
      <x:c r="B1078" s="1" t="str">
        <x:v>ACC-0305</x:v>
      </x:c>
      <x:c r="C1078" s="19" t="n">
        <x:v>46053</x:v>
      </x:c>
      <x:c r="D1078" s="1" t="str">
        <x:v>Labeling System</x:v>
      </x:c>
      <x:c r="E1078" s="1" t="str">
        <x:v>Northeast</x:v>
      </x:c>
      <x:c r="F1078" s="20" t="n">
        <x:v>74100</x:v>
      </x:c>
      <x:c r="G1078" s="1" t="str">
        <x:v>Repeat purchase</x:v>
      </x:c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 t="str">
        <x:v>ORD-01078</x:v>
      </x:c>
      <x:c r="B1079" s="1" t="str">
        <x:v>ACC-0306</x:v>
      </x:c>
      <x:c r="C1079" s="19" t="n">
        <x:v>45393</x:v>
      </x:c>
      <x:c r="D1079" s="1" t="str">
        <x:v>Cartoning Machine</x:v>
      </x:c>
      <x:c r="E1079" s="1" t="str">
        <x:v>Northeast</x:v>
      </x:c>
      <x:c r="F1079" s="20" t="n">
        <x:v>42600</x:v>
      </x:c>
      <x:c r="G1079" s="1" t="str">
        <x:v>New business</x:v>
      </x:c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 t="str">
        <x:v>ORD-01079</x:v>
      </x:c>
      <x:c r="B1080" s="1" t="str">
        <x:v>ACC-0306</x:v>
      </x:c>
      <x:c r="C1080" s="19" t="n">
        <x:v>45625</x:v>
      </x:c>
      <x:c r="D1080" s="1" t="str">
        <x:v>Service &amp; Parts</x:v>
      </x:c>
      <x:c r="E1080" s="1" t="str">
        <x:v>Northeast</x:v>
      </x:c>
      <x:c r="F1080" s="20" t="n">
        <x:v>12400</x:v>
      </x:c>
      <x:c r="G1080" s="1" t="str">
        <x:v>Repeat purchase</x:v>
      </x:c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 t="str">
        <x:v>ORD-01080</x:v>
      </x:c>
      <x:c r="B1081" s="1" t="str">
        <x:v>ACC-0306</x:v>
      </x:c>
      <x:c r="C1081" s="19" t="n">
        <x:v>45696</x:v>
      </x:c>
      <x:c r="D1081" s="1" t="str">
        <x:v>Service &amp; Parts</x:v>
      </x:c>
      <x:c r="E1081" s="1" t="str">
        <x:v>Northeast</x:v>
      </x:c>
      <x:c r="F1081" s="20" t="n">
        <x:v>18200</x:v>
      </x:c>
      <x:c r="G1081" s="1" t="str">
        <x:v>Repeat purchase</x:v>
      </x:c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 t="str">
        <x:v>ORD-01081</x:v>
      </x:c>
      <x:c r="B1082" s="1" t="str">
        <x:v>ACC-0306</x:v>
      </x:c>
      <x:c r="C1082" s="19" t="n">
        <x:v>45812</x:v>
      </x:c>
      <x:c r="D1082" s="1" t="str">
        <x:v>Labeling System</x:v>
      </x:c>
      <x:c r="E1082" s="1" t="str">
        <x:v>Northeast</x:v>
      </x:c>
      <x:c r="F1082" s="20" t="n">
        <x:v>57700</x:v>
      </x:c>
      <x:c r="G1082" s="1" t="str">
        <x:v>Repeat purchase</x:v>
      </x:c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 t="str">
        <x:v>ORD-01082</x:v>
      </x:c>
      <x:c r="B1083" s="1" t="str">
        <x:v>ACC-0307</x:v>
      </x:c>
      <x:c r="C1083" s="19" t="n">
        <x:v>45671</x:v>
      </x:c>
      <x:c r="D1083" s="1" t="str">
        <x:v>Service &amp; Parts</x:v>
      </x:c>
      <x:c r="E1083" s="1" t="str">
        <x:v>South</x:v>
      </x:c>
      <x:c r="F1083" s="20" t="n">
        <x:v>14300</x:v>
      </x:c>
      <x:c r="G1083" s="1" t="str">
        <x:v>New business</x:v>
      </x:c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 t="str">
        <x:v>ORD-01083</x:v>
      </x:c>
      <x:c r="B1084" s="1" t="str">
        <x:v>ACC-0307</x:v>
      </x:c>
      <x:c r="C1084" s="19" t="n">
        <x:v>45801</x:v>
      </x:c>
      <x:c r="D1084" s="1" t="str">
        <x:v>Case Packer</x:v>
      </x:c>
      <x:c r="E1084" s="1" t="str">
        <x:v>South</x:v>
      </x:c>
      <x:c r="F1084" s="20" t="n">
        <x:v>70100</x:v>
      </x:c>
      <x:c r="G1084" s="1" t="str">
        <x:v>Repeat purchase</x:v>
      </x:c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 t="str">
        <x:v>ORD-01084</x:v>
      </x:c>
      <x:c r="B1085" s="1" t="str">
        <x:v>ACC-0307</x:v>
      </x:c>
      <x:c r="C1085" s="19" t="n">
        <x:v>45843</x:v>
      </x:c>
      <x:c r="D1085" s="1" t="str">
        <x:v>Labeling System</x:v>
      </x:c>
      <x:c r="E1085" s="1" t="str">
        <x:v>South</x:v>
      </x:c>
      <x:c r="F1085" s="20" t="n">
        <x:v>187500</x:v>
      </x:c>
      <x:c r="G1085" s="1" t="str">
        <x:v>Repeat purchase</x:v>
      </x:c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 t="str">
        <x:v>ORD-01085</x:v>
      </x:c>
      <x:c r="B1086" s="1" t="str">
        <x:v>ACC-0307</x:v>
      </x:c>
      <x:c r="C1086" s="19" t="n">
        <x:v>46037</x:v>
      </x:c>
      <x:c r="D1086" s="1" t="str">
        <x:v>Pouch Filler</x:v>
      </x:c>
      <x:c r="E1086" s="1" t="str">
        <x:v>South</x:v>
      </x:c>
      <x:c r="F1086" s="20" t="n">
        <x:v>74500</x:v>
      </x:c>
      <x:c r="G1086" s="1" t="str">
        <x:v>Repeat purchase</x:v>
      </x:c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 t="str">
        <x:v>ORD-01086</x:v>
      </x:c>
      <x:c r="B1087" s="1" t="str">
        <x:v>ACC-0307</x:v>
      </x:c>
      <x:c r="C1087" s="19" t="n">
        <x:v>46105</x:v>
      </x:c>
      <x:c r="D1087" s="1" t="str">
        <x:v>Cartoning Machine</x:v>
      </x:c>
      <x:c r="E1087" s="1" t="str">
        <x:v>South</x:v>
      </x:c>
      <x:c r="F1087" s="20" t="n">
        <x:v>96100</x:v>
      </x:c>
      <x:c r="G1087" s="1" t="str">
        <x:v>Repeat purchase</x:v>
      </x:c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 t="str">
        <x:v>ORD-01087</x:v>
      </x:c>
      <x:c r="B1088" s="1" t="str">
        <x:v>ACC-0307</x:v>
      </x:c>
      <x:c r="C1088" s="19" t="n">
        <x:v>46126</x:v>
      </x:c>
      <x:c r="D1088" s="1" t="str">
        <x:v>Case Packer</x:v>
      </x:c>
      <x:c r="E1088" s="1" t="str">
        <x:v>South</x:v>
      </x:c>
      <x:c r="F1088" s="20" t="n">
        <x:v>84700</x:v>
      </x:c>
      <x:c r="G1088" s="1" t="str">
        <x:v>Repeat purchase</x:v>
      </x:c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 t="str">
        <x:v>ORD-01088</x:v>
      </x:c>
      <x:c r="B1089" s="1" t="str">
        <x:v>ACC-0308</x:v>
      </x:c>
      <x:c r="C1089" s="19" t="n">
        <x:v>46079</x:v>
      </x:c>
      <x:c r="D1089" s="1" t="str">
        <x:v>Labeling System</x:v>
      </x:c>
      <x:c r="E1089" s="1" t="str">
        <x:v>Northeast</x:v>
      </x:c>
      <x:c r="F1089" s="20" t="n">
        <x:v>205100</x:v>
      </x:c>
      <x:c r="G1089" s="1" t="str">
        <x:v>New business</x:v>
      </x:c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 t="str">
        <x:v>ORD-01089</x:v>
      </x:c>
      <x:c r="B1090" s="1" t="str">
        <x:v>ACC-0308</x:v>
      </x:c>
      <x:c r="C1090" s="19" t="n">
        <x:v>46142</x:v>
      </x:c>
      <x:c r="D1090" s="1" t="str">
        <x:v>Service &amp; Parts</x:v>
      </x:c>
      <x:c r="E1090" s="1" t="str">
        <x:v>Northeast</x:v>
      </x:c>
      <x:c r="F1090" s="20" t="n">
        <x:v>38500</x:v>
      </x:c>
      <x:c r="G1090" s="1" t="str">
        <x:v>Repeat purchase</x:v>
      </x:c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 t="str">
        <x:v>ORD-01090</x:v>
      </x:c>
      <x:c r="B1091" s="1" t="str">
        <x:v>ACC-0309</x:v>
      </x:c>
      <x:c r="C1091" s="19" t="n">
        <x:v>45814</x:v>
      </x:c>
      <x:c r="D1091" s="1" t="str">
        <x:v>Cartoning Machine</x:v>
      </x:c>
      <x:c r="E1091" s="1" t="str">
        <x:v>Midwest</x:v>
      </x:c>
      <x:c r="F1091" s="20" t="n">
        <x:v>71200</x:v>
      </x:c>
      <x:c r="G1091" s="1" t="str">
        <x:v>New business</x:v>
      </x:c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 t="str">
        <x:v>ORD-01091</x:v>
      </x:c>
      <x:c r="B1092" s="1" t="str">
        <x:v>ACC-0310</x:v>
      </x:c>
      <x:c r="C1092" s="19" t="n">
        <x:v>45533</x:v>
      </x:c>
      <x:c r="D1092" s="1" t="str">
        <x:v>Labeling System</x:v>
      </x:c>
      <x:c r="E1092" s="1" t="str">
        <x:v>West</x:v>
      </x:c>
      <x:c r="F1092" s="20" t="n">
        <x:v>131100</x:v>
      </x:c>
      <x:c r="G1092" s="1" t="str">
        <x:v>New business</x:v>
      </x:c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 t="str">
        <x:v>ORD-01092</x:v>
      </x:c>
      <x:c r="B1093" s="1" t="str">
        <x:v>ACC-0310</x:v>
      </x:c>
      <x:c r="C1093" s="19" t="n">
        <x:v>45740</x:v>
      </x:c>
      <x:c r="D1093" s="1" t="str">
        <x:v>Service &amp; Parts</x:v>
      </x:c>
      <x:c r="E1093" s="1" t="str">
        <x:v>West</x:v>
      </x:c>
      <x:c r="F1093" s="20" t="n">
        <x:v>28300</x:v>
      </x:c>
      <x:c r="G1093" s="1" t="str">
        <x:v>Repeat purchase</x:v>
      </x:c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 t="str">
        <x:v>ORD-01093</x:v>
      </x:c>
      <x:c r="B1094" s="1" t="str">
        <x:v>ACC-0310</x:v>
      </x:c>
      <x:c r="C1094" s="19" t="n">
        <x:v>46001</x:v>
      </x:c>
      <x:c r="D1094" s="1" t="str">
        <x:v>Cartoning Machine</x:v>
      </x:c>
      <x:c r="E1094" s="1" t="str">
        <x:v>West</x:v>
      </x:c>
      <x:c r="F1094" s="20" t="n">
        <x:v>214200</x:v>
      </x:c>
      <x:c r="G1094" s="1" t="str">
        <x:v>Repeat purchase</x:v>
      </x:c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 t="str">
        <x:v>ORD-01094</x:v>
      </x:c>
      <x:c r="B1095" s="1" t="str">
        <x:v>ACC-0311</x:v>
      </x:c>
      <x:c r="C1095" s="19" t="n">
        <x:v>45431</x:v>
      </x:c>
      <x:c r="D1095" s="1" t="str">
        <x:v>Service &amp; Parts</x:v>
      </x:c>
      <x:c r="E1095" s="1" t="str">
        <x:v>Northeast</x:v>
      </x:c>
      <x:c r="F1095" s="20" t="n">
        <x:v>7600</x:v>
      </x:c>
      <x:c r="G1095" s="1" t="str">
        <x:v>New business</x:v>
      </x:c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 t="str">
        <x:v>ORD-01095</x:v>
      </x:c>
      <x:c r="B1096" s="1" t="str">
        <x:v>ACC-0312</x:v>
      </x:c>
      <x:c r="C1096" s="19" t="n">
        <x:v>45954</x:v>
      </x:c>
      <x:c r="D1096" s="1" t="str">
        <x:v>Pouch Filler</x:v>
      </x:c>
      <x:c r="E1096" s="1" t="str">
        <x:v>Northeast</x:v>
      </x:c>
      <x:c r="F1096" s="20" t="n">
        <x:v>95900</x:v>
      </x:c>
      <x:c r="G1096" s="1" t="str">
        <x:v>New business</x:v>
      </x:c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 t="str">
        <x:v>ORD-01096</x:v>
      </x:c>
      <x:c r="B1097" s="1" t="str">
        <x:v>ACC-0313</x:v>
      </x:c>
      <x:c r="C1097" s="19" t="n">
        <x:v>45514</x:v>
      </x:c>
      <x:c r="D1097" s="1" t="str">
        <x:v>Case Packer</x:v>
      </x:c>
      <x:c r="E1097" s="1" t="str">
        <x:v>West</x:v>
      </x:c>
      <x:c r="F1097" s="20" t="n">
        <x:v>110500</x:v>
      </x:c>
      <x:c r="G1097" s="1" t="str">
        <x:v>New business</x:v>
      </x:c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 t="str">
        <x:v>ORD-01097</x:v>
      </x:c>
      <x:c r="B1098" s="1" t="str">
        <x:v>ACC-0314</x:v>
      </x:c>
      <x:c r="C1098" s="19" t="n">
        <x:v>45685</x:v>
      </x:c>
      <x:c r="D1098" s="1" t="str">
        <x:v>Case Packer</x:v>
      </x:c>
      <x:c r="E1098" s="1" t="str">
        <x:v>Midwest</x:v>
      </x:c>
      <x:c r="F1098" s="20" t="n">
        <x:v>150200</x:v>
      </x:c>
      <x:c r="G1098" s="1" t="str">
        <x:v>New business</x:v>
      </x:c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 t="str">
        <x:v>ORD-01098</x:v>
      </x:c>
      <x:c r="B1099" s="1" t="str">
        <x:v>ACC-0314</x:v>
      </x:c>
      <x:c r="C1099" s="19" t="n">
        <x:v>45890</x:v>
      </x:c>
      <x:c r="D1099" s="1" t="str">
        <x:v>Labeling System</x:v>
      </x:c>
      <x:c r="E1099" s="1" t="str">
        <x:v>Midwest</x:v>
      </x:c>
      <x:c r="F1099" s="20" t="n">
        <x:v>104300</x:v>
      </x:c>
      <x:c r="G1099" s="1" t="str">
        <x:v>Repeat purchase</x:v>
      </x:c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 t="str">
        <x:v>ORD-01099</x:v>
      </x:c>
      <x:c r="B1100" s="1" t="str">
        <x:v>ACC-0314</x:v>
      </x:c>
      <x:c r="C1100" s="19" t="n">
        <x:v>46152</x:v>
      </x:c>
      <x:c r="D1100" s="1" t="str">
        <x:v>Cartoning Machine</x:v>
      </x:c>
      <x:c r="E1100" s="1" t="str">
        <x:v>Midwest</x:v>
      </x:c>
      <x:c r="F1100" s="20" t="n">
        <x:v>159300</x:v>
      </x:c>
      <x:c r="G1100" s="1" t="str">
        <x:v>Repeat purchase</x:v>
      </x:c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 t="str">
        <x:v>ORD-01100</x:v>
      </x:c>
      <x:c r="B1101" s="1" t="str">
        <x:v>ACC-0315</x:v>
      </x:c>
      <x:c r="C1101" s="19" t="n">
        <x:v>45843</x:v>
      </x:c>
      <x:c r="D1101" s="1" t="str">
        <x:v>Service &amp; Parts</x:v>
      </x:c>
      <x:c r="E1101" s="1" t="str">
        <x:v>Northeast</x:v>
      </x:c>
      <x:c r="F1101" s="20" t="n">
        <x:v>23000</x:v>
      </x:c>
      <x:c r="G1101" s="1" t="str">
        <x:v>New business</x:v>
      </x:c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 t="str">
        <x:v>ORD-01101</x:v>
      </x:c>
      <x:c r="B1102" s="1" t="str">
        <x:v>ACC-0315</x:v>
      </x:c>
      <x:c r="C1102" s="19" t="n">
        <x:v>45856</x:v>
      </x:c>
      <x:c r="D1102" s="1" t="str">
        <x:v>Pouch Filler</x:v>
      </x:c>
      <x:c r="E1102" s="1" t="str">
        <x:v>Northeast</x:v>
      </x:c>
      <x:c r="F1102" s="20" t="n">
        <x:v>168100</x:v>
      </x:c>
      <x:c r="G1102" s="1" t="str">
        <x:v>Repeat purchase</x:v>
      </x:c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 t="str">
        <x:v>ORD-01102</x:v>
      </x:c>
      <x:c r="B1103" s="1" t="str">
        <x:v>ACC-0315</x:v>
      </x:c>
      <x:c r="C1103" s="19" t="n">
        <x:v>45944</x:v>
      </x:c>
      <x:c r="D1103" s="1" t="str">
        <x:v>Pouch Filler</x:v>
      </x:c>
      <x:c r="E1103" s="1" t="str">
        <x:v>Northeast</x:v>
      </x:c>
      <x:c r="F1103" s="20" t="n">
        <x:v>73600</x:v>
      </x:c>
      <x:c r="G1103" s="1" t="str">
        <x:v>Repeat purchase</x:v>
      </x:c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 t="str">
        <x:v>ORD-01103</x:v>
      </x:c>
      <x:c r="B1104" s="1" t="str">
        <x:v>ACC-0316</x:v>
      </x:c>
      <x:c r="C1104" s="19" t="n">
        <x:v>45930</x:v>
      </x:c>
      <x:c r="D1104" s="1" t="str">
        <x:v>Case Packer</x:v>
      </x:c>
      <x:c r="E1104" s="1" t="str">
        <x:v>Midwest</x:v>
      </x:c>
      <x:c r="F1104" s="20" t="n">
        <x:v>76200</x:v>
      </x:c>
      <x:c r="G1104" s="1" t="str">
        <x:v>New business</x:v>
      </x:c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 t="str">
        <x:v>ORD-01104</x:v>
      </x:c>
      <x:c r="B1105" s="1" t="str">
        <x:v>ACC-0316</x:v>
      </x:c>
      <x:c r="C1105" s="19" t="n">
        <x:v>46004</x:v>
      </x:c>
      <x:c r="D1105" s="1" t="str">
        <x:v>Pouch Filler</x:v>
      </x:c>
      <x:c r="E1105" s="1" t="str">
        <x:v>Midwest</x:v>
      </x:c>
      <x:c r="F1105" s="20" t="n">
        <x:v>111800</x:v>
      </x:c>
      <x:c r="G1105" s="1" t="str">
        <x:v>Repeat purchase</x:v>
      </x:c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 t="str">
        <x:v>ORD-01105</x:v>
      </x:c>
      <x:c r="B1106" s="1" t="str">
        <x:v>ACC-0316</x:v>
      </x:c>
      <x:c r="C1106" s="19" t="n">
        <x:v>46155</x:v>
      </x:c>
      <x:c r="D1106" s="1" t="str">
        <x:v>Pouch Filler</x:v>
      </x:c>
      <x:c r="E1106" s="1" t="str">
        <x:v>Midwest</x:v>
      </x:c>
      <x:c r="F1106" s="20" t="n">
        <x:v>126200</x:v>
      </x:c>
      <x:c r="G1106" s="1" t="str">
        <x:v>Repeat purchase</x:v>
      </x:c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 t="str">
        <x:v>ORD-01106</x:v>
      </x:c>
      <x:c r="B1107" s="1" t="str">
        <x:v>ACC-0317</x:v>
      </x:c>
      <x:c r="C1107" s="19" t="n">
        <x:v>45803</x:v>
      </x:c>
      <x:c r="D1107" s="1" t="str">
        <x:v>Service &amp; Parts</x:v>
      </x:c>
      <x:c r="E1107" s="1" t="str">
        <x:v>South</x:v>
      </x:c>
      <x:c r="F1107" s="20" t="n">
        <x:v>44900</x:v>
      </x:c>
      <x:c r="G1107" s="1" t="str">
        <x:v>New business</x:v>
      </x:c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 t="str">
        <x:v>ORD-01107</x:v>
      </x:c>
      <x:c r="B1108" s="1" t="str">
        <x:v>ACC-0317</x:v>
      </x:c>
      <x:c r="C1108" s="19" t="n">
        <x:v>45844</x:v>
      </x:c>
      <x:c r="D1108" s="1" t="str">
        <x:v>Pouch Filler</x:v>
      </x:c>
      <x:c r="E1108" s="1" t="str">
        <x:v>South</x:v>
      </x:c>
      <x:c r="F1108" s="20" t="n">
        <x:v>232800</x:v>
      </x:c>
      <x:c r="G1108" s="1" t="str">
        <x:v>Repeat purchase</x:v>
      </x:c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 t="str">
        <x:v>ORD-01108</x:v>
      </x:c>
      <x:c r="B1109" s="1" t="str">
        <x:v>ACC-0317</x:v>
      </x:c>
      <x:c r="C1109" s="19" t="n">
        <x:v>45900</x:v>
      </x:c>
      <x:c r="D1109" s="1" t="str">
        <x:v>Cartoning Machine</x:v>
      </x:c>
      <x:c r="E1109" s="1" t="str">
        <x:v>South</x:v>
      </x:c>
      <x:c r="F1109" s="20" t="n">
        <x:v>254500</x:v>
      </x:c>
      <x:c r="G1109" s="1" t="str">
        <x:v>Repeat purchase</x:v>
      </x:c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 t="str">
        <x:v>ORD-01109</x:v>
      </x:c>
      <x:c r="B1110" s="1" t="str">
        <x:v>ACC-0317</x:v>
      </x:c>
      <x:c r="C1110" s="19" t="n">
        <x:v>45911</x:v>
      </x:c>
      <x:c r="D1110" s="1" t="str">
        <x:v>Pouch Filler</x:v>
      </x:c>
      <x:c r="E1110" s="1" t="str">
        <x:v>South</x:v>
      </x:c>
      <x:c r="F1110" s="20" t="n">
        <x:v>87600</x:v>
      </x:c>
      <x:c r="G1110" s="1" t="str">
        <x:v>Repeat purchase</x:v>
      </x:c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 t="str">
        <x:v>ORD-01110</x:v>
      </x:c>
      <x:c r="B1111" s="1" t="str">
        <x:v>ACC-0317</x:v>
      </x:c>
      <x:c r="C1111" s="19" t="n">
        <x:v>45929</x:v>
      </x:c>
      <x:c r="D1111" s="1" t="str">
        <x:v>Case Packer</x:v>
      </x:c>
      <x:c r="E1111" s="1" t="str">
        <x:v>South</x:v>
      </x:c>
      <x:c r="F1111" s="20" t="n">
        <x:v>74800</x:v>
      </x:c>
      <x:c r="G1111" s="1" t="str">
        <x:v>Repeat purchase</x:v>
      </x:c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 t="str">
        <x:v>ORD-01111</x:v>
      </x:c>
      <x:c r="B1112" s="1" t="str">
        <x:v>ACC-0317</x:v>
      </x:c>
      <x:c r="C1112" s="19" t="n">
        <x:v>46007</x:v>
      </x:c>
      <x:c r="D1112" s="1" t="str">
        <x:v>Cartoning Machine</x:v>
      </x:c>
      <x:c r="E1112" s="1" t="str">
        <x:v>South</x:v>
      </x:c>
      <x:c r="F1112" s="20" t="n">
        <x:v>209900</x:v>
      </x:c>
      <x:c r="G1112" s="1" t="str">
        <x:v>Repeat purchase</x:v>
      </x:c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 t="str">
        <x:v>ORD-01112</x:v>
      </x:c>
      <x:c r="B1113" s="1" t="str">
        <x:v>ACC-0318</x:v>
      </x:c>
      <x:c r="C1113" s="19" t="n">
        <x:v>46142</x:v>
      </x:c>
      <x:c r="D1113" s="1" t="str">
        <x:v>Case Packer</x:v>
      </x:c>
      <x:c r="E1113" s="1" t="str">
        <x:v>Midwest</x:v>
      </x:c>
      <x:c r="F1113" s="20" t="n">
        <x:v>39100</x:v>
      </x:c>
      <x:c r="G1113" s="1" t="str">
        <x:v>New business</x:v>
      </x:c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 t="str">
        <x:v>ORD-01113</x:v>
      </x:c>
      <x:c r="B1114" s="1" t="str">
        <x:v>ACC-0318</x:v>
      </x:c>
      <x:c r="C1114" s="19" t="n">
        <x:v>46161</x:v>
      </x:c>
      <x:c r="D1114" s="1" t="str">
        <x:v>Labeling System</x:v>
      </x:c>
      <x:c r="E1114" s="1" t="str">
        <x:v>Midwest</x:v>
      </x:c>
      <x:c r="F1114" s="20" t="n">
        <x:v>107000</x:v>
      </x:c>
      <x:c r="G1114" s="1" t="str">
        <x:v>Repeat purchase</x:v>
      </x:c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 t="str">
        <x:v>ORD-01114</x:v>
      </x:c>
      <x:c r="B1115" s="1" t="str">
        <x:v>ACC-0319</x:v>
      </x:c>
      <x:c r="C1115" s="19" t="n">
        <x:v>46073</x:v>
      </x:c>
      <x:c r="D1115" s="1" t="str">
        <x:v>Service &amp; Parts</x:v>
      </x:c>
      <x:c r="E1115" s="1" t="str">
        <x:v>Northeast</x:v>
      </x:c>
      <x:c r="F1115" s="20" t="n">
        <x:v>12800</x:v>
      </x:c>
      <x:c r="G1115" s="1" t="str">
        <x:v>New business</x:v>
      </x:c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 t="str">
        <x:v>ORD-01115</x:v>
      </x:c>
      <x:c r="B1116" s="1" t="str">
        <x:v>ACC-0319</x:v>
      </x:c>
      <x:c r="C1116" s="19" t="n">
        <x:v>46090</x:v>
      </x:c>
      <x:c r="D1116" s="1" t="str">
        <x:v>Cartoning Machine</x:v>
      </x:c>
      <x:c r="E1116" s="1" t="str">
        <x:v>Northeast</x:v>
      </x:c>
      <x:c r="F1116" s="20" t="n">
        <x:v>152200</x:v>
      </x:c>
      <x:c r="G1116" s="1" t="str">
        <x:v>Repeat purchase</x:v>
      </x:c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 t="str">
        <x:v>ORD-01116</x:v>
      </x:c>
      <x:c r="B1117" s="1" t="str">
        <x:v>ACC-0320</x:v>
      </x:c>
      <x:c r="C1117" s="19" t="n">
        <x:v>45449</x:v>
      </x:c>
      <x:c r="D1117" s="1" t="str">
        <x:v>Labeling System</x:v>
      </x:c>
      <x:c r="E1117" s="1" t="str">
        <x:v>Northeast</x:v>
      </x:c>
      <x:c r="F1117" s="20" t="n">
        <x:v>66500</x:v>
      </x:c>
      <x:c r="G1117" s="1" t="str">
        <x:v>New business</x:v>
      </x:c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 t="str">
        <x:v>ORD-01117</x:v>
      </x:c>
      <x:c r="B1118" s="1" t="str">
        <x:v>ACC-0320</x:v>
      </x:c>
      <x:c r="C1118" s="19" t="n">
        <x:v>45687</x:v>
      </x:c>
      <x:c r="D1118" s="1" t="str">
        <x:v>Pouch Filler</x:v>
      </x:c>
      <x:c r="E1118" s="1" t="str">
        <x:v>Northeast</x:v>
      </x:c>
      <x:c r="F1118" s="20" t="n">
        <x:v>139200</x:v>
      </x:c>
      <x:c r="G1118" s="1" t="str">
        <x:v>Repeat purchase</x:v>
      </x:c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 t="str">
        <x:v>ORD-01118</x:v>
      </x:c>
      <x:c r="B1119" s="1" t="str">
        <x:v>ACC-0321</x:v>
      </x:c>
      <x:c r="C1119" s="19" t="n">
        <x:v>45497</x:v>
      </x:c>
      <x:c r="D1119" s="1" t="str">
        <x:v>Labeling System</x:v>
      </x:c>
      <x:c r="E1119" s="1" t="str">
        <x:v>Midwest</x:v>
      </x:c>
      <x:c r="F1119" s="20" t="n">
        <x:v>243200</x:v>
      </x:c>
      <x:c r="G1119" s="1" t="str">
        <x:v>New business</x:v>
      </x:c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 t="str">
        <x:v>ORD-01119</x:v>
      </x:c>
      <x:c r="B1120" s="1" t="str">
        <x:v>ACC-0321</x:v>
      </x:c>
      <x:c r="C1120" s="19" t="n">
        <x:v>45575</x:v>
      </x:c>
      <x:c r="D1120" s="1" t="str">
        <x:v>Case Packer</x:v>
      </x:c>
      <x:c r="E1120" s="1" t="str">
        <x:v>Midwest</x:v>
      </x:c>
      <x:c r="F1120" s="20" t="n">
        <x:v>116700</x:v>
      </x:c>
      <x:c r="G1120" s="1" t="str">
        <x:v>Repeat purchase</x:v>
      </x:c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 t="str">
        <x:v>ORD-01120</x:v>
      </x:c>
      <x:c r="B1121" s="1" t="str">
        <x:v>ACC-0321</x:v>
      </x:c>
      <x:c r="C1121" s="19" t="n">
        <x:v>45611</x:v>
      </x:c>
      <x:c r="D1121" s="1" t="str">
        <x:v>Service &amp; Parts</x:v>
      </x:c>
      <x:c r="E1121" s="1" t="str">
        <x:v>Midwest</x:v>
      </x:c>
      <x:c r="F1121" s="20" t="n">
        <x:v>23800</x:v>
      </x:c>
      <x:c r="G1121" s="1" t="str">
        <x:v>Repeat purchase</x:v>
      </x:c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 t="str">
        <x:v>ORD-01121</x:v>
      </x:c>
      <x:c r="B1122" s="1" t="str">
        <x:v>ACC-0321</x:v>
      </x:c>
      <x:c r="C1122" s="19" t="n">
        <x:v>45650</x:v>
      </x:c>
      <x:c r="D1122" s="1" t="str">
        <x:v>Service &amp; Parts</x:v>
      </x:c>
      <x:c r="E1122" s="1" t="str">
        <x:v>Midwest</x:v>
      </x:c>
      <x:c r="F1122" s="20" t="n">
        <x:v>20100</x:v>
      </x:c>
      <x:c r="G1122" s="1" t="str">
        <x:v>Repeat purchase</x:v>
      </x:c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 t="str">
        <x:v>ORD-01122</x:v>
      </x:c>
      <x:c r="B1123" s="1" t="str">
        <x:v>ACC-0321</x:v>
      </x:c>
      <x:c r="C1123" s="19" t="n">
        <x:v>46018</x:v>
      </x:c>
      <x:c r="D1123" s="1" t="str">
        <x:v>Case Packer</x:v>
      </x:c>
      <x:c r="E1123" s="1" t="str">
        <x:v>Midwest</x:v>
      </x:c>
      <x:c r="F1123" s="20" t="n">
        <x:v>253400</x:v>
      </x:c>
      <x:c r="G1123" s="1" t="str">
        <x:v>Repeat purchase</x:v>
      </x:c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 t="str">
        <x:v>ORD-01123</x:v>
      </x:c>
      <x:c r="B1124" s="1" t="str">
        <x:v>ACC-0322</x:v>
      </x:c>
      <x:c r="C1124" s="19" t="n">
        <x:v>45771</x:v>
      </x:c>
      <x:c r="D1124" s="1" t="str">
        <x:v>Cartoning Machine</x:v>
      </x:c>
      <x:c r="E1124" s="1" t="str">
        <x:v>Northeast</x:v>
      </x:c>
      <x:c r="F1124" s="20" t="n">
        <x:v>76900</x:v>
      </x:c>
      <x:c r="G1124" s="1" t="str">
        <x:v>New business</x:v>
      </x:c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 t="str">
        <x:v>ORD-01124</x:v>
      </x:c>
      <x:c r="B1125" s="1" t="str">
        <x:v>ACC-0322</x:v>
      </x:c>
      <x:c r="C1125" s="19" t="n">
        <x:v>45784</x:v>
      </x:c>
      <x:c r="D1125" s="1" t="str">
        <x:v>Cartoning Machine</x:v>
      </x:c>
      <x:c r="E1125" s="1" t="str">
        <x:v>Northeast</x:v>
      </x:c>
      <x:c r="F1125" s="20" t="n">
        <x:v>103300</x:v>
      </x:c>
      <x:c r="G1125" s="1" t="str">
        <x:v>Repeat purchase</x:v>
      </x:c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 t="str">
        <x:v>ORD-01125</x:v>
      </x:c>
      <x:c r="B1126" s="1" t="str">
        <x:v>ACC-0322</x:v>
      </x:c>
      <x:c r="C1126" s="19" t="n">
        <x:v>45815</x:v>
      </x:c>
      <x:c r="D1126" s="1" t="str">
        <x:v>Case Packer</x:v>
      </x:c>
      <x:c r="E1126" s="1" t="str">
        <x:v>Northeast</x:v>
      </x:c>
      <x:c r="F1126" s="20" t="n">
        <x:v>109800</x:v>
      </x:c>
      <x:c r="G1126" s="1" t="str">
        <x:v>Repeat purchase</x:v>
      </x:c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 t="str">
        <x:v>ORD-01126</x:v>
      </x:c>
      <x:c r="B1127" s="1" t="str">
        <x:v>ACC-0322</x:v>
      </x:c>
      <x:c r="C1127" s="19" t="n">
        <x:v>46040</x:v>
      </x:c>
      <x:c r="D1127" s="1" t="str">
        <x:v>Pouch Filler</x:v>
      </x:c>
      <x:c r="E1127" s="1" t="str">
        <x:v>Northeast</x:v>
      </x:c>
      <x:c r="F1127" s="20" t="n">
        <x:v>204600</x:v>
      </x:c>
      <x:c r="G1127" s="1" t="str">
        <x:v>Repeat purchase</x:v>
      </x:c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 t="str">
        <x:v>ORD-01127</x:v>
      </x:c>
      <x:c r="B1128" s="1" t="str">
        <x:v>ACC-0322</x:v>
      </x:c>
      <x:c r="C1128" s="19" t="n">
        <x:v>46103</x:v>
      </x:c>
      <x:c r="D1128" s="1" t="str">
        <x:v>Labeling System</x:v>
      </x:c>
      <x:c r="E1128" s="1" t="str">
        <x:v>Northeast</x:v>
      </x:c>
      <x:c r="F1128" s="20" t="n">
        <x:v>90000</x:v>
      </x:c>
      <x:c r="G1128" s="1" t="str">
        <x:v>Repeat purchase</x:v>
      </x:c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 t="str">
        <x:v>ORD-01128</x:v>
      </x:c>
      <x:c r="B1129" s="1" t="str">
        <x:v>ACC-0323</x:v>
      </x:c>
      <x:c r="C1129" s="19" t="n">
        <x:v>45655</x:v>
      </x:c>
      <x:c r="D1129" s="1" t="str">
        <x:v>Labeling System</x:v>
      </x:c>
      <x:c r="E1129" s="1" t="str">
        <x:v>South</x:v>
      </x:c>
      <x:c r="F1129" s="20" t="n">
        <x:v>130200</x:v>
      </x:c>
      <x:c r="G1129" s="1" t="str">
        <x:v>New business</x:v>
      </x:c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 t="str">
        <x:v>ORD-01129</x:v>
      </x:c>
      <x:c r="B1130" s="1" t="str">
        <x:v>ACC-0323</x:v>
      </x:c>
      <x:c r="C1130" s="19" t="n">
        <x:v>45795</x:v>
      </x:c>
      <x:c r="D1130" s="1" t="str">
        <x:v>Cartoning Machine</x:v>
      </x:c>
      <x:c r="E1130" s="1" t="str">
        <x:v>South</x:v>
      </x:c>
      <x:c r="F1130" s="20" t="n">
        <x:v>145000</x:v>
      </x:c>
      <x:c r="G1130" s="1" t="str">
        <x:v>Repeat purchase</x:v>
      </x:c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 t="str">
        <x:v>ORD-01130</x:v>
      </x:c>
      <x:c r="B1131" s="1" t="str">
        <x:v>ACC-0323</x:v>
      </x:c>
      <x:c r="C1131" s="19" t="n">
        <x:v>45811</x:v>
      </x:c>
      <x:c r="D1131" s="1" t="str">
        <x:v>Service &amp; Parts</x:v>
      </x:c>
      <x:c r="E1131" s="1" t="str">
        <x:v>South</x:v>
      </x:c>
      <x:c r="F1131" s="20" t="n">
        <x:v>39100</x:v>
      </x:c>
      <x:c r="G1131" s="1" t="str">
        <x:v>Repeat purchase</x:v>
      </x:c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 t="str">
        <x:v>ORD-01131</x:v>
      </x:c>
      <x:c r="B1132" s="1" t="str">
        <x:v>ACC-0323</x:v>
      </x:c>
      <x:c r="C1132" s="19" t="n">
        <x:v>45909</x:v>
      </x:c>
      <x:c r="D1132" s="1" t="str">
        <x:v>Case Packer</x:v>
      </x:c>
      <x:c r="E1132" s="1" t="str">
        <x:v>South</x:v>
      </x:c>
      <x:c r="F1132" s="20" t="n">
        <x:v>109500</x:v>
      </x:c>
      <x:c r="G1132" s="1" t="str">
        <x:v>Repeat purchase</x:v>
      </x:c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 t="str">
        <x:v>ORD-01132</x:v>
      </x:c>
      <x:c r="B1133" s="1" t="str">
        <x:v>ACC-0323</x:v>
      </x:c>
      <x:c r="C1133" s="19" t="n">
        <x:v>45984</x:v>
      </x:c>
      <x:c r="D1133" s="1" t="str">
        <x:v>Pouch Filler</x:v>
      </x:c>
      <x:c r="E1133" s="1" t="str">
        <x:v>South</x:v>
      </x:c>
      <x:c r="F1133" s="20" t="n">
        <x:v>73000</x:v>
      </x:c>
      <x:c r="G1133" s="1" t="str">
        <x:v>Repeat purchase</x:v>
      </x:c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 t="str">
        <x:v>ORD-01133</x:v>
      </x:c>
      <x:c r="B1134" s="1" t="str">
        <x:v>ACC-0323</x:v>
      </x:c>
      <x:c r="C1134" s="19" t="n">
        <x:v>46007</x:v>
      </x:c>
      <x:c r="D1134" s="1" t="str">
        <x:v>Service &amp; Parts</x:v>
      </x:c>
      <x:c r="E1134" s="1" t="str">
        <x:v>South</x:v>
      </x:c>
      <x:c r="F1134" s="20" t="n">
        <x:v>41800</x:v>
      </x:c>
      <x:c r="G1134" s="1" t="str">
        <x:v>Repeat purchase</x:v>
      </x:c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 t="str">
        <x:v>ORD-01134</x:v>
      </x:c>
      <x:c r="B1135" s="1" t="str">
        <x:v>ACC-0323</x:v>
      </x:c>
      <x:c r="C1135" s="19" t="n">
        <x:v>46054</x:v>
      </x:c>
      <x:c r="D1135" s="1" t="str">
        <x:v>Pouch Filler</x:v>
      </x:c>
      <x:c r="E1135" s="1" t="str">
        <x:v>South</x:v>
      </x:c>
      <x:c r="F1135" s="20" t="n">
        <x:v>96300</x:v>
      </x:c>
      <x:c r="G1135" s="1" t="str">
        <x:v>Repeat purchase</x:v>
      </x:c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 t="str">
        <x:v>ORD-01135</x:v>
      </x:c>
      <x:c r="B1136" s="1" t="str">
        <x:v>ACC-0323</x:v>
      </x:c>
      <x:c r="C1136" s="19" t="n">
        <x:v>46087</x:v>
      </x:c>
      <x:c r="D1136" s="1" t="str">
        <x:v>Service &amp; Parts</x:v>
      </x:c>
      <x:c r="E1136" s="1" t="str">
        <x:v>South</x:v>
      </x:c>
      <x:c r="F1136" s="20" t="n">
        <x:v>33400</x:v>
      </x:c>
      <x:c r="G1136" s="1" t="str">
        <x:v>Repeat purchase</x:v>
      </x:c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 t="str">
        <x:v>ORD-01136</x:v>
      </x:c>
      <x:c r="B1137" s="1" t="str">
        <x:v>ACC-0324</x:v>
      </x:c>
      <x:c r="C1137" s="19" t="n">
        <x:v>45370</x:v>
      </x:c>
      <x:c r="D1137" s="1" t="str">
        <x:v>Cartoning Machine</x:v>
      </x:c>
      <x:c r="E1137" s="1" t="str">
        <x:v>Northeast</x:v>
      </x:c>
      <x:c r="F1137" s="20" t="n">
        <x:v>178700</x:v>
      </x:c>
      <x:c r="G1137" s="1" t="str">
        <x:v>New business</x:v>
      </x:c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 t="str">
        <x:v>ORD-01137</x:v>
      </x:c>
      <x:c r="B1138" s="1" t="str">
        <x:v>ACC-0324</x:v>
      </x:c>
      <x:c r="C1138" s="19" t="n">
        <x:v>45498</x:v>
      </x:c>
      <x:c r="D1138" s="1" t="str">
        <x:v>Labeling System</x:v>
      </x:c>
      <x:c r="E1138" s="1" t="str">
        <x:v>Northeast</x:v>
      </x:c>
      <x:c r="F1138" s="20" t="n">
        <x:v>236200</x:v>
      </x:c>
      <x:c r="G1138" s="1" t="str">
        <x:v>Repeat purchase</x:v>
      </x:c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 t="str">
        <x:v>ORD-01138</x:v>
      </x:c>
      <x:c r="B1139" s="1" t="str">
        <x:v>ACC-0324</x:v>
      </x:c>
      <x:c r="C1139" s="19" t="n">
        <x:v>45599</x:v>
      </x:c>
      <x:c r="D1139" s="1" t="str">
        <x:v>Pouch Filler</x:v>
      </x:c>
      <x:c r="E1139" s="1" t="str">
        <x:v>Northeast</x:v>
      </x:c>
      <x:c r="F1139" s="20" t="n">
        <x:v>259300</x:v>
      </x:c>
      <x:c r="G1139" s="1" t="str">
        <x:v>Repeat purchase</x:v>
      </x:c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 t="str">
        <x:v>ORD-01139</x:v>
      </x:c>
      <x:c r="B1140" s="1" t="str">
        <x:v>ACC-0324</x:v>
      </x:c>
      <x:c r="C1140" s="19" t="n">
        <x:v>45659</x:v>
      </x:c>
      <x:c r="D1140" s="1" t="str">
        <x:v>Case Packer</x:v>
      </x:c>
      <x:c r="E1140" s="1" t="str">
        <x:v>Northeast</x:v>
      </x:c>
      <x:c r="F1140" s="20" t="n">
        <x:v>146300</x:v>
      </x:c>
      <x:c r="G1140" s="1" t="str">
        <x:v>Repeat purchase</x:v>
      </x:c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 t="str">
        <x:v>ORD-01140</x:v>
      </x:c>
      <x:c r="B1141" s="1" t="str">
        <x:v>ACC-0324</x:v>
      </x:c>
      <x:c r="C1141" s="19" t="n">
        <x:v>45714</x:v>
      </x:c>
      <x:c r="D1141" s="1" t="str">
        <x:v>Labeling System</x:v>
      </x:c>
      <x:c r="E1141" s="1" t="str">
        <x:v>Northeast</x:v>
      </x:c>
      <x:c r="F1141" s="20" t="n">
        <x:v>142600</x:v>
      </x:c>
      <x:c r="G1141" s="1" t="str">
        <x:v>Repeat purchase</x:v>
      </x:c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 t="str">
        <x:v>ORD-01141</x:v>
      </x:c>
      <x:c r="B1142" s="1" t="str">
        <x:v>ACC-0324</x:v>
      </x:c>
      <x:c r="C1142" s="19" t="n">
        <x:v>45782</x:v>
      </x:c>
      <x:c r="D1142" s="1" t="str">
        <x:v>Labeling System</x:v>
      </x:c>
      <x:c r="E1142" s="1" t="str">
        <x:v>Northeast</x:v>
      </x:c>
      <x:c r="F1142" s="20" t="n">
        <x:v>98200</x:v>
      </x:c>
      <x:c r="G1142" s="1" t="str">
        <x:v>Repeat purchase</x:v>
      </x:c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 t="str">
        <x:v>ORD-01142</x:v>
      </x:c>
      <x:c r="B1143" s="1" t="str">
        <x:v>ACC-0324</x:v>
      </x:c>
      <x:c r="C1143" s="19" t="n">
        <x:v>46172</x:v>
      </x:c>
      <x:c r="D1143" s="1" t="str">
        <x:v>Pouch Filler</x:v>
      </x:c>
      <x:c r="E1143" s="1" t="str">
        <x:v>Northeast</x:v>
      </x:c>
      <x:c r="F1143" s="20" t="n">
        <x:v>211800</x:v>
      </x:c>
      <x:c r="G1143" s="1" t="str">
        <x:v>Repeat purchase</x:v>
      </x:c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 t="str">
        <x:v>ORD-01143</x:v>
      </x:c>
      <x:c r="B1144" s="1" t="str">
        <x:v>ACC-0325</x:v>
      </x:c>
      <x:c r="C1144" s="19" t="n">
        <x:v>45782</x:v>
      </x:c>
      <x:c r="D1144" s="1" t="str">
        <x:v>Service &amp; Parts</x:v>
      </x:c>
      <x:c r="E1144" s="1" t="str">
        <x:v>West</x:v>
      </x:c>
      <x:c r="F1144" s="20" t="n">
        <x:v>21900</x:v>
      </x:c>
      <x:c r="G1144" s="1" t="str">
        <x:v>New business</x:v>
      </x:c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 t="str">
        <x:v>ORD-01144</x:v>
      </x:c>
      <x:c r="B1145" s="1" t="str">
        <x:v>ACC-0325</x:v>
      </x:c>
      <x:c r="C1145" s="19" t="n">
        <x:v>45968</x:v>
      </x:c>
      <x:c r="D1145" s="1" t="str">
        <x:v>Labeling System</x:v>
      </x:c>
      <x:c r="E1145" s="1" t="str">
        <x:v>West</x:v>
      </x:c>
      <x:c r="F1145" s="20" t="n">
        <x:v>46200</x:v>
      </x:c>
      <x:c r="G1145" s="1" t="str">
        <x:v>Repeat purchase</x:v>
      </x:c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 t="str">
        <x:v>ORD-01145</x:v>
      </x:c>
      <x:c r="B1146" s="1" t="str">
        <x:v>ACC-0326</x:v>
      </x:c>
      <x:c r="C1146" s="19" t="n">
        <x:v>45691</x:v>
      </x:c>
      <x:c r="D1146" s="1" t="str">
        <x:v>Service &amp; Parts</x:v>
      </x:c>
      <x:c r="E1146" s="1" t="str">
        <x:v>Northeast</x:v>
      </x:c>
      <x:c r="F1146" s="20" t="n">
        <x:v>12600</x:v>
      </x:c>
      <x:c r="G1146" s="1" t="str">
        <x:v>New business</x:v>
      </x:c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 t="str">
        <x:v>ORD-01146</x:v>
      </x:c>
      <x:c r="B1147" s="1" t="str">
        <x:v>ACC-0326</x:v>
      </x:c>
      <x:c r="C1147" s="19" t="n">
        <x:v>46163</x:v>
      </x:c>
      <x:c r="D1147" s="1" t="str">
        <x:v>Case Packer</x:v>
      </x:c>
      <x:c r="E1147" s="1" t="str">
        <x:v>Northeast</x:v>
      </x:c>
      <x:c r="F1147" s="20" t="n">
        <x:v>63900</x:v>
      </x:c>
      <x:c r="G1147" s="1" t="str">
        <x:v>Repeat purchase</x:v>
      </x:c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 t="str">
        <x:v>ORD-01147</x:v>
      </x:c>
      <x:c r="B1148" s="1" t="str">
        <x:v>ACC-0327</x:v>
      </x:c>
      <x:c r="C1148" s="19" t="n">
        <x:v>45624</x:v>
      </x:c>
      <x:c r="D1148" s="1" t="str">
        <x:v>Service &amp; Parts</x:v>
      </x:c>
      <x:c r="E1148" s="1" t="str">
        <x:v>Midwest</x:v>
      </x:c>
      <x:c r="F1148" s="20" t="n">
        <x:v>31000</x:v>
      </x:c>
      <x:c r="G1148" s="1" t="str">
        <x:v>New business</x:v>
      </x:c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 t="str">
        <x:v>ORD-01148</x:v>
      </x:c>
      <x:c r="B1149" s="1" t="str">
        <x:v>ACC-0327</x:v>
      </x:c>
      <x:c r="C1149" s="19" t="n">
        <x:v>46074</x:v>
      </x:c>
      <x:c r="D1149" s="1" t="str">
        <x:v>Pouch Filler</x:v>
      </x:c>
      <x:c r="E1149" s="1" t="str">
        <x:v>Midwest</x:v>
      </x:c>
      <x:c r="F1149" s="20" t="n">
        <x:v>74200</x:v>
      </x:c>
      <x:c r="G1149" s="1" t="str">
        <x:v>Repeat purchase</x:v>
      </x:c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 t="str">
        <x:v>ORD-01149</x:v>
      </x:c>
      <x:c r="B1150" s="1" t="str">
        <x:v>ACC-0327</x:v>
      </x:c>
      <x:c r="C1150" s="19" t="n">
        <x:v>46092</x:v>
      </x:c>
      <x:c r="D1150" s="1" t="str">
        <x:v>Pouch Filler</x:v>
      </x:c>
      <x:c r="E1150" s="1" t="str">
        <x:v>Midwest</x:v>
      </x:c>
      <x:c r="F1150" s="20" t="n">
        <x:v>189400</x:v>
      </x:c>
      <x:c r="G1150" s="1" t="str">
        <x:v>Repeat purchase</x:v>
      </x:c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 t="str">
        <x:v>ORD-01150</x:v>
      </x:c>
      <x:c r="B1151" s="1" t="str">
        <x:v>ACC-0328</x:v>
      </x:c>
      <x:c r="C1151" s="19" t="n">
        <x:v>45656</x:v>
      </x:c>
      <x:c r="D1151" s="1" t="str">
        <x:v>Service &amp; Parts</x:v>
      </x:c>
      <x:c r="E1151" s="1" t="str">
        <x:v>West</x:v>
      </x:c>
      <x:c r="F1151" s="20" t="n">
        <x:v>20700</x:v>
      </x:c>
      <x:c r="G1151" s="1" t="str">
        <x:v>New business</x:v>
      </x:c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 t="str">
        <x:v>ORD-01151</x:v>
      </x:c>
      <x:c r="B1152" s="1" t="str">
        <x:v>ACC-0328</x:v>
      </x:c>
      <x:c r="C1152" s="19" t="n">
        <x:v>45735</x:v>
      </x:c>
      <x:c r="D1152" s="1" t="str">
        <x:v>Pouch Filler</x:v>
      </x:c>
      <x:c r="E1152" s="1" t="str">
        <x:v>West</x:v>
      </x:c>
      <x:c r="F1152" s="20" t="n">
        <x:v>103600</x:v>
      </x:c>
      <x:c r="G1152" s="1" t="str">
        <x:v>Repeat purchase</x:v>
      </x:c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 t="str">
        <x:v>ORD-01152</x:v>
      </x:c>
      <x:c r="B1153" s="1" t="str">
        <x:v>ACC-0328</x:v>
      </x:c>
      <x:c r="C1153" s="19" t="n">
        <x:v>45775</x:v>
      </x:c>
      <x:c r="D1153" s="1" t="str">
        <x:v>Labeling System</x:v>
      </x:c>
      <x:c r="E1153" s="1" t="str">
        <x:v>West</x:v>
      </x:c>
      <x:c r="F1153" s="20" t="n">
        <x:v>78400</x:v>
      </x:c>
      <x:c r="G1153" s="1" t="str">
        <x:v>Repeat purchase</x:v>
      </x:c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 t="str">
        <x:v>ORD-01153</x:v>
      </x:c>
      <x:c r="B1154" s="1" t="str">
        <x:v>ACC-0328</x:v>
      </x:c>
      <x:c r="C1154" s="19" t="n">
        <x:v>45934</x:v>
      </x:c>
      <x:c r="D1154" s="1" t="str">
        <x:v>Case Packer</x:v>
      </x:c>
      <x:c r="E1154" s="1" t="str">
        <x:v>West</x:v>
      </x:c>
      <x:c r="F1154" s="20" t="n">
        <x:v>203300</x:v>
      </x:c>
      <x:c r="G1154" s="1" t="str">
        <x:v>Repeat purchase</x:v>
      </x:c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 t="str">
        <x:v>ORD-01154</x:v>
      </x:c>
      <x:c r="B1155" s="1" t="str">
        <x:v>ACC-0328</x:v>
      </x:c>
      <x:c r="C1155" s="19" t="n">
        <x:v>46000</x:v>
      </x:c>
      <x:c r="D1155" s="1" t="str">
        <x:v>Cartoning Machine</x:v>
      </x:c>
      <x:c r="E1155" s="1" t="str">
        <x:v>West</x:v>
      </x:c>
      <x:c r="F1155" s="20" t="n">
        <x:v>157500</x:v>
      </x:c>
      <x:c r="G1155" s="1" t="str">
        <x:v>Repeat purchase</x:v>
      </x:c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 t="str">
        <x:v>ORD-01155</x:v>
      </x:c>
      <x:c r="B1156" s="1" t="str">
        <x:v>ACC-0328</x:v>
      </x:c>
      <x:c r="C1156" s="19" t="n">
        <x:v>46169</x:v>
      </x:c>
      <x:c r="D1156" s="1" t="str">
        <x:v>Service &amp; Parts</x:v>
      </x:c>
      <x:c r="E1156" s="1" t="str">
        <x:v>West</x:v>
      </x:c>
      <x:c r="F1156" s="20" t="n">
        <x:v>32100</x:v>
      </x:c>
      <x:c r="G1156" s="1" t="str">
        <x:v>Repeat purchase</x:v>
      </x:c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 t="str">
        <x:v>ORD-01156</x:v>
      </x:c>
      <x:c r="B1157" s="1" t="str">
        <x:v>ACC-0329</x:v>
      </x:c>
      <x:c r="C1157" s="19" t="n">
        <x:v>46139</x:v>
      </x:c>
      <x:c r="D1157" s="1" t="str">
        <x:v>Labeling System</x:v>
      </x:c>
      <x:c r="E1157" s="1" t="str">
        <x:v>Midwest</x:v>
      </x:c>
      <x:c r="F1157" s="20" t="n">
        <x:v>103200</x:v>
      </x:c>
      <x:c r="G1157" s="1" t="str">
        <x:v>New business</x:v>
      </x:c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 t="str">
        <x:v>ORD-01157</x:v>
      </x:c>
      <x:c r="B1158" s="1" t="str">
        <x:v>ACC-0329</x:v>
      </x:c>
      <x:c r="C1158" s="19" t="n">
        <x:v>46192</x:v>
      </x:c>
      <x:c r="D1158" s="1" t="str">
        <x:v>Service &amp; Parts</x:v>
      </x:c>
      <x:c r="E1158" s="1" t="str">
        <x:v>Midwest</x:v>
      </x:c>
      <x:c r="F1158" s="20" t="n">
        <x:v>16200</x:v>
      </x:c>
      <x:c r="G1158" s="1" t="str">
        <x:v>Repeat purchase</x:v>
      </x:c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 t="str">
        <x:v>ORD-01158</x:v>
      </x:c>
      <x:c r="B1159" s="1" t="str">
        <x:v>ACC-0330</x:v>
      </x:c>
      <x:c r="C1159" s="19" t="n">
        <x:v>45655</x:v>
      </x:c>
      <x:c r="D1159" s="1" t="str">
        <x:v>Service &amp; Parts</x:v>
      </x:c>
      <x:c r="E1159" s="1" t="str">
        <x:v>Northeast</x:v>
      </x:c>
      <x:c r="F1159" s="20" t="n">
        <x:v>17400</x:v>
      </x:c>
      <x:c r="G1159" s="1" t="str">
        <x:v>New business</x:v>
      </x:c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 t="str">
        <x:v>ORD-01159</x:v>
      </x:c>
      <x:c r="B1160" s="1" t="str">
        <x:v>ACC-0330</x:v>
      </x:c>
      <x:c r="C1160" s="19" t="n">
        <x:v>45930</x:v>
      </x:c>
      <x:c r="D1160" s="1" t="str">
        <x:v>Labeling System</x:v>
      </x:c>
      <x:c r="E1160" s="1" t="str">
        <x:v>Northeast</x:v>
      </x:c>
      <x:c r="F1160" s="20" t="n">
        <x:v>34700</x:v>
      </x:c>
      <x:c r="G1160" s="1" t="str">
        <x:v>Repeat purchase</x:v>
      </x:c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 t="str">
        <x:v>ORD-01160</x:v>
      </x:c>
      <x:c r="B1161" s="1" t="str">
        <x:v>ACC-0330</x:v>
      </x:c>
      <x:c r="C1161" s="19" t="n">
        <x:v>45958</x:v>
      </x:c>
      <x:c r="D1161" s="1" t="str">
        <x:v>Service &amp; Parts</x:v>
      </x:c>
      <x:c r="E1161" s="1" t="str">
        <x:v>Northeast</x:v>
      </x:c>
      <x:c r="F1161" s="20" t="n">
        <x:v>14400</x:v>
      </x:c>
      <x:c r="G1161" s="1" t="str">
        <x:v>Repeat purchase</x:v>
      </x:c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 t="str">
        <x:v>ORD-01161</x:v>
      </x:c>
      <x:c r="B1162" s="1" t="str">
        <x:v>ACC-0331</x:v>
      </x:c>
      <x:c r="C1162" s="19" t="n">
        <x:v>45794</x:v>
      </x:c>
      <x:c r="D1162" s="1" t="str">
        <x:v>Service &amp; Parts</x:v>
      </x:c>
      <x:c r="E1162" s="1" t="str">
        <x:v>Northeast</x:v>
      </x:c>
      <x:c r="F1162" s="20" t="n">
        <x:v>25600</x:v>
      </x:c>
      <x:c r="G1162" s="1" t="str">
        <x:v>New business</x:v>
      </x:c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 t="str">
        <x:v>ORD-01162</x:v>
      </x:c>
      <x:c r="B1163" s="1" t="str">
        <x:v>ACC-0331</x:v>
      </x:c>
      <x:c r="C1163" s="19" t="n">
        <x:v>46046</x:v>
      </x:c>
      <x:c r="D1163" s="1" t="str">
        <x:v>Case Packer</x:v>
      </x:c>
      <x:c r="E1163" s="1" t="str">
        <x:v>Northeast</x:v>
      </x:c>
      <x:c r="F1163" s="20" t="n">
        <x:v>116200</x:v>
      </x:c>
      <x:c r="G1163" s="1" t="str">
        <x:v>Repeat purchase</x:v>
      </x:c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 t="str">
        <x:v>ORD-01163</x:v>
      </x:c>
      <x:c r="B1164" s="1" t="str">
        <x:v>ACC-0331</x:v>
      </x:c>
      <x:c r="C1164" s="19" t="n">
        <x:v>46083</x:v>
      </x:c>
      <x:c r="D1164" s="1" t="str">
        <x:v>Case Packer</x:v>
      </x:c>
      <x:c r="E1164" s="1" t="str">
        <x:v>Northeast</x:v>
      </x:c>
      <x:c r="F1164" s="20" t="n">
        <x:v>194200</x:v>
      </x:c>
      <x:c r="G1164" s="1" t="str">
        <x:v>Repeat purchase</x:v>
      </x:c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 t="str">
        <x:v>ORD-01164</x:v>
      </x:c>
      <x:c r="B1165" s="1" t="str">
        <x:v>ACC-0332</x:v>
      </x:c>
      <x:c r="C1165" s="19" t="n">
        <x:v>46060</x:v>
      </x:c>
      <x:c r="D1165" s="1" t="str">
        <x:v>Pouch Filler</x:v>
      </x:c>
      <x:c r="E1165" s="1" t="str">
        <x:v>South</x:v>
      </x:c>
      <x:c r="F1165" s="20" t="n">
        <x:v>136500</x:v>
      </x:c>
      <x:c r="G1165" s="1" t="str">
        <x:v>New business</x:v>
      </x:c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 t="str">
        <x:v>ORD-01165</x:v>
      </x:c>
      <x:c r="B1166" s="1" t="str">
        <x:v>ACC-0332</x:v>
      </x:c>
      <x:c r="C1166" s="19" t="n">
        <x:v>46126</x:v>
      </x:c>
      <x:c r="D1166" s="1" t="str">
        <x:v>Cartoning Machine</x:v>
      </x:c>
      <x:c r="E1166" s="1" t="str">
        <x:v>South</x:v>
      </x:c>
      <x:c r="F1166" s="20" t="n">
        <x:v>106500</x:v>
      </x:c>
      <x:c r="G1166" s="1" t="str">
        <x:v>Repeat purchase</x:v>
      </x:c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 t="str">
        <x:v>ORD-01166</x:v>
      </x:c>
      <x:c r="B1167" s="1" t="str">
        <x:v>ACC-0332</x:v>
      </x:c>
      <x:c r="C1167" s="19" t="n">
        <x:v>46159</x:v>
      </x:c>
      <x:c r="D1167" s="1" t="str">
        <x:v>Pouch Filler</x:v>
      </x:c>
      <x:c r="E1167" s="1" t="str">
        <x:v>South</x:v>
      </x:c>
      <x:c r="F1167" s="20" t="n">
        <x:v>82000</x:v>
      </x:c>
      <x:c r="G1167" s="1" t="str">
        <x:v>Repeat purchase</x:v>
      </x:c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 t="str">
        <x:v>ORD-01167</x:v>
      </x:c>
      <x:c r="B1168" s="1" t="str">
        <x:v>ACC-0333</x:v>
      </x:c>
      <x:c r="C1168" s="19" t="n">
        <x:v>45578</x:v>
      </x:c>
      <x:c r="D1168" s="1" t="str">
        <x:v>Pouch Filler</x:v>
      </x:c>
      <x:c r="E1168" s="1" t="str">
        <x:v>Midwest</x:v>
      </x:c>
      <x:c r="F1168" s="20" t="n">
        <x:v>142100</x:v>
      </x:c>
      <x:c r="G1168" s="1" t="str">
        <x:v>New business</x:v>
      </x:c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 t="str">
        <x:v>ORD-01168</x:v>
      </x:c>
      <x:c r="B1169" s="1" t="str">
        <x:v>ACC-0333</x:v>
      </x:c>
      <x:c r="C1169" s="19" t="n">
        <x:v>45592</x:v>
      </x:c>
      <x:c r="D1169" s="1" t="str">
        <x:v>Case Packer</x:v>
      </x:c>
      <x:c r="E1169" s="1" t="str">
        <x:v>Midwest</x:v>
      </x:c>
      <x:c r="F1169" s="20" t="n">
        <x:v>184900</x:v>
      </x:c>
      <x:c r="G1169" s="1" t="str">
        <x:v>Repeat purchase</x:v>
      </x:c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 t="str">
        <x:v>ORD-01169</x:v>
      </x:c>
      <x:c r="B1170" s="1" t="str">
        <x:v>ACC-0333</x:v>
      </x:c>
      <x:c r="C1170" s="19" t="n">
        <x:v>45740</x:v>
      </x:c>
      <x:c r="D1170" s="1" t="str">
        <x:v>Pouch Filler</x:v>
      </x:c>
      <x:c r="E1170" s="1" t="str">
        <x:v>Midwest</x:v>
      </x:c>
      <x:c r="F1170" s="20" t="n">
        <x:v>213800</x:v>
      </x:c>
      <x:c r="G1170" s="1" t="str">
        <x:v>Repeat purchase</x:v>
      </x:c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 t="str">
        <x:v>ORD-01170</x:v>
      </x:c>
      <x:c r="B1171" s="1" t="str">
        <x:v>ACC-0333</x:v>
      </x:c>
      <x:c r="C1171" s="19" t="n">
        <x:v>45758</x:v>
      </x:c>
      <x:c r="D1171" s="1" t="str">
        <x:v>Case Packer</x:v>
      </x:c>
      <x:c r="E1171" s="1" t="str">
        <x:v>Midwest</x:v>
      </x:c>
      <x:c r="F1171" s="20" t="n">
        <x:v>205200</x:v>
      </x:c>
      <x:c r="G1171" s="1" t="str">
        <x:v>Repeat purchase</x:v>
      </x:c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 t="str">
        <x:v>ORD-01171</x:v>
      </x:c>
      <x:c r="B1172" s="1" t="str">
        <x:v>ACC-0333</x:v>
      </x:c>
      <x:c r="C1172" s="19" t="n">
        <x:v>45873</x:v>
      </x:c>
      <x:c r="D1172" s="1" t="str">
        <x:v>Pouch Filler</x:v>
      </x:c>
      <x:c r="E1172" s="1" t="str">
        <x:v>Midwest</x:v>
      </x:c>
      <x:c r="F1172" s="20" t="n">
        <x:v>103800</x:v>
      </x:c>
      <x:c r="G1172" s="1" t="str">
        <x:v>Repeat purchase</x:v>
      </x:c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 t="str">
        <x:v>ORD-01172</x:v>
      </x:c>
      <x:c r="B1173" s="1" t="str">
        <x:v>ACC-0333</x:v>
      </x:c>
      <x:c r="C1173" s="19" t="n">
        <x:v>45992</x:v>
      </x:c>
      <x:c r="D1173" s="1" t="str">
        <x:v>Case Packer</x:v>
      </x:c>
      <x:c r="E1173" s="1" t="str">
        <x:v>Midwest</x:v>
      </x:c>
      <x:c r="F1173" s="20" t="n">
        <x:v>244900</x:v>
      </x:c>
      <x:c r="G1173" s="1" t="str">
        <x:v>Repeat purchase</x:v>
      </x:c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 t="str">
        <x:v>ORD-01173</x:v>
      </x:c>
      <x:c r="B1174" s="1" t="str">
        <x:v>ACC-0333</x:v>
      </x:c>
      <x:c r="C1174" s="19" t="n">
        <x:v>46093</x:v>
      </x:c>
      <x:c r="D1174" s="1" t="str">
        <x:v>Labeling System</x:v>
      </x:c>
      <x:c r="E1174" s="1" t="str">
        <x:v>Midwest</x:v>
      </x:c>
      <x:c r="F1174" s="20" t="n">
        <x:v>116200</x:v>
      </x:c>
      <x:c r="G1174" s="1" t="str">
        <x:v>Repeat purchase</x:v>
      </x:c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 t="str">
        <x:v>ORD-01174</x:v>
      </x:c>
      <x:c r="B1175" s="1" t="str">
        <x:v>ACC-0334</x:v>
      </x:c>
      <x:c r="C1175" s="19" t="n">
        <x:v>45732</x:v>
      </x:c>
      <x:c r="D1175" s="1" t="str">
        <x:v>Labeling System</x:v>
      </x:c>
      <x:c r="E1175" s="1" t="str">
        <x:v>Midwest</x:v>
      </x:c>
      <x:c r="F1175" s="20" t="n">
        <x:v>258700</x:v>
      </x:c>
      <x:c r="G1175" s="1" t="str">
        <x:v>New business</x:v>
      </x:c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 t="str">
        <x:v>ORD-01175</x:v>
      </x:c>
      <x:c r="B1176" s="1" t="str">
        <x:v>ACC-0334</x:v>
      </x:c>
      <x:c r="C1176" s="19" t="n">
        <x:v>45782</x:v>
      </x:c>
      <x:c r="D1176" s="1" t="str">
        <x:v>Cartoning Machine</x:v>
      </x:c>
      <x:c r="E1176" s="1" t="str">
        <x:v>Midwest</x:v>
      </x:c>
      <x:c r="F1176" s="20" t="n">
        <x:v>124200</x:v>
      </x:c>
      <x:c r="G1176" s="1" t="str">
        <x:v>Repeat purchase</x:v>
      </x:c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 t="str">
        <x:v>ORD-01176</x:v>
      </x:c>
      <x:c r="B1177" s="1" t="str">
        <x:v>ACC-0334</x:v>
      </x:c>
      <x:c r="C1177" s="19" t="n">
        <x:v>45931</x:v>
      </x:c>
      <x:c r="D1177" s="1" t="str">
        <x:v>Cartoning Machine</x:v>
      </x:c>
      <x:c r="E1177" s="1" t="str">
        <x:v>Midwest</x:v>
      </x:c>
      <x:c r="F1177" s="20" t="n">
        <x:v>205300</x:v>
      </x:c>
      <x:c r="G1177" s="1" t="str">
        <x:v>Repeat purchase</x:v>
      </x:c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 t="str">
        <x:v>ORD-01177</x:v>
      </x:c>
      <x:c r="B1178" s="1" t="str">
        <x:v>ACC-0334</x:v>
      </x:c>
      <x:c r="C1178" s="19" t="n">
        <x:v>45996</x:v>
      </x:c>
      <x:c r="D1178" s="1" t="str">
        <x:v>Pouch Filler</x:v>
      </x:c>
      <x:c r="E1178" s="1" t="str">
        <x:v>Midwest</x:v>
      </x:c>
      <x:c r="F1178" s="20" t="n">
        <x:v>263300</x:v>
      </x:c>
      <x:c r="G1178" s="1" t="str">
        <x:v>Repeat purchase</x:v>
      </x:c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 t="str">
        <x:v>ORD-01178</x:v>
      </x:c>
      <x:c r="B1179" s="1" t="str">
        <x:v>ACC-0334</x:v>
      </x:c>
      <x:c r="C1179" s="19" t="n">
        <x:v>46031</x:v>
      </x:c>
      <x:c r="D1179" s="1" t="str">
        <x:v>Cartoning Machine</x:v>
      </x:c>
      <x:c r="E1179" s="1" t="str">
        <x:v>Midwest</x:v>
      </x:c>
      <x:c r="F1179" s="20" t="n">
        <x:v>146500</x:v>
      </x:c>
      <x:c r="G1179" s="1" t="str">
        <x:v>Repeat purchase</x:v>
      </x:c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 t="str">
        <x:v>ORD-01179</x:v>
      </x:c>
      <x:c r="B1180" s="1" t="str">
        <x:v>ACC-0334</x:v>
      </x:c>
      <x:c r="C1180" s="19" t="n">
        <x:v>46127</x:v>
      </x:c>
      <x:c r="D1180" s="1" t="str">
        <x:v>Labeling System</x:v>
      </x:c>
      <x:c r="E1180" s="1" t="str">
        <x:v>Midwest</x:v>
      </x:c>
      <x:c r="F1180" s="20" t="n">
        <x:v>159900</x:v>
      </x:c>
      <x:c r="G1180" s="1" t="str">
        <x:v>Repeat purchase</x:v>
      </x:c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 t="str">
        <x:v>ORD-01180</x:v>
      </x:c>
      <x:c r="B1181" s="1" t="str">
        <x:v>ACC-0335</x:v>
      </x:c>
      <x:c r="C1181" s="19" t="n">
        <x:v>46148</x:v>
      </x:c>
      <x:c r="D1181" s="1" t="str">
        <x:v>Cartoning Machine</x:v>
      </x:c>
      <x:c r="E1181" s="1" t="str">
        <x:v>West</x:v>
      </x:c>
      <x:c r="F1181" s="20" t="n">
        <x:v>245200</x:v>
      </x:c>
      <x:c r="G1181" s="1" t="str">
        <x:v>New business</x:v>
      </x:c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 t="str">
        <x:v>ORD-01181</x:v>
      </x:c>
      <x:c r="B1182" s="1" t="str">
        <x:v>ACC-0335</x:v>
      </x:c>
      <x:c r="C1182" s="19" t="n">
        <x:v>46201</x:v>
      </x:c>
      <x:c r="D1182" s="1" t="str">
        <x:v>Pouch Filler</x:v>
      </x:c>
      <x:c r="E1182" s="1" t="str">
        <x:v>West</x:v>
      </x:c>
      <x:c r="F1182" s="20" t="n">
        <x:v>143100</x:v>
      </x:c>
      <x:c r="G1182" s="1" t="str">
        <x:v>Repeat purchase</x:v>
      </x:c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 t="str">
        <x:v>ORD-01182</x:v>
      </x:c>
      <x:c r="B1183" s="1" t="str">
        <x:v>ACC-0336</x:v>
      </x:c>
      <x:c r="C1183" s="19" t="n">
        <x:v>45538</x:v>
      </x:c>
      <x:c r="D1183" s="1" t="str">
        <x:v>Service &amp; Parts</x:v>
      </x:c>
      <x:c r="E1183" s="1" t="str">
        <x:v>West</x:v>
      </x:c>
      <x:c r="F1183" s="20" t="n">
        <x:v>27800</x:v>
      </x:c>
      <x:c r="G1183" s="1" t="str">
        <x:v>New business</x:v>
      </x:c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 t="str">
        <x:v>ORD-01183</x:v>
      </x:c>
      <x:c r="B1184" s="1" t="str">
        <x:v>ACC-0336</x:v>
      </x:c>
      <x:c r="C1184" s="19" t="n">
        <x:v>46144</x:v>
      </x:c>
      <x:c r="D1184" s="1" t="str">
        <x:v>Pouch Filler</x:v>
      </x:c>
      <x:c r="E1184" s="1" t="str">
        <x:v>West</x:v>
      </x:c>
      <x:c r="F1184" s="20" t="n">
        <x:v>52700</x:v>
      </x:c>
      <x:c r="G1184" s="1" t="str">
        <x:v>Repeat purchase</x:v>
      </x:c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 t="str">
        <x:v>ORD-01184</x:v>
      </x:c>
      <x:c r="B1185" s="1" t="str">
        <x:v>ACC-0336</x:v>
      </x:c>
      <x:c r="C1185" s="19" t="n">
        <x:v>46184</x:v>
      </x:c>
      <x:c r="D1185" s="1" t="str">
        <x:v>Cartoning Machine</x:v>
      </x:c>
      <x:c r="E1185" s="1" t="str">
        <x:v>West</x:v>
      </x:c>
      <x:c r="F1185" s="20" t="n">
        <x:v>184700</x:v>
      </x:c>
      <x:c r="G1185" s="1" t="str">
        <x:v>Repeat purchase</x:v>
      </x:c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 t="str">
        <x:v>ORD-01185</x:v>
      </x:c>
      <x:c r="B1186" s="1" t="str">
        <x:v>ACC-0337</x:v>
      </x:c>
      <x:c r="C1186" s="19" t="n">
        <x:v>45844</x:v>
      </x:c>
      <x:c r="D1186" s="1" t="str">
        <x:v>Case Packer</x:v>
      </x:c>
      <x:c r="E1186" s="1" t="str">
        <x:v>West</x:v>
      </x:c>
      <x:c r="F1186" s="20" t="n">
        <x:v>63700</x:v>
      </x:c>
      <x:c r="G1186" s="1" t="str">
        <x:v>New business</x:v>
      </x:c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 t="str">
        <x:v>ORD-01186</x:v>
      </x:c>
      <x:c r="B1187" s="1" t="str">
        <x:v>ACC-0337</x:v>
      </x:c>
      <x:c r="C1187" s="19" t="n">
        <x:v>45936</x:v>
      </x:c>
      <x:c r="D1187" s="1" t="str">
        <x:v>Service &amp; Parts</x:v>
      </x:c>
      <x:c r="E1187" s="1" t="str">
        <x:v>West</x:v>
      </x:c>
      <x:c r="F1187" s="20" t="n">
        <x:v>11800</x:v>
      </x:c>
      <x:c r="G1187" s="1" t="str">
        <x:v>Repeat purchase</x:v>
      </x:c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 t="str">
        <x:v>ORD-01187</x:v>
      </x:c>
      <x:c r="B1188" s="1" t="str">
        <x:v>ACC-0337</x:v>
      </x:c>
      <x:c r="C1188" s="19" t="n">
        <x:v>46095</x:v>
      </x:c>
      <x:c r="D1188" s="1" t="str">
        <x:v>Pouch Filler</x:v>
      </x:c>
      <x:c r="E1188" s="1" t="str">
        <x:v>West</x:v>
      </x:c>
      <x:c r="F1188" s="20" t="n">
        <x:v>74100</x:v>
      </x:c>
      <x:c r="G1188" s="1" t="str">
        <x:v>Repeat purchase</x:v>
      </x:c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 t="str">
        <x:v>ORD-01188</x:v>
      </x:c>
      <x:c r="B1189" s="1" t="str">
        <x:v>ACC-0337</x:v>
      </x:c>
      <x:c r="C1189" s="19" t="n">
        <x:v>46137</x:v>
      </x:c>
      <x:c r="D1189" s="1" t="str">
        <x:v>Pouch Filler</x:v>
      </x:c>
      <x:c r="E1189" s="1" t="str">
        <x:v>West</x:v>
      </x:c>
      <x:c r="F1189" s="20" t="n">
        <x:v>122900</x:v>
      </x:c>
      <x:c r="G1189" s="1" t="str">
        <x:v>Repeat purchase</x:v>
      </x:c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 t="str">
        <x:v>ORD-01189</x:v>
      </x:c>
      <x:c r="B1190" s="1" t="str">
        <x:v>ACC-0337</x:v>
      </x:c>
      <x:c r="C1190" s="19" t="n">
        <x:v>46142</x:v>
      </x:c>
      <x:c r="D1190" s="1" t="str">
        <x:v>Service &amp; Parts</x:v>
      </x:c>
      <x:c r="E1190" s="1" t="str">
        <x:v>West</x:v>
      </x:c>
      <x:c r="F1190" s="20" t="n">
        <x:v>41800</x:v>
      </x:c>
      <x:c r="G1190" s="1" t="str">
        <x:v>Repeat purchase</x:v>
      </x:c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 t="str">
        <x:v>ORD-01190</x:v>
      </x:c>
      <x:c r="B1191" s="1" t="str">
        <x:v>ACC-0337</x:v>
      </x:c>
      <x:c r="C1191" s="19" t="n">
        <x:v>46177</x:v>
      </x:c>
      <x:c r="D1191" s="1" t="str">
        <x:v>Service &amp; Parts</x:v>
      </x:c>
      <x:c r="E1191" s="1" t="str">
        <x:v>West</x:v>
      </x:c>
      <x:c r="F1191" s="20" t="n">
        <x:v>10900</x:v>
      </x:c>
      <x:c r="G1191" s="1" t="str">
        <x:v>Repeat purchase</x:v>
      </x:c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 t="str">
        <x:v>ORD-01191</x:v>
      </x:c>
      <x:c r="B1192" s="1" t="str">
        <x:v>ACC-0338</x:v>
      </x:c>
      <x:c r="C1192" s="19" t="n">
        <x:v>45458</x:v>
      </x:c>
      <x:c r="D1192" s="1" t="str">
        <x:v>Case Packer</x:v>
      </x:c>
      <x:c r="E1192" s="1" t="str">
        <x:v>Midwest</x:v>
      </x:c>
      <x:c r="F1192" s="20" t="n">
        <x:v>194300</x:v>
      </x:c>
      <x:c r="G1192" s="1" t="str">
        <x:v>New business</x:v>
      </x:c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 t="str">
        <x:v>ORD-01192</x:v>
      </x:c>
      <x:c r="B1193" s="1" t="str">
        <x:v>ACC-0338</x:v>
      </x:c>
      <x:c r="C1193" s="19" t="n">
        <x:v>45678</x:v>
      </x:c>
      <x:c r="D1193" s="1" t="str">
        <x:v>Cartoning Machine</x:v>
      </x:c>
      <x:c r="E1193" s="1" t="str">
        <x:v>Midwest</x:v>
      </x:c>
      <x:c r="F1193" s="20" t="n">
        <x:v>71600</x:v>
      </x:c>
      <x:c r="G1193" s="1" t="str">
        <x:v>Repeat purchase</x:v>
      </x:c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 t="str">
        <x:v>ORD-01193</x:v>
      </x:c>
      <x:c r="B1194" s="1" t="str">
        <x:v>ACC-0338</x:v>
      </x:c>
      <x:c r="C1194" s="19" t="n">
        <x:v>45745</x:v>
      </x:c>
      <x:c r="D1194" s="1" t="str">
        <x:v>Service &amp; Parts</x:v>
      </x:c>
      <x:c r="E1194" s="1" t="str">
        <x:v>Midwest</x:v>
      </x:c>
      <x:c r="F1194" s="20" t="n">
        <x:v>10600</x:v>
      </x:c>
      <x:c r="G1194" s="1" t="str">
        <x:v>Repeat purchase</x:v>
      </x:c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 t="str">
        <x:v>ORD-01194</x:v>
      </x:c>
      <x:c r="B1195" s="1" t="str">
        <x:v>ACC-0338</x:v>
      </x:c>
      <x:c r="C1195" s="19" t="n">
        <x:v>46139</x:v>
      </x:c>
      <x:c r="D1195" s="1" t="str">
        <x:v>Service &amp; Parts</x:v>
      </x:c>
      <x:c r="E1195" s="1" t="str">
        <x:v>Midwest</x:v>
      </x:c>
      <x:c r="F1195" s="20" t="n">
        <x:v>21600</x:v>
      </x:c>
      <x:c r="G1195" s="1" t="str">
        <x:v>Repeat purchase</x:v>
      </x:c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 t="str">
        <x:v>ORD-01195</x:v>
      </x:c>
      <x:c r="B1196" s="1" t="str">
        <x:v>ACC-0339</x:v>
      </x:c>
      <x:c r="C1196" s="19" t="n">
        <x:v>45577</x:v>
      </x:c>
      <x:c r="D1196" s="1" t="str">
        <x:v>Case Packer</x:v>
      </x:c>
      <x:c r="E1196" s="1" t="str">
        <x:v>Midwest</x:v>
      </x:c>
      <x:c r="F1196" s="20" t="n">
        <x:v>206200</x:v>
      </x:c>
      <x:c r="G1196" s="1" t="str">
        <x:v>New business</x:v>
      </x:c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 t="str">
        <x:v>ORD-01196</x:v>
      </x:c>
      <x:c r="B1197" s="1" t="str">
        <x:v>ACC-0339</x:v>
      </x:c>
      <x:c r="C1197" s="19" t="n">
        <x:v>45611</x:v>
      </x:c>
      <x:c r="D1197" s="1" t="str">
        <x:v>Cartoning Machine</x:v>
      </x:c>
      <x:c r="E1197" s="1" t="str">
        <x:v>Midwest</x:v>
      </x:c>
      <x:c r="F1197" s="20" t="n">
        <x:v>281300</x:v>
      </x:c>
      <x:c r="G1197" s="1" t="str">
        <x:v>Repeat purchase</x:v>
      </x:c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 t="str">
        <x:v>ORD-01197</x:v>
      </x:c>
      <x:c r="B1198" s="1" t="str">
        <x:v>ACC-0339</x:v>
      </x:c>
      <x:c r="C1198" s="19" t="n">
        <x:v>45642</x:v>
      </x:c>
      <x:c r="D1198" s="1" t="str">
        <x:v>Service &amp; Parts</x:v>
      </x:c>
      <x:c r="E1198" s="1" t="str">
        <x:v>Midwest</x:v>
      </x:c>
      <x:c r="F1198" s="20" t="n">
        <x:v>20500</x:v>
      </x:c>
      <x:c r="G1198" s="1" t="str">
        <x:v>Repeat purchase</x:v>
      </x:c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 t="str">
        <x:v>ORD-01198</x:v>
      </x:c>
      <x:c r="B1199" s="1" t="str">
        <x:v>ACC-0339</x:v>
      </x:c>
      <x:c r="C1199" s="19" t="n">
        <x:v>45692</x:v>
      </x:c>
      <x:c r="D1199" s="1" t="str">
        <x:v>Cartoning Machine</x:v>
      </x:c>
      <x:c r="E1199" s="1" t="str">
        <x:v>Midwest</x:v>
      </x:c>
      <x:c r="F1199" s="20" t="n">
        <x:v>221600</x:v>
      </x:c>
      <x:c r="G1199" s="1" t="str">
        <x:v>Repeat purchase</x:v>
      </x:c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 t="str">
        <x:v>ORD-01199</x:v>
      </x:c>
      <x:c r="B1200" s="1" t="str">
        <x:v>ACC-0339</x:v>
      </x:c>
      <x:c r="C1200" s="19" t="n">
        <x:v>45728</x:v>
      </x:c>
      <x:c r="D1200" s="1" t="str">
        <x:v>Case Packer</x:v>
      </x:c>
      <x:c r="E1200" s="1" t="str">
        <x:v>Midwest</x:v>
      </x:c>
      <x:c r="F1200" s="20" t="n">
        <x:v>193900</x:v>
      </x:c>
      <x:c r="G1200" s="1" t="str">
        <x:v>Repeat purchase</x:v>
      </x:c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 t="str">
        <x:v>ORD-01200</x:v>
      </x:c>
      <x:c r="B1201" s="1" t="str">
        <x:v>ACC-0339</x:v>
      </x:c>
      <x:c r="C1201" s="19" t="n">
        <x:v>45789</x:v>
      </x:c>
      <x:c r="D1201" s="1" t="str">
        <x:v>Case Packer</x:v>
      </x:c>
      <x:c r="E1201" s="1" t="str">
        <x:v>Midwest</x:v>
      </x:c>
      <x:c r="F1201" s="20" t="n">
        <x:v>247900</x:v>
      </x:c>
      <x:c r="G1201" s="1" t="str">
        <x:v>Repeat purchase</x:v>
      </x:c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 t="str">
        <x:v>ORD-01201</x:v>
      </x:c>
      <x:c r="B1202" s="1" t="str">
        <x:v>ACC-0339</x:v>
      </x:c>
      <x:c r="C1202" s="19" t="n">
        <x:v>45882</x:v>
      </x:c>
      <x:c r="D1202" s="1" t="str">
        <x:v>Cartoning Machine</x:v>
      </x:c>
      <x:c r="E1202" s="1" t="str">
        <x:v>Midwest</x:v>
      </x:c>
      <x:c r="F1202" s="20" t="n">
        <x:v>195400</x:v>
      </x:c>
      <x:c r="G1202" s="1" t="str">
        <x:v>Repeat purchase</x:v>
      </x:c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 t="str">
        <x:v>ORD-01202</x:v>
      </x:c>
      <x:c r="B1203" s="1" t="str">
        <x:v>ACC-0339</x:v>
      </x:c>
      <x:c r="C1203" s="19" t="n">
        <x:v>45968</x:v>
      </x:c>
      <x:c r="D1203" s="1" t="str">
        <x:v>Case Packer</x:v>
      </x:c>
      <x:c r="E1203" s="1" t="str">
        <x:v>Midwest</x:v>
      </x:c>
      <x:c r="F1203" s="20" t="n">
        <x:v>110800</x:v>
      </x:c>
      <x:c r="G1203" s="1" t="str">
        <x:v>Repeat purchase</x:v>
      </x:c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 t="str">
        <x:v>ORD-01203</x:v>
      </x:c>
      <x:c r="B1204" s="1" t="str">
        <x:v>ACC-0340</x:v>
      </x:c>
      <x:c r="C1204" s="19" t="n">
        <x:v>46012</x:v>
      </x:c>
      <x:c r="D1204" s="1" t="str">
        <x:v>Labeling System</x:v>
      </x:c>
      <x:c r="E1204" s="1" t="str">
        <x:v>South</x:v>
      </x:c>
      <x:c r="F1204" s="20" t="n">
        <x:v>202400</x:v>
      </x:c>
      <x:c r="G1204" s="1" t="str">
        <x:v>New business</x:v>
      </x:c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 t="str">
        <x:v>ORD-01204</x:v>
      </x:c>
      <x:c r="B1205" s="1" t="str">
        <x:v>ACC-0340</x:v>
      </x:c>
      <x:c r="C1205" s="19" t="n">
        <x:v>46014</x:v>
      </x:c>
      <x:c r="D1205" s="1" t="str">
        <x:v>Pouch Filler</x:v>
      </x:c>
      <x:c r="E1205" s="1" t="str">
        <x:v>South</x:v>
      </x:c>
      <x:c r="F1205" s="20" t="n">
        <x:v>132700</x:v>
      </x:c>
      <x:c r="G1205" s="1" t="str">
        <x:v>Repeat purchase</x:v>
      </x:c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 t="str">
        <x:v>ORD-01205</x:v>
      </x:c>
      <x:c r="B1206" s="1" t="str">
        <x:v>ACC-0340</x:v>
      </x:c>
      <x:c r="C1206" s="19" t="n">
        <x:v>46048</x:v>
      </x:c>
      <x:c r="D1206" s="1" t="str">
        <x:v>Cartoning Machine</x:v>
      </x:c>
      <x:c r="E1206" s="1" t="str">
        <x:v>South</x:v>
      </x:c>
      <x:c r="F1206" s="20" t="n">
        <x:v>188400</x:v>
      </x:c>
      <x:c r="G1206" s="1" t="str">
        <x:v>Repeat purchase</x:v>
      </x:c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 t="str">
        <x:v>ORD-01206</x:v>
      </x:c>
      <x:c r="B1207" s="1" t="str">
        <x:v>ACC-0341</x:v>
      </x:c>
      <x:c r="C1207" s="19" t="n">
        <x:v>45787</x:v>
      </x:c>
      <x:c r="D1207" s="1" t="str">
        <x:v>Case Packer</x:v>
      </x:c>
      <x:c r="E1207" s="1" t="str">
        <x:v>Northeast</x:v>
      </x:c>
      <x:c r="F1207" s="20" t="n">
        <x:v>153800</x:v>
      </x:c>
      <x:c r="G1207" s="1" t="str">
        <x:v>New business</x:v>
      </x:c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 t="str">
        <x:v>ORD-01207</x:v>
      </x:c>
      <x:c r="B1208" s="1" t="str">
        <x:v>ACC-0341</x:v>
      </x:c>
      <x:c r="C1208" s="19" t="n">
        <x:v>45935</x:v>
      </x:c>
      <x:c r="D1208" s="1" t="str">
        <x:v>Case Packer</x:v>
      </x:c>
      <x:c r="E1208" s="1" t="str">
        <x:v>Northeast</x:v>
      </x:c>
      <x:c r="F1208" s="20" t="n">
        <x:v>45700</x:v>
      </x:c>
      <x:c r="G1208" s="1" t="str">
        <x:v>Repeat purchase</x:v>
      </x:c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 t="str">
        <x:v>ORD-01208</x:v>
      </x:c>
      <x:c r="B1209" s="1" t="str">
        <x:v>ACC-0341</x:v>
      </x:c>
      <x:c r="C1209" s="19" t="n">
        <x:v>46001</x:v>
      </x:c>
      <x:c r="D1209" s="1" t="str">
        <x:v>Cartoning Machine</x:v>
      </x:c>
      <x:c r="E1209" s="1" t="str">
        <x:v>Northeast</x:v>
      </x:c>
      <x:c r="F1209" s="20" t="n">
        <x:v>177700</x:v>
      </x:c>
      <x:c r="G1209" s="1" t="str">
        <x:v>Repeat purchase</x:v>
      </x:c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 t="str">
        <x:v>ORD-01209</x:v>
      </x:c>
      <x:c r="B1210" s="1" t="str">
        <x:v>ACC-0341</x:v>
      </x:c>
      <x:c r="C1210" s="19" t="n">
        <x:v>46037</x:v>
      </x:c>
      <x:c r="D1210" s="1" t="str">
        <x:v>Service &amp; Parts</x:v>
      </x:c>
      <x:c r="E1210" s="1" t="str">
        <x:v>Northeast</x:v>
      </x:c>
      <x:c r="F1210" s="20" t="n">
        <x:v>28000</x:v>
      </x:c>
      <x:c r="G1210" s="1" t="str">
        <x:v>Repeat purchase</x:v>
      </x:c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 t="str">
        <x:v>ORD-01210</x:v>
      </x:c>
      <x:c r="B1211" s="1" t="str">
        <x:v>ACC-0341</x:v>
      </x:c>
      <x:c r="C1211" s="19" t="n">
        <x:v>46053</x:v>
      </x:c>
      <x:c r="D1211" s="1" t="str">
        <x:v>Case Packer</x:v>
      </x:c>
      <x:c r="E1211" s="1" t="str">
        <x:v>Northeast</x:v>
      </x:c>
      <x:c r="F1211" s="20" t="n">
        <x:v>58000</x:v>
      </x:c>
      <x:c r="G1211" s="1" t="str">
        <x:v>Repeat purchase</x:v>
      </x:c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 t="str">
        <x:v>ORD-01211</x:v>
      </x:c>
      <x:c r="B1212" s="1" t="str">
        <x:v>ACC-0342</x:v>
      </x:c>
      <x:c r="C1212" s="19" t="n">
        <x:v>46002</x:v>
      </x:c>
      <x:c r="D1212" s="1" t="str">
        <x:v>Pouch Filler</x:v>
      </x:c>
      <x:c r="E1212" s="1" t="str">
        <x:v>South</x:v>
      </x:c>
      <x:c r="F1212" s="20" t="n">
        <x:v>41400</x:v>
      </x:c>
      <x:c r="G1212" s="1" t="str">
        <x:v>New business</x:v>
      </x:c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 t="str">
        <x:v>ORD-01212</x:v>
      </x:c>
      <x:c r="B1213" s="1" t="str">
        <x:v>ACC-0343</x:v>
      </x:c>
      <x:c r="C1213" s="19" t="n">
        <x:v>45384</x:v>
      </x:c>
      <x:c r="D1213" s="1" t="str">
        <x:v>Cartoning Machine</x:v>
      </x:c>
      <x:c r="E1213" s="1" t="str">
        <x:v>South</x:v>
      </x:c>
      <x:c r="F1213" s="20" t="n">
        <x:v>126100</x:v>
      </x:c>
      <x:c r="G1213" s="1" t="str">
        <x:v>New business</x:v>
      </x:c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 t="str">
        <x:v>ORD-01213</x:v>
      </x:c>
      <x:c r="B1214" s="1" t="str">
        <x:v>ACC-0343</x:v>
      </x:c>
      <x:c r="C1214" s="19" t="n">
        <x:v>45929</x:v>
      </x:c>
      <x:c r="D1214" s="1" t="str">
        <x:v>Cartoning Machine</x:v>
      </x:c>
      <x:c r="E1214" s="1" t="str">
        <x:v>South</x:v>
      </x:c>
      <x:c r="F1214" s="20" t="n">
        <x:v>208200</x:v>
      </x:c>
      <x:c r="G1214" s="1" t="str">
        <x:v>Repeat purchase</x:v>
      </x:c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 t="str">
        <x:v>ORD-01214</x:v>
      </x:c>
      <x:c r="B1215" s="1" t="str">
        <x:v>ACC-0343</x:v>
      </x:c>
      <x:c r="C1215" s="19" t="n">
        <x:v>45957</x:v>
      </x:c>
      <x:c r="D1215" s="1" t="str">
        <x:v>Pouch Filler</x:v>
      </x:c>
      <x:c r="E1215" s="1" t="str">
        <x:v>South</x:v>
      </x:c>
      <x:c r="F1215" s="20" t="n">
        <x:v>118500</x:v>
      </x:c>
      <x:c r="G1215" s="1" t="str">
        <x:v>Repeat purchase</x:v>
      </x:c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 t="str">
        <x:v>ORD-01215</x:v>
      </x:c>
      <x:c r="B1216" s="1" t="str">
        <x:v>ACC-0343</x:v>
      </x:c>
      <x:c r="C1216" s="19" t="n">
        <x:v>46118</x:v>
      </x:c>
      <x:c r="D1216" s="1" t="str">
        <x:v>Labeling System</x:v>
      </x:c>
      <x:c r="E1216" s="1" t="str">
        <x:v>South</x:v>
      </x:c>
      <x:c r="F1216" s="20" t="n">
        <x:v>79300</x:v>
      </x:c>
      <x:c r="G1216" s="1" t="str">
        <x:v>Repeat purchase</x:v>
      </x:c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 t="str">
        <x:v>ORD-01216</x:v>
      </x:c>
      <x:c r="B1217" s="1" t="str">
        <x:v>ACC-0344</x:v>
      </x:c>
      <x:c r="C1217" s="19" t="n">
        <x:v>45313</x:v>
      </x:c>
      <x:c r="D1217" s="1" t="str">
        <x:v>Cartoning Machine</x:v>
      </x:c>
      <x:c r="E1217" s="1" t="str">
        <x:v>South</x:v>
      </x:c>
      <x:c r="F1217" s="20" t="n">
        <x:v>59700</x:v>
      </x:c>
      <x:c r="G1217" s="1" t="str">
        <x:v>New business</x:v>
      </x:c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 t="str">
        <x:v>ORD-01217</x:v>
      </x:c>
      <x:c r="B1218" s="1" t="str">
        <x:v>ACC-0344</x:v>
      </x:c>
      <x:c r="C1218" s="19" t="n">
        <x:v>45687</x:v>
      </x:c>
      <x:c r="D1218" s="1" t="str">
        <x:v>Pouch Filler</x:v>
      </x:c>
      <x:c r="E1218" s="1" t="str">
        <x:v>South</x:v>
      </x:c>
      <x:c r="F1218" s="20" t="n">
        <x:v>90100</x:v>
      </x:c>
      <x:c r="G1218" s="1" t="str">
        <x:v>Repeat purchase</x:v>
      </x:c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 t="str">
        <x:v>ORD-01218</x:v>
      </x:c>
      <x:c r="B1219" s="1" t="str">
        <x:v>ACC-0345</x:v>
      </x:c>
      <x:c r="C1219" s="19" t="n">
        <x:v>45437</x:v>
      </x:c>
      <x:c r="D1219" s="1" t="str">
        <x:v>Labeling System</x:v>
      </x:c>
      <x:c r="E1219" s="1" t="str">
        <x:v>Midwest</x:v>
      </x:c>
      <x:c r="F1219" s="20" t="n">
        <x:v>130400</x:v>
      </x:c>
      <x:c r="G1219" s="1" t="str">
        <x:v>New business</x:v>
      </x:c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 t="str">
        <x:v>ORD-01219</x:v>
      </x:c>
      <x:c r="B1220" s="1" t="str">
        <x:v>ACC-0345</x:v>
      </x:c>
      <x:c r="C1220" s="19" t="n">
        <x:v>45584</x:v>
      </x:c>
      <x:c r="D1220" s="1" t="str">
        <x:v>Pouch Filler</x:v>
      </x:c>
      <x:c r="E1220" s="1" t="str">
        <x:v>Midwest</x:v>
      </x:c>
      <x:c r="F1220" s="20" t="n">
        <x:v>173900</x:v>
      </x:c>
      <x:c r="G1220" s="1" t="str">
        <x:v>Repeat purchase</x:v>
      </x:c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 t="str">
        <x:v>ORD-01220</x:v>
      </x:c>
      <x:c r="B1221" s="1" t="str">
        <x:v>ACC-0345</x:v>
      </x:c>
      <x:c r="C1221" s="19" t="n">
        <x:v>46076</x:v>
      </x:c>
      <x:c r="D1221" s="1" t="str">
        <x:v>Labeling System</x:v>
      </x:c>
      <x:c r="E1221" s="1" t="str">
        <x:v>Midwest</x:v>
      </x:c>
      <x:c r="F1221" s="20" t="n">
        <x:v>196100</x:v>
      </x:c>
      <x:c r="G1221" s="1" t="str">
        <x:v>Repeat purchase</x:v>
      </x:c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 t="str">
        <x:v>ORD-01221</x:v>
      </x:c>
      <x:c r="B1222" s="1" t="str">
        <x:v>ACC-0345</x:v>
      </x:c>
      <x:c r="C1222" s="19" t="n">
        <x:v>46145</x:v>
      </x:c>
      <x:c r="D1222" s="1" t="str">
        <x:v>Service &amp; Parts</x:v>
      </x:c>
      <x:c r="E1222" s="1" t="str">
        <x:v>Midwest</x:v>
      </x:c>
      <x:c r="F1222" s="20" t="n">
        <x:v>30500</x:v>
      </x:c>
      <x:c r="G1222" s="1" t="str">
        <x:v>Repeat purchase</x:v>
      </x:c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 t="str">
        <x:v>ORD-01222</x:v>
      </x:c>
      <x:c r="B1223" s="1" t="str">
        <x:v>ACC-0346</x:v>
      </x:c>
      <x:c r="C1223" s="19" t="n">
        <x:v>45547</x:v>
      </x:c>
      <x:c r="D1223" s="1" t="str">
        <x:v>Labeling System</x:v>
      </x:c>
      <x:c r="E1223" s="1" t="str">
        <x:v>West</x:v>
      </x:c>
      <x:c r="F1223" s="20" t="n">
        <x:v>43200</x:v>
      </x:c>
      <x:c r="G1223" s="1" t="str">
        <x:v>New business</x:v>
      </x:c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 t="str">
        <x:v>ORD-01223</x:v>
      </x:c>
      <x:c r="B1224" s="1" t="str">
        <x:v>ACC-0346</x:v>
      </x:c>
      <x:c r="C1224" s="19" t="n">
        <x:v>45641</x:v>
      </x:c>
      <x:c r="D1224" s="1" t="str">
        <x:v>Cartoning Machine</x:v>
      </x:c>
      <x:c r="E1224" s="1" t="str">
        <x:v>West</x:v>
      </x:c>
      <x:c r="F1224" s="20" t="n">
        <x:v>131500</x:v>
      </x:c>
      <x:c r="G1224" s="1" t="str">
        <x:v>Repeat purchase</x:v>
      </x:c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 t="str">
        <x:v>ORD-01224</x:v>
      </x:c>
      <x:c r="B1225" s="1" t="str">
        <x:v>ACC-0346</x:v>
      </x:c>
      <x:c r="C1225" s="19" t="n">
        <x:v>45807</x:v>
      </x:c>
      <x:c r="D1225" s="1" t="str">
        <x:v>Service &amp; Parts</x:v>
      </x:c>
      <x:c r="E1225" s="1" t="str">
        <x:v>West</x:v>
      </x:c>
      <x:c r="F1225" s="20" t="n">
        <x:v>9500</x:v>
      </x:c>
      <x:c r="G1225" s="1" t="str">
        <x:v>Repeat purchase</x:v>
      </x:c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 t="str">
        <x:v>ORD-01225</x:v>
      </x:c>
      <x:c r="B1226" s="1" t="str">
        <x:v>ACC-0346</x:v>
      </x:c>
      <x:c r="C1226" s="19" t="n">
        <x:v>45910</x:v>
      </x:c>
      <x:c r="D1226" s="1" t="str">
        <x:v>Case Packer</x:v>
      </x:c>
      <x:c r="E1226" s="1" t="str">
        <x:v>West</x:v>
      </x:c>
      <x:c r="F1226" s="20" t="n">
        <x:v>104700</x:v>
      </x:c>
      <x:c r="G1226" s="1" t="str">
        <x:v>Repeat purchase</x:v>
      </x:c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 t="str">
        <x:v>ORD-01226</x:v>
      </x:c>
      <x:c r="B1227" s="1" t="str">
        <x:v>ACC-0347</x:v>
      </x:c>
      <x:c r="C1227" s="19" t="n">
        <x:v>45813</x:v>
      </x:c>
      <x:c r="D1227" s="1" t="str">
        <x:v>Service &amp; Parts</x:v>
      </x:c>
      <x:c r="E1227" s="1" t="str">
        <x:v>West</x:v>
      </x:c>
      <x:c r="F1227" s="20" t="n">
        <x:v>40900</x:v>
      </x:c>
      <x:c r="G1227" s="1" t="str">
        <x:v>New business</x:v>
      </x:c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 t="str">
        <x:v>ORD-01227</x:v>
      </x:c>
      <x:c r="B1228" s="1" t="str">
        <x:v>ACC-0347</x:v>
      </x:c>
      <x:c r="C1228" s="19" t="n">
        <x:v>45821</x:v>
      </x:c>
      <x:c r="D1228" s="1" t="str">
        <x:v>Case Packer</x:v>
      </x:c>
      <x:c r="E1228" s="1" t="str">
        <x:v>West</x:v>
      </x:c>
      <x:c r="F1228" s="20" t="n">
        <x:v>136800</x:v>
      </x:c>
      <x:c r="G1228" s="1" t="str">
        <x:v>Repeat purchase</x:v>
      </x:c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 t="str">
        <x:v>ORD-01228</x:v>
      </x:c>
      <x:c r="B1229" s="1" t="str">
        <x:v>ACC-0347</x:v>
      </x:c>
      <x:c r="C1229" s="19" t="n">
        <x:v>45864</x:v>
      </x:c>
      <x:c r="D1229" s="1" t="str">
        <x:v>Pouch Filler</x:v>
      </x:c>
      <x:c r="E1229" s="1" t="str">
        <x:v>West</x:v>
      </x:c>
      <x:c r="F1229" s="20" t="n">
        <x:v>211200</x:v>
      </x:c>
      <x:c r="G1229" s="1" t="str">
        <x:v>Repeat purchase</x:v>
      </x:c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 t="str">
        <x:v>ORD-01229</x:v>
      </x:c>
      <x:c r="B1230" s="1" t="str">
        <x:v>ACC-0347</x:v>
      </x:c>
      <x:c r="C1230" s="19" t="n">
        <x:v>46070</x:v>
      </x:c>
      <x:c r="D1230" s="1" t="str">
        <x:v>Case Packer</x:v>
      </x:c>
      <x:c r="E1230" s="1" t="str">
        <x:v>West</x:v>
      </x:c>
      <x:c r="F1230" s="20" t="n">
        <x:v>252300</x:v>
      </x:c>
      <x:c r="G1230" s="1" t="str">
        <x:v>Repeat purchase</x:v>
      </x:c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 t="str">
        <x:v>ORD-01230</x:v>
      </x:c>
      <x:c r="B1231" s="1" t="str">
        <x:v>ACC-0347</x:v>
      </x:c>
      <x:c r="C1231" s="19" t="n">
        <x:v>46112</x:v>
      </x:c>
      <x:c r="D1231" s="1" t="str">
        <x:v>Labeling System</x:v>
      </x:c>
      <x:c r="E1231" s="1" t="str">
        <x:v>West</x:v>
      </x:c>
      <x:c r="F1231" s="20" t="n">
        <x:v>192400</x:v>
      </x:c>
      <x:c r="G1231" s="1" t="str">
        <x:v>Repeat purchase</x:v>
      </x:c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 t="str">
        <x:v>ORD-01231</x:v>
      </x:c>
      <x:c r="B1232" s="1" t="str">
        <x:v>ACC-0347</x:v>
      </x:c>
      <x:c r="C1232" s="19" t="n">
        <x:v>46173</x:v>
      </x:c>
      <x:c r="D1232" s="1" t="str">
        <x:v>Case Packer</x:v>
      </x:c>
      <x:c r="E1232" s="1" t="str">
        <x:v>West</x:v>
      </x:c>
      <x:c r="F1232" s="20" t="n">
        <x:v>206700</x:v>
      </x:c>
      <x:c r="G1232" s="1" t="str">
        <x:v>Repeat purchase</x:v>
      </x:c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 t="str">
        <x:v>ORD-01232</x:v>
      </x:c>
      <x:c r="B1233" s="1" t="str">
        <x:v>ACC-0348</x:v>
      </x:c>
      <x:c r="C1233" s="19" t="n">
        <x:v>45481</x:v>
      </x:c>
      <x:c r="D1233" s="1" t="str">
        <x:v>Pouch Filler</x:v>
      </x:c>
      <x:c r="E1233" s="1" t="str">
        <x:v>Northeast</x:v>
      </x:c>
      <x:c r="F1233" s="20" t="n">
        <x:v>176200</x:v>
      </x:c>
      <x:c r="G1233" s="1" t="str">
        <x:v>New business</x:v>
      </x:c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 t="str">
        <x:v>ORD-01233</x:v>
      </x:c>
      <x:c r="B1234" s="1" t="str">
        <x:v>ACC-0348</x:v>
      </x:c>
      <x:c r="C1234" s="19" t="n">
        <x:v>45536</x:v>
      </x:c>
      <x:c r="D1234" s="1" t="str">
        <x:v>Pouch Filler</x:v>
      </x:c>
      <x:c r="E1234" s="1" t="str">
        <x:v>Northeast</x:v>
      </x:c>
      <x:c r="F1234" s="20" t="n">
        <x:v>86800</x:v>
      </x:c>
      <x:c r="G1234" s="1" t="str">
        <x:v>Repeat purchase</x:v>
      </x:c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 t="str">
        <x:v>ORD-01234</x:v>
      </x:c>
      <x:c r="B1235" s="1" t="str">
        <x:v>ACC-0348</x:v>
      </x:c>
      <x:c r="C1235" s="19" t="n">
        <x:v>45618</x:v>
      </x:c>
      <x:c r="D1235" s="1" t="str">
        <x:v>Pouch Filler</x:v>
      </x:c>
      <x:c r="E1235" s="1" t="str">
        <x:v>Northeast</x:v>
      </x:c>
      <x:c r="F1235" s="20" t="n">
        <x:v>207000</x:v>
      </x:c>
      <x:c r="G1235" s="1" t="str">
        <x:v>Repeat purchase</x:v>
      </x:c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 t="str">
        <x:v>ORD-01235</x:v>
      </x:c>
      <x:c r="B1236" s="1" t="str">
        <x:v>ACC-0348</x:v>
      </x:c>
      <x:c r="C1236" s="19" t="n">
        <x:v>45739</x:v>
      </x:c>
      <x:c r="D1236" s="1" t="str">
        <x:v>Pouch Filler</x:v>
      </x:c>
      <x:c r="E1236" s="1" t="str">
        <x:v>Northeast</x:v>
      </x:c>
      <x:c r="F1236" s="20" t="n">
        <x:v>234900</x:v>
      </x:c>
      <x:c r="G1236" s="1" t="str">
        <x:v>Repeat purchase</x:v>
      </x:c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 t="str">
        <x:v>ORD-01236</x:v>
      </x:c>
      <x:c r="B1237" s="1" t="str">
        <x:v>ACC-0348</x:v>
      </x:c>
      <x:c r="C1237" s="19" t="n">
        <x:v>45757</x:v>
      </x:c>
      <x:c r="D1237" s="1" t="str">
        <x:v>Labeling System</x:v>
      </x:c>
      <x:c r="E1237" s="1" t="str">
        <x:v>Northeast</x:v>
      </x:c>
      <x:c r="F1237" s="20" t="n">
        <x:v>140300</x:v>
      </x:c>
      <x:c r="G1237" s="1" t="str">
        <x:v>Repeat purchase</x:v>
      </x:c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 t="str">
        <x:v>ORD-01237</x:v>
      </x:c>
      <x:c r="B1238" s="1" t="str">
        <x:v>ACC-0348</x:v>
      </x:c>
      <x:c r="C1238" s="19" t="n">
        <x:v>45938</x:v>
      </x:c>
      <x:c r="D1238" s="1" t="str">
        <x:v>Case Packer</x:v>
      </x:c>
      <x:c r="E1238" s="1" t="str">
        <x:v>Northeast</x:v>
      </x:c>
      <x:c r="F1238" s="20" t="n">
        <x:v>115200</x:v>
      </x:c>
      <x:c r="G1238" s="1" t="str">
        <x:v>Repeat purchase</x:v>
      </x:c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 t="str">
        <x:v>ORD-01238</x:v>
      </x:c>
      <x:c r="B1239" s="1" t="str">
        <x:v>ACC-0348</x:v>
      </x:c>
      <x:c r="C1239" s="19" t="n">
        <x:v>46004</x:v>
      </x:c>
      <x:c r="D1239" s="1" t="str">
        <x:v>Labeling System</x:v>
      </x:c>
      <x:c r="E1239" s="1" t="str">
        <x:v>Northeast</x:v>
      </x:c>
      <x:c r="F1239" s="20" t="n">
        <x:v>188100</x:v>
      </x:c>
      <x:c r="G1239" s="1" t="str">
        <x:v>Repeat purchase</x:v>
      </x:c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 t="str">
        <x:v>ORD-01239</x:v>
      </x:c>
      <x:c r="B1240" s="1" t="str">
        <x:v>ACC-0349</x:v>
      </x:c>
      <x:c r="C1240" s="19" t="n">
        <x:v>45327</x:v>
      </x:c>
      <x:c r="D1240" s="1" t="str">
        <x:v>Cartoning Machine</x:v>
      </x:c>
      <x:c r="E1240" s="1" t="str">
        <x:v>West</x:v>
      </x:c>
      <x:c r="F1240" s="20" t="n">
        <x:v>114200</x:v>
      </x:c>
      <x:c r="G1240" s="1" t="str">
        <x:v>New business</x:v>
      </x:c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 t="str">
        <x:v>ORD-01240</x:v>
      </x:c>
      <x:c r="B1241" s="1" t="str">
        <x:v>ACC-0349</x:v>
      </x:c>
      <x:c r="C1241" s="19" t="n">
        <x:v>45509</x:v>
      </x:c>
      <x:c r="D1241" s="1" t="str">
        <x:v>Pouch Filler</x:v>
      </x:c>
      <x:c r="E1241" s="1" t="str">
        <x:v>West</x:v>
      </x:c>
      <x:c r="F1241" s="20" t="n">
        <x:v>169700</x:v>
      </x:c>
      <x:c r="G1241" s="1" t="str">
        <x:v>Repeat purchase</x:v>
      </x:c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 t="str">
        <x:v>ORD-01241</x:v>
      </x:c>
      <x:c r="B1242" s="1" t="str">
        <x:v>ACC-0349</x:v>
      </x:c>
      <x:c r="C1242" s="19" t="n">
        <x:v>45641</x:v>
      </x:c>
      <x:c r="D1242" s="1" t="str">
        <x:v>Cartoning Machine</x:v>
      </x:c>
      <x:c r="E1242" s="1" t="str">
        <x:v>West</x:v>
      </x:c>
      <x:c r="F1242" s="20" t="n">
        <x:v>71600</x:v>
      </x:c>
      <x:c r="G1242" s="1" t="str">
        <x:v>Repeat purchase</x:v>
      </x:c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 t="str">
        <x:v>ORD-01242</x:v>
      </x:c>
      <x:c r="B1243" s="1" t="str">
        <x:v>ACC-0349</x:v>
      </x:c>
      <x:c r="C1243" s="19" t="n">
        <x:v>46072</x:v>
      </x:c>
      <x:c r="D1243" s="1" t="str">
        <x:v>Labeling System</x:v>
      </x:c>
      <x:c r="E1243" s="1" t="str">
        <x:v>West</x:v>
      </x:c>
      <x:c r="F1243" s="20" t="n">
        <x:v>162600</x:v>
      </x:c>
      <x:c r="G1243" s="1" t="str">
        <x:v>Repeat purchase</x:v>
      </x:c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 t="str">
        <x:v>ORD-01243</x:v>
      </x:c>
      <x:c r="B1244" s="1" t="str">
        <x:v>ACC-0349</x:v>
      </x:c>
      <x:c r="C1244" s="19" t="n">
        <x:v>46185</x:v>
      </x:c>
      <x:c r="D1244" s="1" t="str">
        <x:v>Case Packer</x:v>
      </x:c>
      <x:c r="E1244" s="1" t="str">
        <x:v>West</x:v>
      </x:c>
      <x:c r="F1244" s="20" t="n">
        <x:v>117700</x:v>
      </x:c>
      <x:c r="G1244" s="1" t="str">
        <x:v>Repeat purchase</x:v>
      </x:c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 t="str">
        <x:v>ORD-01244</x:v>
      </x:c>
      <x:c r="B1245" s="1" t="str">
        <x:v>ACC-0349</x:v>
      </x:c>
      <x:c r="C1245" s="19" t="n">
        <x:v>46195</x:v>
      </x:c>
      <x:c r="D1245" s="1" t="str">
        <x:v>Cartoning Machine</x:v>
      </x:c>
      <x:c r="E1245" s="1" t="str">
        <x:v>West</x:v>
      </x:c>
      <x:c r="F1245" s="20" t="n">
        <x:v>196500</x:v>
      </x:c>
      <x:c r="G1245" s="1" t="str">
        <x:v>Repeat purchase</x:v>
      </x:c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 t="str">
        <x:v>ORD-01245</x:v>
      </x:c>
      <x:c r="B1246" s="1" t="str">
        <x:v>ACC-0350</x:v>
      </x:c>
      <x:c r="C1246" s="19" t="n">
        <x:v>45617</x:v>
      </x:c>
      <x:c r="D1246" s="1" t="str">
        <x:v>Cartoning Machine</x:v>
      </x:c>
      <x:c r="E1246" s="1" t="str">
        <x:v>Midwest</x:v>
      </x:c>
      <x:c r="F1246" s="20" t="n">
        <x:v>54600</x:v>
      </x:c>
      <x:c r="G1246" s="1" t="str">
        <x:v>New business</x:v>
      </x:c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 t="str">
        <x:v>ORD-01246</x:v>
      </x:c>
      <x:c r="B1247" s="1" t="str">
        <x:v>ACC-0351</x:v>
      </x:c>
      <x:c r="C1247" s="19" t="n">
        <x:v>46074</x:v>
      </x:c>
      <x:c r="D1247" s="1" t="str">
        <x:v>Case Packer</x:v>
      </x:c>
      <x:c r="E1247" s="1" t="str">
        <x:v>South</x:v>
      </x:c>
      <x:c r="F1247" s="20" t="n">
        <x:v>149800</x:v>
      </x:c>
      <x:c r="G1247" s="1" t="str">
        <x:v>New business</x:v>
      </x:c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 t="str">
        <x:v>ORD-01247</x:v>
      </x:c>
      <x:c r="B1248" s="1" t="str">
        <x:v>ACC-0351</x:v>
      </x:c>
      <x:c r="C1248" s="19" t="n">
        <x:v>46181</x:v>
      </x:c>
      <x:c r="D1248" s="1" t="str">
        <x:v>Service &amp; Parts</x:v>
      </x:c>
      <x:c r="E1248" s="1" t="str">
        <x:v>South</x:v>
      </x:c>
      <x:c r="F1248" s="20" t="n">
        <x:v>23900</x:v>
      </x:c>
      <x:c r="G1248" s="1" t="str">
        <x:v>Repeat purchase</x:v>
      </x:c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 t="str">
        <x:v>ORD-01248</x:v>
      </x:c>
      <x:c r="B1249" s="1" t="str">
        <x:v>ACC-0352</x:v>
      </x:c>
      <x:c r="C1249" s="19" t="n">
        <x:v>45390</x:v>
      </x:c>
      <x:c r="D1249" s="1" t="str">
        <x:v>Service &amp; Parts</x:v>
      </x:c>
      <x:c r="E1249" s="1" t="str">
        <x:v>Midwest</x:v>
      </x:c>
      <x:c r="F1249" s="20" t="n">
        <x:v>10000</x:v>
      </x:c>
      <x:c r="G1249" s="1" t="str">
        <x:v>New business</x:v>
      </x:c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 t="str">
        <x:v>ORD-01249</x:v>
      </x:c>
      <x:c r="B1250" s="1" t="str">
        <x:v>ACC-0352</x:v>
      </x:c>
      <x:c r="C1250" s="19" t="n">
        <x:v>45556</x:v>
      </x:c>
      <x:c r="D1250" s="1" t="str">
        <x:v>Labeling System</x:v>
      </x:c>
      <x:c r="E1250" s="1" t="str">
        <x:v>Midwest</x:v>
      </x:c>
      <x:c r="F1250" s="20" t="n">
        <x:v>51400</x:v>
      </x:c>
      <x:c r="G1250" s="1" t="str">
        <x:v>Repeat purchase</x:v>
      </x:c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 t="str">
        <x:v>ORD-01250</x:v>
      </x:c>
      <x:c r="B1251" s="1" t="str">
        <x:v>ACC-0352</x:v>
      </x:c>
      <x:c r="C1251" s="19" t="n">
        <x:v>46051</x:v>
      </x:c>
      <x:c r="D1251" s="1" t="str">
        <x:v>Pouch Filler</x:v>
      </x:c>
      <x:c r="E1251" s="1" t="str">
        <x:v>Midwest</x:v>
      </x:c>
      <x:c r="F1251" s="20" t="n">
        <x:v>119300</x:v>
      </x:c>
      <x:c r="G1251" s="1" t="str">
        <x:v>Repeat purchase</x:v>
      </x:c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 t="str">
        <x:v>ORD-01251</x:v>
      </x:c>
      <x:c r="B1252" s="1" t="str">
        <x:v>ACC-0353</x:v>
      </x:c>
      <x:c r="C1252" s="19" t="n">
        <x:v>45966</x:v>
      </x:c>
      <x:c r="D1252" s="1" t="str">
        <x:v>Case Packer</x:v>
      </x:c>
      <x:c r="E1252" s="1" t="str">
        <x:v>Northeast</x:v>
      </x:c>
      <x:c r="F1252" s="20" t="n">
        <x:v>251000</x:v>
      </x:c>
      <x:c r="G1252" s="1" t="str">
        <x:v>New business</x:v>
      </x:c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 t="str">
        <x:v>ORD-01252</x:v>
      </x:c>
      <x:c r="B1253" s="1" t="str">
        <x:v>ACC-0353</x:v>
      </x:c>
      <x:c r="C1253" s="19" t="n">
        <x:v>46020</x:v>
      </x:c>
      <x:c r="D1253" s="1" t="str">
        <x:v>Cartoning Machine</x:v>
      </x:c>
      <x:c r="E1253" s="1" t="str">
        <x:v>Northeast</x:v>
      </x:c>
      <x:c r="F1253" s="20" t="n">
        <x:v>213600</x:v>
      </x:c>
      <x:c r="G1253" s="1" t="str">
        <x:v>Repeat purchase</x:v>
      </x:c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 t="str">
        <x:v>ORD-01253</x:v>
      </x:c>
      <x:c r="B1254" s="1" t="str">
        <x:v>ACC-0353</x:v>
      </x:c>
      <x:c r="C1254" s="19" t="n">
        <x:v>46029</x:v>
      </x:c>
      <x:c r="D1254" s="1" t="str">
        <x:v>Service &amp; Parts</x:v>
      </x:c>
      <x:c r="E1254" s="1" t="str">
        <x:v>Northeast</x:v>
      </x:c>
      <x:c r="F1254" s="20" t="n">
        <x:v>39100</x:v>
      </x:c>
      <x:c r="G1254" s="1" t="str">
        <x:v>Repeat purchase</x:v>
      </x:c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 t="str">
        <x:v>ORD-01254</x:v>
      </x:c>
      <x:c r="B1255" s="1" t="str">
        <x:v>ACC-0353</x:v>
      </x:c>
      <x:c r="C1255" s="19" t="n">
        <x:v>46170</x:v>
      </x:c>
      <x:c r="D1255" s="1" t="str">
        <x:v>Cartoning Machine</x:v>
      </x:c>
      <x:c r="E1255" s="1" t="str">
        <x:v>Northeast</x:v>
      </x:c>
      <x:c r="F1255" s="20" t="n">
        <x:v>88500</x:v>
      </x:c>
      <x:c r="G1255" s="1" t="str">
        <x:v>Repeat purchase</x:v>
      </x:c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 t="str">
        <x:v>ORD-01255</x:v>
      </x:c>
      <x:c r="B1256" s="1" t="str">
        <x:v>ACC-0354</x:v>
      </x:c>
      <x:c r="C1256" s="19" t="n">
        <x:v>45754</x:v>
      </x:c>
      <x:c r="D1256" s="1" t="str">
        <x:v>Pouch Filler</x:v>
      </x:c>
      <x:c r="E1256" s="1" t="str">
        <x:v>South</x:v>
      </x:c>
      <x:c r="F1256" s="20" t="n">
        <x:v>117300</x:v>
      </x:c>
      <x:c r="G1256" s="1" t="str">
        <x:v>New business</x:v>
      </x:c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 t="str">
        <x:v>ORD-01256</x:v>
      </x:c>
      <x:c r="B1257" s="1" t="str">
        <x:v>ACC-0354</x:v>
      </x:c>
      <x:c r="C1257" s="19" t="n">
        <x:v>45779</x:v>
      </x:c>
      <x:c r="D1257" s="1" t="str">
        <x:v>Cartoning Machine</x:v>
      </x:c>
      <x:c r="E1257" s="1" t="str">
        <x:v>South</x:v>
      </x:c>
      <x:c r="F1257" s="20" t="n">
        <x:v>168800</x:v>
      </x:c>
      <x:c r="G1257" s="1" t="str">
        <x:v>Repeat purchase</x:v>
      </x:c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 t="str">
        <x:v>ORD-01257</x:v>
      </x:c>
      <x:c r="B1258" s="1" t="str">
        <x:v>ACC-0354</x:v>
      </x:c>
      <x:c r="C1258" s="19" t="n">
        <x:v>45786</x:v>
      </x:c>
      <x:c r="D1258" s="1" t="str">
        <x:v>Case Packer</x:v>
      </x:c>
      <x:c r="E1258" s="1" t="str">
        <x:v>South</x:v>
      </x:c>
      <x:c r="F1258" s="20" t="n">
        <x:v>174700</x:v>
      </x:c>
      <x:c r="G1258" s="1" t="str">
        <x:v>Repeat purchase</x:v>
      </x:c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 t="str">
        <x:v>ORD-01258</x:v>
      </x:c>
      <x:c r="B1259" s="1" t="str">
        <x:v>ACC-0354</x:v>
      </x:c>
      <x:c r="C1259" s="19" t="n">
        <x:v>45871</x:v>
      </x:c>
      <x:c r="D1259" s="1" t="str">
        <x:v>Labeling System</x:v>
      </x:c>
      <x:c r="E1259" s="1" t="str">
        <x:v>South</x:v>
      </x:c>
      <x:c r="F1259" s="20" t="n">
        <x:v>262100</x:v>
      </x:c>
      <x:c r="G1259" s="1" t="str">
        <x:v>Repeat purchase</x:v>
      </x:c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 t="str">
        <x:v>ORD-01259</x:v>
      </x:c>
      <x:c r="B1260" s="1" t="str">
        <x:v>ACC-0354</x:v>
      </x:c>
      <x:c r="C1260" s="19" t="n">
        <x:v>45883</x:v>
      </x:c>
      <x:c r="D1260" s="1" t="str">
        <x:v>Case Packer</x:v>
      </x:c>
      <x:c r="E1260" s="1" t="str">
        <x:v>South</x:v>
      </x:c>
      <x:c r="F1260" s="20" t="n">
        <x:v>118300</x:v>
      </x:c>
      <x:c r="G1260" s="1" t="str">
        <x:v>Repeat purchase</x:v>
      </x:c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 t="str">
        <x:v>ORD-01260</x:v>
      </x:c>
      <x:c r="B1261" s="1" t="str">
        <x:v>ACC-0354</x:v>
      </x:c>
      <x:c r="C1261" s="19" t="n">
        <x:v>45948</x:v>
      </x:c>
      <x:c r="D1261" s="1" t="str">
        <x:v>Case Packer</x:v>
      </x:c>
      <x:c r="E1261" s="1" t="str">
        <x:v>South</x:v>
      </x:c>
      <x:c r="F1261" s="20" t="n">
        <x:v>138500</x:v>
      </x:c>
      <x:c r="G1261" s="1" t="str">
        <x:v>Repeat purchase</x:v>
      </x:c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 t="str">
        <x:v>ORD-01261</x:v>
      </x:c>
      <x:c r="B1262" s="1" t="str">
        <x:v>ACC-0354</x:v>
      </x:c>
      <x:c r="C1262" s="19" t="n">
        <x:v>46061</x:v>
      </x:c>
      <x:c r="D1262" s="1" t="str">
        <x:v>Labeling System</x:v>
      </x:c>
      <x:c r="E1262" s="1" t="str">
        <x:v>South</x:v>
      </x:c>
      <x:c r="F1262" s="20" t="n">
        <x:v>150200</x:v>
      </x:c>
      <x:c r="G1262" s="1" t="str">
        <x:v>Repeat purchase</x:v>
      </x:c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 t="str">
        <x:v>ORD-01262</x:v>
      </x:c>
      <x:c r="B1263" s="1" t="str">
        <x:v>ACC-0355</x:v>
      </x:c>
      <x:c r="C1263" s="19" t="n">
        <x:v>45950</x:v>
      </x:c>
      <x:c r="D1263" s="1" t="str">
        <x:v>Pouch Filler</x:v>
      </x:c>
      <x:c r="E1263" s="1" t="str">
        <x:v>Northeast</x:v>
      </x:c>
      <x:c r="F1263" s="20" t="n">
        <x:v>205700</x:v>
      </x:c>
      <x:c r="G1263" s="1" t="str">
        <x:v>New business</x:v>
      </x:c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 t="str">
        <x:v>ORD-01263</x:v>
      </x:c>
      <x:c r="B1264" s="1" t="str">
        <x:v>ACC-0355</x:v>
      </x:c>
      <x:c r="C1264" s="19" t="n">
        <x:v>46083</x:v>
      </x:c>
      <x:c r="D1264" s="1" t="str">
        <x:v>Cartoning Machine</x:v>
      </x:c>
      <x:c r="E1264" s="1" t="str">
        <x:v>Northeast</x:v>
      </x:c>
      <x:c r="F1264" s="20" t="n">
        <x:v>64400</x:v>
      </x:c>
      <x:c r="G1264" s="1" t="str">
        <x:v>Repeat purchase</x:v>
      </x:c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 t="str">
        <x:v>ORD-01264</x:v>
      </x:c>
      <x:c r="B1265" s="1" t="str">
        <x:v>ACC-0355</x:v>
      </x:c>
      <x:c r="C1265" s="19" t="n">
        <x:v>46108</x:v>
      </x:c>
      <x:c r="D1265" s="1" t="str">
        <x:v>Pouch Filler</x:v>
      </x:c>
      <x:c r="E1265" s="1" t="str">
        <x:v>Northeast</x:v>
      </x:c>
      <x:c r="F1265" s="20" t="n">
        <x:v>145800</x:v>
      </x:c>
      <x:c r="G1265" s="1" t="str">
        <x:v>Repeat purchase</x:v>
      </x:c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 t="str">
        <x:v>ORD-01265</x:v>
      </x:c>
      <x:c r="B1266" s="1" t="str">
        <x:v>ACC-0355</x:v>
      </x:c>
      <x:c r="C1266" s="19" t="n">
        <x:v>46132</x:v>
      </x:c>
      <x:c r="D1266" s="1" t="str">
        <x:v>Labeling System</x:v>
      </x:c>
      <x:c r="E1266" s="1" t="str">
        <x:v>Northeast</x:v>
      </x:c>
      <x:c r="F1266" s="20" t="n">
        <x:v>148500</x:v>
      </x:c>
      <x:c r="G1266" s="1" t="str">
        <x:v>Repeat purchase</x:v>
      </x:c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 t="str">
        <x:v>ORD-01266</x:v>
      </x:c>
      <x:c r="B1267" s="1" t="str">
        <x:v>ACC-0356</x:v>
      </x:c>
      <x:c r="C1267" s="19" t="n">
        <x:v>45843</x:v>
      </x:c>
      <x:c r="D1267" s="1" t="str">
        <x:v>Case Packer</x:v>
      </x:c>
      <x:c r="E1267" s="1" t="str">
        <x:v>South</x:v>
      </x:c>
      <x:c r="F1267" s="20" t="n">
        <x:v>34300</x:v>
      </x:c>
      <x:c r="G1267" s="1" t="str">
        <x:v>New business</x:v>
      </x:c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 t="str">
        <x:v>ORD-01267</x:v>
      </x:c>
      <x:c r="B1268" s="1" t="str">
        <x:v>ACC-0356</x:v>
      </x:c>
      <x:c r="C1268" s="19" t="n">
        <x:v>45872</x:v>
      </x:c>
      <x:c r="D1268" s="1" t="str">
        <x:v>Pouch Filler</x:v>
      </x:c>
      <x:c r="E1268" s="1" t="str">
        <x:v>South</x:v>
      </x:c>
      <x:c r="F1268" s="20" t="n">
        <x:v>44600</x:v>
      </x:c>
      <x:c r="G1268" s="1" t="str">
        <x:v>Repeat purchase</x:v>
      </x:c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 t="str">
        <x:v>ORD-01268</x:v>
      </x:c>
      <x:c r="B1269" s="1" t="str">
        <x:v>ACC-0356</x:v>
      </x:c>
      <x:c r="C1269" s="19" t="n">
        <x:v>45945</x:v>
      </x:c>
      <x:c r="D1269" s="1" t="str">
        <x:v>Case Packer</x:v>
      </x:c>
      <x:c r="E1269" s="1" t="str">
        <x:v>South</x:v>
      </x:c>
      <x:c r="F1269" s="20" t="n">
        <x:v>60400</x:v>
      </x:c>
      <x:c r="G1269" s="1" t="str">
        <x:v>Repeat purchase</x:v>
      </x:c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 t="str">
        <x:v>ORD-01269</x:v>
      </x:c>
      <x:c r="B1270" s="1" t="str">
        <x:v>ACC-0356</x:v>
      </x:c>
      <x:c r="C1270" s="19" t="n">
        <x:v>45975</x:v>
      </x:c>
      <x:c r="D1270" s="1" t="str">
        <x:v>Service &amp; Parts</x:v>
      </x:c>
      <x:c r="E1270" s="1" t="str">
        <x:v>South</x:v>
      </x:c>
      <x:c r="F1270" s="20" t="n">
        <x:v>22700</x:v>
      </x:c>
      <x:c r="G1270" s="1" t="str">
        <x:v>Repeat purchase</x:v>
      </x:c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 t="str">
        <x:v>ORD-01270</x:v>
      </x:c>
      <x:c r="B1271" s="1" t="str">
        <x:v>ACC-0357</x:v>
      </x:c>
      <x:c r="C1271" s="19" t="n">
        <x:v>46154</x:v>
      </x:c>
      <x:c r="D1271" s="1" t="str">
        <x:v>Service &amp; Parts</x:v>
      </x:c>
      <x:c r="E1271" s="1" t="str">
        <x:v>Northeast</x:v>
      </x:c>
      <x:c r="F1271" s="20" t="n">
        <x:v>22000</x:v>
      </x:c>
      <x:c r="G1271" s="1" t="str">
        <x:v>New business</x:v>
      </x:c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 t="str">
        <x:v>ORD-01271</x:v>
      </x:c>
      <x:c r="B1272" s="1" t="str">
        <x:v>ACC-0357</x:v>
      </x:c>
      <x:c r="C1272" s="19" t="n">
        <x:v>46182</x:v>
      </x:c>
      <x:c r="D1272" s="1" t="str">
        <x:v>Cartoning Machine</x:v>
      </x:c>
      <x:c r="E1272" s="1" t="str">
        <x:v>Northeast</x:v>
      </x:c>
      <x:c r="F1272" s="20" t="n">
        <x:v>181600</x:v>
      </x:c>
      <x:c r="G1272" s="1" t="str">
        <x:v>Repeat purchase</x:v>
      </x:c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 t="str">
        <x:v>ORD-01272</x:v>
      </x:c>
      <x:c r="B1273" s="1" t="str">
        <x:v>ACC-0358</x:v>
      </x:c>
      <x:c r="C1273" s="19" t="n">
        <x:v>45683</x:v>
      </x:c>
      <x:c r="D1273" s="1" t="str">
        <x:v>Case Packer</x:v>
      </x:c>
      <x:c r="E1273" s="1" t="str">
        <x:v>Midwest</x:v>
      </x:c>
      <x:c r="F1273" s="20" t="n">
        <x:v>139700</x:v>
      </x:c>
      <x:c r="G1273" s="1" t="str">
        <x:v>New business</x:v>
      </x:c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 t="str">
        <x:v>ORD-01273</x:v>
      </x:c>
      <x:c r="B1274" s="1" t="str">
        <x:v>ACC-0358</x:v>
      </x:c>
      <x:c r="C1274" s="19" t="n">
        <x:v>45923</x:v>
      </x:c>
      <x:c r="D1274" s="1" t="str">
        <x:v>Cartoning Machine</x:v>
      </x:c>
      <x:c r="E1274" s="1" t="str">
        <x:v>Midwest</x:v>
      </x:c>
      <x:c r="F1274" s="20" t="n">
        <x:v>81500</x:v>
      </x:c>
      <x:c r="G1274" s="1" t="str">
        <x:v>Repeat purchase</x:v>
      </x:c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 t="str">
        <x:v>ORD-01274</x:v>
      </x:c>
      <x:c r="B1275" s="1" t="str">
        <x:v>ACC-0358</x:v>
      </x:c>
      <x:c r="C1275" s="19" t="n">
        <x:v>45983</x:v>
      </x:c>
      <x:c r="D1275" s="1" t="str">
        <x:v>Case Packer</x:v>
      </x:c>
      <x:c r="E1275" s="1" t="str">
        <x:v>Midwest</x:v>
      </x:c>
      <x:c r="F1275" s="20" t="n">
        <x:v>105200</x:v>
      </x:c>
      <x:c r="G1275" s="1" t="str">
        <x:v>Repeat purchase</x:v>
      </x:c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 t="str">
        <x:v>ORD-01275</x:v>
      </x:c>
      <x:c r="B1276" s="1" t="str">
        <x:v>ACC-0358</x:v>
      </x:c>
      <x:c r="C1276" s="19" t="n">
        <x:v>46039</x:v>
      </x:c>
      <x:c r="D1276" s="1" t="str">
        <x:v>Case Packer</x:v>
      </x:c>
      <x:c r="E1276" s="1" t="str">
        <x:v>Midwest</x:v>
      </x:c>
      <x:c r="F1276" s="20" t="n">
        <x:v>124300</x:v>
      </x:c>
      <x:c r="G1276" s="1" t="str">
        <x:v>Repeat purchase</x:v>
      </x:c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 t="str">
        <x:v>ORD-01276</x:v>
      </x:c>
      <x:c r="B1277" s="1" t="str">
        <x:v>ACC-0359</x:v>
      </x:c>
      <x:c r="C1277" s="19" t="n">
        <x:v>45965</x:v>
      </x:c>
      <x:c r="D1277" s="1" t="str">
        <x:v>Case Packer</x:v>
      </x:c>
      <x:c r="E1277" s="1" t="str">
        <x:v>West</x:v>
      </x:c>
      <x:c r="F1277" s="20" t="n">
        <x:v>162500</x:v>
      </x:c>
      <x:c r="G1277" s="1" t="str">
        <x:v>New business</x:v>
      </x:c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 t="str">
        <x:v>ORD-01277</x:v>
      </x:c>
      <x:c r="B1278" s="1" t="str">
        <x:v>ACC-0359</x:v>
      </x:c>
      <x:c r="C1278" s="19" t="n">
        <x:v>45981</x:v>
      </x:c>
      <x:c r="D1278" s="1" t="str">
        <x:v>Case Packer</x:v>
      </x:c>
      <x:c r="E1278" s="1" t="str">
        <x:v>West</x:v>
      </x:c>
      <x:c r="F1278" s="20" t="n">
        <x:v>176800</x:v>
      </x:c>
      <x:c r="G1278" s="1" t="str">
        <x:v>Repeat purchase</x:v>
      </x:c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 t="str">
        <x:v>ORD-01278</x:v>
      </x:c>
      <x:c r="B1279" s="1" t="str">
        <x:v>ACC-0359</x:v>
      </x:c>
      <x:c r="C1279" s="19" t="n">
        <x:v>46190</x:v>
      </x:c>
      <x:c r="D1279" s="1" t="str">
        <x:v>Case Packer</x:v>
      </x:c>
      <x:c r="E1279" s="1" t="str">
        <x:v>West</x:v>
      </x:c>
      <x:c r="F1279" s="20" t="n">
        <x:v>223200</x:v>
      </x:c>
      <x:c r="G1279" s="1" t="str">
        <x:v>Repeat purchase</x:v>
      </x:c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 t="str">
        <x:v>ORD-01279</x:v>
      </x:c>
      <x:c r="B1280" s="1" t="str">
        <x:v>ACC-0360</x:v>
      </x:c>
      <x:c r="C1280" s="19" t="n">
        <x:v>45821</x:v>
      </x:c>
      <x:c r="D1280" s="1" t="str">
        <x:v>Service &amp; Parts</x:v>
      </x:c>
      <x:c r="E1280" s="1" t="str">
        <x:v>Midwest</x:v>
      </x:c>
      <x:c r="F1280" s="20" t="n">
        <x:v>6000</x:v>
      </x:c>
      <x:c r="G1280" s="1" t="str">
        <x:v>New business</x:v>
      </x:c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 t="str">
        <x:v>ORD-01280</x:v>
      </x:c>
      <x:c r="B1281" s="1" t="str">
        <x:v>ACC-0360</x:v>
      </x:c>
      <x:c r="C1281" s="19" t="n">
        <x:v>45829</x:v>
      </x:c>
      <x:c r="D1281" s="1" t="str">
        <x:v>Labeling System</x:v>
      </x:c>
      <x:c r="E1281" s="1" t="str">
        <x:v>Midwest</x:v>
      </x:c>
      <x:c r="F1281" s="20" t="n">
        <x:v>42900</x:v>
      </x:c>
      <x:c r="G1281" s="1" t="str">
        <x:v>Repeat purchase</x:v>
      </x:c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 t="str">
        <x:v>ORD-01281</x:v>
      </x:c>
      <x:c r="B1282" s="1" t="str">
        <x:v>ACC-0360</x:v>
      </x:c>
      <x:c r="C1282" s="19" t="n">
        <x:v>46113</x:v>
      </x:c>
      <x:c r="D1282" s="1" t="str">
        <x:v>Cartoning Machine</x:v>
      </x:c>
      <x:c r="E1282" s="1" t="str">
        <x:v>Midwest</x:v>
      </x:c>
      <x:c r="F1282" s="20" t="n">
        <x:v>136500</x:v>
      </x:c>
      <x:c r="G1282" s="1" t="str">
        <x:v>Repeat purchase</x:v>
      </x:c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 t="str">
        <x:v>ORD-01282</x:v>
      </x:c>
      <x:c r="B1283" s="1" t="str">
        <x:v>ACC-0360</x:v>
      </x:c>
      <x:c r="C1283" s="19" t="n">
        <x:v>46136</x:v>
      </x:c>
      <x:c r="D1283" s="1" t="str">
        <x:v>Case Packer</x:v>
      </x:c>
      <x:c r="E1283" s="1" t="str">
        <x:v>Midwest</x:v>
      </x:c>
      <x:c r="F1283" s="20" t="n">
        <x:v>128400</x:v>
      </x:c>
      <x:c r="G1283" s="1" t="str">
        <x:v>Repeat purchase</x:v>
      </x:c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pageMargins left="0.7" right="0.7" top="0.75" bottom="0.75" header="0.3" footer="0.3"/>
  <x:tableParts count="1">
    <x:tablePart xmlns:r="http://schemas.openxmlformats.org/officeDocument/2006/relationships" r:id="Rf9d8fb1e203e424d"/>
  </x:tableParts>
</x:worksheet>
</file>

<file path=xl/worksheets/sheet5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3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1" t="str">
        <x:v>Methodology and Definitions</x:v>
      </x:c>
      <x:c r="B2" s="21"/>
      <x:c r="C2" s="21"/>
      <x:c r="D2" s="21"/>
      <x:c r="E2" s="21"/>
      <x:c r="F2" s="2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91" t="str">
        <x:v>Portfolio simulation using synthetic data. No actual customer, order, financial, or confidential Crown Industries information is included.</x:v>
      </x:c>
      <x:c r="B4" s="91"/>
      <x:c r="C4" s="91"/>
      <x:c r="D4" s="91"/>
      <x:c r="E4" s="91"/>
      <x:c r="F4" s="9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8" t="str">
        <x:v>Metric</x:v>
      </x:c>
      <x:c r="B6" s="18" t="str">
        <x:v>Definition</x:v>
      </x:c>
      <x:c r="C6" s="18" t="str">
        <x:v>Use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0" customHeight="1">
      <x:c r="A7" s="84" t="str">
        <x:v>Recency</x:v>
      </x:c>
      <x:c r="B7" s="84" t="str">
        <x:v>Days between the last order and June 30, 2026</x:v>
      </x:c>
      <x:c r="C7" s="84" t="str">
        <x:v>Measures current engagement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0" customHeight="1">
      <x:c r="A8" s="84" t="str">
        <x:v>Frequency</x:v>
      </x:c>
      <x:c r="B8" s="84" t="str">
        <x:v>Number of orders per account</x:v>
      </x:c>
      <x:c r="C8" s="84" t="str">
        <x:v>Measures relationship depth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0" customHeight="1">
      <x:c r="A9" s="84" t="str">
        <x:v>Monetary value</x:v>
      </x:c>
      <x:c r="B9" s="84" t="str">
        <x:v>Cumulative account revenue</x:v>
      </x:c>
      <x:c r="C9" s="84" t="str">
        <x:v>Measures commercial value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0" customHeight="1">
      <x:c r="A10" s="84" t="str">
        <x:v>Repeat purchase rate</x:v>
      </x:c>
      <x:c r="B10" s="84" t="str">
        <x:v>Accounts with more than one order divided by all accounts</x:v>
      </x:c>
      <x:c r="C10" s="84" t="str">
        <x:v>Tracks second-order conversion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0" customHeight="1">
      <x:c r="A11" s="84" t="str">
        <x:v>Champions</x:v>
      </x:c>
      <x:c r="B11" s="84" t="str">
        <x:v>Recent, frequent, and high-value accounts</x:v>
      </x:c>
      <x:c r="C11" s="84" t="str">
        <x:v>Retention, advocacy, and cross-sell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0" customHeight="1">
      <x:c r="A12" s="84" t="str">
        <x:v>High Value At Risk</x:v>
      </x:c>
      <x:c r="B12" s="84" t="str">
        <x:v>High-value accounts with more than 180 days since last order</x:v>
      </x:c>
      <x:c r="C12" s="84" t="str">
        <x:v>Sales recovery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0" customHeight="1">
      <x:c r="A13" s="84" t="str">
        <x:v>At Risk</x:v>
      </x:c>
      <x:c r="B13" s="84" t="str">
        <x:v>Accounts with 121–240 days since last order</x:v>
      </x:c>
      <x:c r="C13" s="84" t="str">
        <x:v>Churn prevention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0" customHeight="1">
      <x:c r="A14" s="87" t="str">
        <x:v>Lapsed</x:v>
      </x:c>
      <x:c r="B14" s="87" t="str">
        <x:v>Repeat accounts with more than 240 days since last order</x:v>
      </x:c>
      <x:c r="C14" s="87" t="str">
        <x:v>Selective win-back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8" t="str">
        <x:v>Workbook flow</x:v>
      </x:c>
      <x:c r="B17" s="18" t="str">
        <x:v>Purpose</x:v>
      </x:c>
      <x:c r="C17" s="18" t="str">
        <x:v>Primary audience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84" t="str">
        <x:v>Dashboard</x:v>
      </x:c>
      <x:c r="B18" s="84" t="str">
        <x:v>Executive summary of value, lifecycle health, and recommended actions</x:v>
      </x:c>
      <x:c r="C18" s="84" t="str">
        <x:v>Marketing and sales leadership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84" t="str">
        <x:v>Segment Analysis</x:v>
      </x:c>
      <x:c r="B19" s="84" t="str">
        <x:v>Detailed segment and lifecycle comparisons</x:v>
      </x:c>
      <x:c r="C19" s="84" t="str">
        <x:v>CRM and demand-generation teams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84" t="str">
        <x:v>Account Data</x:v>
      </x:c>
      <x:c r="B20" s="84" t="str">
        <x:v>Account-level scoring, segment assignment, and recommended action</x:v>
      </x:c>
      <x:c r="C20" s="84" t="str">
        <x:v>Analysts and campaign operators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87" t="str">
        <x:v>Order Data</x:v>
      </x:c>
      <x:c r="B21" s="87" t="str">
        <x:v>Synthetic order history supporting the account analysis</x:v>
      </x:c>
      <x:c r="C21" s="87" t="str">
        <x:v>Analysts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2:F2"/>
    <x:mergeCell ref="A4:F4"/>
  </x:mergeCells>
  <x:pageMargins left="0.7" right="0.7" top="0.75" bottom="0.75" header="0.3" footer="0.3"/>
</x:worksheet>
</file>