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0213eb90f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f237f0cc7d34d7c"/>
    <x:sheet xmlns:r="http://schemas.openxmlformats.org/officeDocument/2006/relationships" name="Experiment Analysis" sheetId="2" r:id="R9649fa09347047e6"/>
    <x:sheet xmlns:r="http://schemas.openxmlformats.org/officeDocument/2006/relationships" name="Daily Data" sheetId="3" r:id="Rb4b170f1f20e4e04"/>
    <x:sheet xmlns:r="http://schemas.openxmlformats.org/officeDocument/2006/relationships" name="Experiment Plan" sheetId="4" r:id="R93914d4ad8f844bd"/>
    <x:sheet xmlns:r="http://schemas.openxmlformats.org/officeDocument/2006/relationships" name="Methodology" sheetId="5" r:id="R77c8b7781abb42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/dd/yy"/>
    <x:numFmt numFmtId="201" formatCode="#,##0"/>
    <x:numFmt numFmtId="202" formatCode="$#,##0"/>
    <x:numFmt numFmtId="203" formatCode="0.0%"/>
    <x:numFmt numFmtId="204" formatCode="$0.00"/>
    <x:numFmt numFmtId="205" formatCode="0.00%"/>
    <x:numFmt numFmtId="206" formatCode="0.00"/>
  </x:numFmts>
  <x:fonts count="10">
    <x:font>
      <x:sz val="11"/>
      <x:name val="Carlito"/>
    </x:font>
    <x:font>
      <x:b/>
      <x:sz val="16"/>
      <x:color rgb="FF17324D"/>
      <x:name val="Arial"/>
    </x:font>
    <x:font>
      <x:i/>
      <x:sz val="10"/>
      <x:color rgb="FF6B7C93"/>
      <x:name val="Arial"/>
    </x:font>
    <x:font>
      <x:b/>
      <x:sz val="10"/>
      <x:color rgb="FFFFFFFF"/>
      <x:name val="Arial"/>
    </x:font>
    <x:font>
      <x:sz val="10"/>
      <x:color rgb="FF233447"/>
      <x:name val="Arial"/>
    </x:font>
    <x:font>
      <x:sz val="10"/>
      <x:name val="Arial"/>
    </x:font>
    <x:font>
      <x:b/>
      <x:sz val="18"/>
      <x:color rgb="FF17324D"/>
      <x:name val="Arial"/>
    </x:font>
    <x:font>
      <x:b/>
      <x:sz val="11"/>
      <x:color rgb="FF176A5E"/>
      <x:name val="Arial"/>
    </x:font>
    <x:font>
      <x:b/>
      <x:sz val="11"/>
      <x:color rgb="FFFFFFFF"/>
      <x:name val="Arial"/>
    </x:font>
    <x:font>
      <x:b/>
      <x:sz val="10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7"/>
      </x:patternFill>
    </x:fill>
    <x:fill>
      <x:patternFill patternType="solid">
        <x:fgColor rgb="FFDDF3EF"/>
      </x:patternFill>
    </x:fill>
  </x:fills>
  <x:borders count="15">
    <x:border/>
    <x:border>
      <x:bottom style="thin">
        <x:color rgb="FFAFC3D4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9CCFC7"/>
      </x:left>
      <x:top style="thin">
        <x:color rgb="FF9CCFC7"/>
      </x:top>
    </x:border>
    <x:border>
      <x:top style="thin">
        <x:color rgb="FF9CCFC7"/>
      </x:top>
    </x:border>
    <x:border>
      <x:right style="thin">
        <x:color rgb="FF9CCFC7"/>
      </x:right>
      <x:top style="thin">
        <x:color rgb="FF9CCFC7"/>
      </x:top>
    </x:border>
    <x:border>
      <x:left style="thin">
        <x:color rgb="FF9CCFC7"/>
      </x:left>
      <x:bottom style="thin">
        <x:color rgb="FF9CCFC7"/>
      </x:bottom>
    </x:border>
    <x:border>
      <x:bottom style="thin">
        <x:color rgb="FF9CCFC7"/>
      </x:bottom>
    </x:border>
    <x:border>
      <x:right style="thin">
        <x:color rgb="FF9CCFC7"/>
      </x:right>
      <x:bottom style="thin">
        <x:color rgb="FF9CCFC7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205" fontId="4" fillId="0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0" fontId="6" fillId="3" borderId="7" xfId="0" applyNumberFormat="1" applyFont="1" applyFill="1" applyBorder="1"/>
    <x:xf numFmtId="0" fontId="6" fillId="3" borderId="8" xfId="0" applyNumberFormat="1" applyFont="1" applyFill="1" applyBorder="1"/>
    <x:xf numFmtId="203" fontId="6" fillId="3" borderId="5" xfId="0" applyNumberFormat="1" applyFont="1" applyFill="1" applyBorder="1"/>
    <x:xf numFmtId="203" fontId="6" fillId="3" borderId="6" xfId="0" applyNumberFormat="1" applyFont="1" applyFill="1" applyBorder="1"/>
    <x:xf numFmtId="203" fontId="6" fillId="3" borderId="7" xfId="0" applyNumberFormat="1" applyFont="1" applyFill="1" applyBorder="1"/>
    <x:xf numFmtId="203" fontId="6" fillId="3" borderId="8" xfId="0" applyNumberFormat="1" applyFont="1" applyFill="1" applyBorder="1"/>
    <x:xf numFmtId="203" fontId="6" fillId="3" borderId="5" xfId="0" applyNumberFormat="1" applyFont="1" applyFill="1" applyBorder="1" applyAlignment="1">
      <x:alignment horizontal="center"/>
    </x:xf>
    <x:xf numFmtId="203" fontId="6" fillId="3" borderId="6" xfId="0" applyNumberFormat="1" applyFont="1" applyFill="1" applyBorder="1" applyAlignment="1">
      <x:alignment horizontal="center"/>
    </x:xf>
    <x:xf numFmtId="203" fontId="6" fillId="3" borderId="7" xfId="0" applyNumberFormat="1" applyFont="1" applyFill="1" applyBorder="1" applyAlignment="1">
      <x:alignment horizontal="center"/>
    </x:xf>
    <x:xf numFmtId="203" fontId="6" fillId="3" borderId="8" xfId="0" applyNumberFormat="1" applyFont="1" applyFill="1" applyBorder="1" applyAlignment="1">
      <x:alignment horizontal="center"/>
    </x:xf>
    <x:xf numFmtId="203" fontId="6" fillId="3" borderId="5" xfId="0" applyNumberFormat="1" applyFont="1" applyFill="1" applyBorder="1" applyAlignment="1">
      <x:alignment horizontal="center" vertical="center"/>
    </x:xf>
    <x:xf numFmtId="203" fontId="6" fillId="3" borderId="6" xfId="0" applyNumberFormat="1" applyFont="1" applyFill="1" applyBorder="1" applyAlignment="1">
      <x:alignment horizontal="center" vertical="center"/>
    </x:xf>
    <x:xf numFmtId="203" fontId="6" fillId="3" borderId="7" xfId="0" applyNumberFormat="1" applyFont="1" applyFill="1" applyBorder="1" applyAlignment="1">
      <x:alignment horizontal="center" vertical="center"/>
    </x:xf>
    <x:xf numFmtId="203" fontId="6" fillId="3" borderId="8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9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7" fillId="4" borderId="13" xfId="0" applyNumberFormat="1" applyFont="1" applyFill="1" applyBorder="1"/>
    <x:xf numFmtId="0" fontId="7" fillId="4" borderId="14" xfId="0" applyNumberFormat="1" applyFont="1" applyFill="1" applyBorder="1"/>
    <x:xf numFmtId="0" fontId="7" fillId="4" borderId="9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wrapText="1"/>
    </x:xf>
    <x:xf numFmtId="0" fontId="7" fillId="4" borderId="11" xfId="0" applyNumberFormat="1" applyFont="1" applyFill="1" applyBorder="1" applyAlignment="1">
      <x:alignment wrapText="1"/>
    </x:xf>
    <x:xf numFmtId="0" fontId="7" fillId="4" borderId="12" xfId="0" applyNumberFormat="1" applyFont="1" applyFill="1" applyBorder="1" applyAlignment="1">
      <x:alignment wrapText="1"/>
    </x:xf>
    <x:xf numFmtId="0" fontId="7" fillId="4" borderId="13" xfId="0" applyNumberFormat="1" applyFont="1" applyFill="1" applyBorder="1" applyAlignment="1">
      <x:alignment wrapText="1"/>
    </x:xf>
    <x:xf numFmtId="0" fontId="7" fillId="4" borderId="14" xfId="0" applyNumberFormat="1" applyFont="1" applyFill="1" applyBorder="1" applyAlignment="1">
      <x:alignment wrapText="1"/>
    </x:xf>
    <x:xf numFmtId="0" fontId="7" fillId="4" borderId="9" xfId="0" applyNumberFormat="1" applyFont="1" applyFill="1" applyBorder="1" applyAlignment="1">
      <x:alignment horizontal="center" wrapText="1"/>
    </x:xf>
    <x:xf numFmtId="0" fontId="7" fillId="4" borderId="10" xfId="0" applyNumberFormat="1" applyFont="1" applyFill="1" applyBorder="1" applyAlignment="1">
      <x:alignment horizontal="center" wrapText="1"/>
    </x:xf>
    <x:xf numFmtId="0" fontId="7" fillId="4" borderId="11" xfId="0" applyNumberFormat="1" applyFont="1" applyFill="1" applyBorder="1" applyAlignment="1">
      <x:alignment horizontal="center" wrapText="1"/>
    </x:xf>
    <x:xf numFmtId="0" fontId="7" fillId="4" borderId="12" xfId="0" applyNumberFormat="1" applyFont="1" applyFill="1" applyBorder="1" applyAlignment="1">
      <x:alignment horizontal="center" wrapText="1"/>
    </x:xf>
    <x:xf numFmtId="0" fontId="7" fillId="4" borderId="13" xfId="0" applyNumberFormat="1" applyFont="1" applyFill="1" applyBorder="1" applyAlignment="1">
      <x:alignment horizontal="center" wrapText="1"/>
    </x:xf>
    <x:xf numFmtId="0" fontId="7" fillId="4" borderId="14" xfId="0" applyNumberFormat="1" applyFont="1" applyFill="1" applyBorder="1" applyAlignment="1">
      <x:alignment horizontal="center" wrapText="1"/>
    </x:xf>
    <x:xf numFmtId="0" fontId="7" fillId="4" borderId="9" xfId="0" applyNumberFormat="1" applyFont="1" applyFill="1" applyBorder="1" applyAlignment="1">
      <x:alignment horizontal="center" vertical="center" wrapText="1"/>
    </x:xf>
    <x:xf numFmtId="0" fontId="7" fillId="4" borderId="10" xfId="0" applyNumberFormat="1" applyFont="1" applyFill="1" applyBorder="1" applyAlignment="1">
      <x:alignment horizontal="center" vertical="center" wrapText="1"/>
    </x:xf>
    <x:xf numFmtId="0" fontId="7" fillId="4" borderId="11" xfId="0" applyNumberFormat="1" applyFont="1" applyFill="1" applyBorder="1" applyAlignment="1">
      <x:alignment horizontal="center" vertical="center" wrapText="1"/>
    </x:xf>
    <x:xf numFmtId="0" fontId="7" fillId="4" borderId="12" xfId="0" applyNumberFormat="1" applyFont="1" applyFill="1" applyBorder="1" applyAlignment="1">
      <x:alignment horizontal="center" vertical="center" wrapText="1"/>
    </x:xf>
    <x:xf numFmtId="0" fontId="7" fillId="4" borderId="13" xfId="0" applyNumberFormat="1" applyFont="1" applyFill="1" applyBorder="1" applyAlignment="1">
      <x:alignment horizontal="center" vertical="center" wrapText="1"/>
    </x:xf>
    <x:xf numFmtId="0" fontId="7" fillId="4" borderId="14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4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d884441414d40" /><Relationship Type="http://schemas.openxmlformats.org/officeDocument/2006/relationships/theme" Target="/xl/theme/theme1.xml" Id="R1420c38feb9f42ca" /><Relationship Type="http://schemas.openxmlformats.org/officeDocument/2006/relationships/sharedStrings" Target="/xl/sharedStrings.xml" Id="Rf438aeaf3be346ca" /><Relationship Type="http://schemas.openxmlformats.org/officeDocument/2006/relationships/worksheet" Target="/xl/worksheets/sheet1.xml" Id="R4f237f0cc7d34d7c" /><Relationship Type="http://schemas.openxmlformats.org/officeDocument/2006/relationships/worksheet" Target="/xl/worksheets/sheet2.xml" Id="R9649fa09347047e6" /><Relationship Type="http://schemas.openxmlformats.org/officeDocument/2006/relationships/worksheet" Target="/xl/worksheets/sheet3.xml" Id="Rb4b170f1f20e4e04" /><Relationship Type="http://schemas.openxmlformats.org/officeDocument/2006/relationships/worksheet" Target="/xl/worksheets/sheet4.xml" Id="R93914d4ad8f844bd" /><Relationship Type="http://schemas.openxmlformats.org/officeDocument/2006/relationships/worksheet" Target="/xl/worksheets/sheet5.xml" Id="R77c8b7781abb42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f867f804874a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Lead Conversion Rate by Variant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Lead Rate</c:v>
          </c:tx>
          <c:cat>
            <c:strRef>
              <c:f>'Dashboard'!$N$12:$N$13</c:f>
              <c:strCache>
                <c:ptCount val="0"/>
              </c:strCache>
            </c:strRef>
          </c:cat>
          <c:val>
            <c:numRef>
              <c:f>'Dashboard'!$O$12:$O$13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f867f804874aa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ABTestData" displayName="DailyABTestData" ref="A6:K62" headerRowCount="1" totalsRowCount="0" totalsRowShown="0">
  <x:tableColumns count="11">
    <x:tableColumn id="1" name="Date"/>
    <x:tableColumn id="2" name="Variant"/>
    <x:tableColumn id="3" name="Sessions"/>
    <x:tableColumn id="4" name="Form Starts"/>
    <x:tableColumn id="5" name="Leads"/>
    <x:tableColumn id="6" name="Quote Requests"/>
    <x:tableColumn id="7" name="Pipeline Value"/>
    <x:tableColumn id="8" name="Form Start Rate"/>
    <x:tableColumn id="9" name="Lead Rate"/>
    <x:tableColumn id="10" name="Quote Rate"/>
    <x:tableColumn id="11" name="Pipeline / Ses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126fff72cc45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50491dfffb443fc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2">
      <x:c r="A2" s="2" t="str">
        <x:v>Crown Industries A/B Testing and Conversion Optimization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</x:row>
    <x:row r="3">
      <x:c r="A3" s="79" t="str">
        <x:v>Quote-form experiment | Synthetic data | July 2026</x:v>
      </x:c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</x:row>
    <x:row r="4">
      <x:c r="A4" s="80"/>
      <x:c r="B4" s="80"/>
      <x:c r="C4" s="80"/>
      <x:c r="D4" s="80"/>
      <x:c r="E4" s="80"/>
      <x:c r="F4" s="80"/>
      <x:c r="G4" s="80"/>
      <x:c r="H4" s="80"/>
      <x:c r="I4" s="80"/>
      <x:c r="J4" s="80"/>
      <x:c r="K4" s="80"/>
      <x:c r="L4" s="80"/>
      <x:c r="M4" s="78"/>
      <x:c r="N4" s="78"/>
      <x:c r="O4" s="78"/>
    </x:row>
    <x:row r="5">
      <x:c r="A5" s="78"/>
      <x:c r="B5" s="78"/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</x:row>
    <x:row r="6">
      <x:c r="A6" s="81" t="str">
        <x:v>Control Lead Rate</x:v>
      </x:c>
      <x:c r="B6" s="81"/>
      <x:c r="C6" s="78"/>
      <x:c r="D6" s="81" t="str">
        <x:v>Variant Lead Rate</x:v>
      </x:c>
      <x:c r="E6" s="81"/>
      <x:c r="F6" s="78"/>
      <x:c r="G6" s="81" t="str">
        <x:v>Relative Uplift</x:v>
      </x:c>
      <x:c r="H6" s="81"/>
      <x:c r="I6" s="78"/>
      <x:c r="J6" s="81" t="str">
        <x:v>Decision</x:v>
      </x:c>
      <x:c r="K6" s="81"/>
      <x:c r="L6" s="81"/>
      <x:c r="M6" s="78"/>
      <x:c r="N6" s="78"/>
      <x:c r="O6" s="78"/>
    </x:row>
    <x:row r="7">
      <x:c r="A7" s="41" t="n">
        <x:f>'Experiment Analysis'!H7</x:f>
        <x:v>0.03607264283937308</x:v>
      </x:c>
      <x:c r="B7" s="42"/>
      <x:c r="C7" s="78"/>
      <x:c r="D7" s="41" t="n">
        <x:f>'Experiment Analysis'!H8</x:f>
        <x:v>0.046064649352712254</x:v>
      </x:c>
      <x:c r="E7" s="42"/>
      <x:c r="F7" s="78"/>
      <x:c r="G7" s="41" t="n">
        <x:f>'Experiment Analysis'!B12</x:f>
        <x:v>0.2769967966536946</x:v>
      </x:c>
      <x:c r="H7" s="42"/>
      <x:c r="I7" s="78"/>
      <x:c r="J7" s="65" t="str">
        <x:f>'Experiment Analysis'!B18</x:f>
        <x:v>Launch variant and monitor lead quality</x:v>
      </x:c>
      <x:c r="K7" s="66"/>
      <x:c r="L7" s="67"/>
      <x:c r="M7" s="78"/>
      <x:c r="N7" s="78"/>
      <x:c r="O7" s="78"/>
    </x:row>
    <x:row r="8">
      <x:c r="A8" s="43"/>
      <x:c r="B8" s="44"/>
      <x:c r="C8" s="78"/>
      <x:c r="D8" s="43"/>
      <x:c r="E8" s="44"/>
      <x:c r="F8" s="78"/>
      <x:c r="G8" s="43"/>
      <x:c r="H8" s="44"/>
      <x:c r="I8" s="78"/>
      <x:c r="J8" s="68"/>
      <x:c r="K8" s="69"/>
      <x:c r="L8" s="70"/>
      <x:c r="M8" s="78"/>
      <x:c r="N8" s="78"/>
      <x:c r="O8" s="78"/>
    </x:row>
    <x:row r="9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</x:row>
    <x:row r="10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  <x:c r="M10" s="78"/>
      <x:c r="N10" s="78"/>
      <x:c r="O10" s="78"/>
    </x:row>
    <x:row r="11">
      <x:c r="A11" s="13" t="str">
        <x:v>Variant</x:v>
      </x:c>
      <x:c r="B11" s="14" t="str">
        <x:v>Sessions</x:v>
      </x:c>
      <x:c r="C11" s="14" t="str">
        <x:v>Leads</x:v>
      </x:c>
      <x:c r="D11" s="14" t="str">
        <x:v>Lead Rate</x:v>
      </x:c>
      <x:c r="E11" s="14" t="str">
        <x:v>Quotes</x:v>
      </x:c>
      <x:c r="F11" s="15" t="str">
        <x:v>Pipeline / Session</x:v>
      </x:c>
      <x:c r="G11" s="78"/>
      <x:c r="H11" s="78"/>
      <x:c r="I11" s="78"/>
      <x:c r="J11" s="78"/>
      <x:c r="K11" s="78"/>
      <x:c r="L11" s="78"/>
      <x:c r="M11" s="78"/>
      <x:c r="N11" s="78" t="str">
        <x:v>Variant</x:v>
      </x:c>
      <x:c r="O11" s="78" t="str">
        <x:v>Lead Rate</x:v>
      </x:c>
    </x:row>
    <x:row r="12">
      <x:c r="A12" s="17" t="str">
        <x:f>'Experiment Analysis'!A7</x:f>
        <x:v>Control</x:v>
      </x:c>
      <x:c r="B12" s="19" t="n">
        <x:f>'Experiment Analysis'!B7</x:f>
        <x:v>12059</x:v>
      </x:c>
      <x:c r="C12" s="19" t="n">
        <x:f>'Experiment Analysis'!D7</x:f>
        <x:v>435</x:v>
      </x:c>
      <x:c r="D12" s="21" t="n">
        <x:f>'Experiment Analysis'!H7</x:f>
        <x:v>0.03607264283937308</x:v>
      </x:c>
      <x:c r="E12" s="19" t="n">
        <x:f>'Experiment Analysis'!E7</x:f>
        <x:v>176</x:v>
      </x:c>
      <x:c r="F12" s="22" t="n">
        <x:f>'Experiment Analysis'!J7</x:f>
        <x:v>273.65453188489926</x:v>
      </x:c>
      <x:c r="G12" s="78"/>
      <x:c r="H12" s="78"/>
      <x:c r="I12" s="78"/>
      <x:c r="J12" s="78"/>
      <x:c r="K12" s="78"/>
      <x:c r="L12" s="78"/>
      <x:c r="M12" s="78"/>
      <x:c r="N12" s="78" t="str">
        <x:f>A12</x:f>
        <x:v>Control</x:v>
      </x:c>
      <x:c r="O12" s="78" t="n">
        <x:f>D12</x:f>
        <x:v>0.03607264283937308</x:v>
      </x:c>
    </x:row>
    <x:row r="13">
      <x:c r="A13" s="17" t="str">
        <x:f>'Experiment Analysis'!A8</x:f>
        <x:v>Short Form + CTA</x:v>
      </x:c>
      <x:c r="B13" s="19" t="n">
        <x:f>'Experiment Analysis'!B8</x:f>
        <x:v>12591</x:v>
      </x:c>
      <x:c r="C13" s="19" t="n">
        <x:f>'Experiment Analysis'!D8</x:f>
        <x:v>580</x:v>
      </x:c>
      <x:c r="D13" s="21" t="n">
        <x:f>'Experiment Analysis'!H8</x:f>
        <x:v>0.046064649352712254</x:v>
      </x:c>
      <x:c r="E13" s="19" t="n">
        <x:f>'Experiment Analysis'!E8</x:f>
        <x:v>243</x:v>
      </x:c>
      <x:c r="F13" s="22" t="n">
        <x:f>'Experiment Analysis'!J8</x:f>
        <x:v>368.6204431736955</x:v>
      </x:c>
      <x:c r="G13" s="78"/>
      <x:c r="H13" s="78"/>
      <x:c r="I13" s="78"/>
      <x:c r="J13" s="78"/>
      <x:c r="K13" s="78"/>
      <x:c r="L13" s="78"/>
      <x:c r="M13" s="78"/>
      <x:c r="N13" s="78" t="str">
        <x:f>A13</x:f>
        <x:v>Short Form + CTA</x:v>
      </x:c>
      <x:c r="O13" s="78" t="n">
        <x:f>D13</x:f>
        <x:v>0.046064649352712254</x:v>
      </x:c>
    </x:row>
    <x:row r="14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</x:row>
    <x:row r="15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</x:row>
    <x:row r="16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</x:row>
    <x:row r="17">
      <x:c r="A17" s="82" t="str">
        <x:v>Conversion Optimization Recommendations</x:v>
      </x:c>
      <x:c r="B17" s="82"/>
      <x:c r="C17" s="82"/>
      <x:c r="D17" s="82"/>
      <x:c r="E17" s="82"/>
      <x:c r="F17" s="82"/>
      <x:c r="G17" s="82"/>
      <x:c r="H17" s="82"/>
      <x:c r="I17" s="82"/>
      <x:c r="J17" s="82"/>
      <x:c r="K17" s="82"/>
      <x:c r="L17" s="82"/>
      <x:c r="M17" s="78"/>
      <x:c r="N17" s="78"/>
      <x:c r="O17" s="78"/>
    </x:row>
    <x:row r="18" ht="34" customHeight="1">
      <x:c r="A18" s="75" t="str">
        <x:v>1  Launch the shorter quote form</x:v>
      </x:c>
      <x:c r="B18" s="75"/>
      <x:c r="C18" s="75"/>
      <x:c r="D18" s="77" t="str">
        <x:v>The variant produced a statistically significant lead-rate improvement.</x:v>
      </x:c>
      <x:c r="E18" s="77"/>
      <x:c r="F18" s="77"/>
      <x:c r="G18" s="77"/>
      <x:c r="H18" s="77"/>
      <x:c r="I18" s="77"/>
      <x:c r="J18" s="77"/>
      <x:c r="K18" s="77"/>
      <x:c r="L18" s="77"/>
      <x:c r="M18" s="78"/>
      <x:c r="N18" s="78"/>
      <x:c r="O18" s="78"/>
    </x:row>
    <x:row r="19" ht="34" customHeight="1">
      <x:c r="A19" s="75" t="str">
        <x:v>2  Keep the stronger product-page CTA</x:v>
      </x:c>
      <x:c r="B19" s="75"/>
      <x:c r="C19" s="75"/>
      <x:c r="D19" s="77" t="str">
        <x:v>The CTA supports clearer next steps on high-intent product pages.</x:v>
      </x:c>
      <x:c r="E19" s="77"/>
      <x:c r="F19" s="77"/>
      <x:c r="G19" s="77"/>
      <x:c r="H19" s="77"/>
      <x:c r="I19" s="77"/>
      <x:c r="J19" s="77"/>
      <x:c r="K19" s="77"/>
      <x:c r="L19" s="77"/>
      <x:c r="M19" s="78"/>
      <x:c r="N19" s="78"/>
      <x:c r="O19" s="78"/>
    </x:row>
    <x:row r="20" ht="34" customHeight="1">
      <x:c r="A20" s="75" t="str">
        <x:v>3  Monitor qualified-lead and quote quality</x:v>
      </x:c>
      <x:c r="B20" s="75"/>
      <x:c r="C20" s="75"/>
      <x:c r="D20" s="77" t="str">
        <x:v>Confirm that added lead volume maintains downstream sales quality.</x:v>
      </x:c>
      <x:c r="E20" s="77"/>
      <x:c r="F20" s="77"/>
      <x:c r="G20" s="77"/>
      <x:c r="H20" s="77"/>
      <x:c r="I20" s="77"/>
      <x:c r="J20" s="77"/>
      <x:c r="K20" s="77"/>
      <x:c r="L20" s="77"/>
      <x:c r="M20" s="78"/>
      <x:c r="N20" s="78"/>
      <x:c r="O20" s="78"/>
    </x:row>
    <x:row r="21" ht="34" customHeight="1">
      <x:c r="A21" s="75" t="str">
        <x:v>4  Test proof points and trust signals next</x:v>
      </x:c>
      <x:c r="B21" s="75"/>
      <x:c r="C21" s="75"/>
      <x:c r="D21" s="77" t="str">
        <x:v>Test customer proof, response-time promises, and specification content next.</x:v>
      </x:c>
      <x:c r="E21" s="77"/>
      <x:c r="F21" s="77"/>
      <x:c r="G21" s="77"/>
      <x:c r="H21" s="77"/>
      <x:c r="I21" s="77"/>
      <x:c r="J21" s="77"/>
      <x:c r="K21" s="77"/>
      <x:c r="L21" s="77"/>
      <x:c r="M21" s="78"/>
      <x:c r="N21" s="78"/>
      <x:c r="O21" s="78"/>
    </x:row>
  </x:sheetData>
  <x:mergeCells>
    <x:mergeCell ref="A2:L2"/>
    <x:mergeCell ref="A3:L3"/>
    <x:mergeCell ref="A6:B6"/>
    <x:mergeCell ref="D6:E6"/>
    <x:mergeCell ref="G6:H6"/>
    <x:mergeCell ref="J6:L6"/>
    <x:mergeCell ref="A7:B8"/>
    <x:mergeCell ref="D7:E8"/>
    <x:mergeCell ref="G7:H8"/>
    <x:mergeCell ref="J7:L8"/>
    <x:mergeCell ref="A17:L17"/>
    <x:mergeCell ref="A18:C18"/>
    <x:mergeCell ref="D18:L18"/>
    <x:mergeCell ref="A19:C19"/>
    <x:mergeCell ref="D19:L19"/>
    <x:mergeCell ref="A20:C20"/>
    <x:mergeCell ref="D20:L20"/>
    <x:mergeCell ref="A21:C21"/>
    <x:mergeCell ref="D21:L21"/>
  </x:mergeCells>
  <x:pageMargins left="0.7" right="0.7" top="0.75" bottom="0.75" header="0.3" footer="0.3"/>
  <x:drawing xmlns:r="http://schemas.openxmlformats.org/officeDocument/2006/relationships" r:id="Re7126fff72cc4572"/>
</x:worksheet>
</file>

<file path=xl/worksheets/sheet2.xml><?xml version="1.0" encoding="utf-8"?>
<x:worksheet xmlns:x="http://schemas.openxmlformats.org/spreadsheetml/2006/main">
  <x:sheetPr>
    <x:tabColor rgb="FF2F6B6A"/>
  </x:sheetPr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3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2">
      <x:c r="A2" s="2" t="str">
        <x:v>Experiment Analysis</x:v>
      </x:c>
      <x:c r="B2" s="78"/>
      <x:c r="C2" s="78"/>
      <x:c r="D2" s="78"/>
      <x:c r="E2" s="78"/>
      <x:c r="F2" s="78"/>
      <x:c r="G2" s="78"/>
      <x:c r="H2" s="78"/>
      <x:c r="I2" s="78"/>
      <x:c r="J2" s="78"/>
    </x:row>
    <x:row r="3">
      <x:c r="A3" s="79" t="str">
        <x:v>Primary metric: lead conversion rate | Statistical threshold: |z| ≥ 1.96</x:v>
      </x:c>
      <x:c r="B3" s="78"/>
      <x:c r="C3" s="78"/>
      <x:c r="D3" s="78"/>
      <x:c r="E3" s="78"/>
      <x:c r="F3" s="78"/>
      <x:c r="G3" s="78"/>
      <x:c r="H3" s="78"/>
      <x:c r="I3" s="78"/>
      <x:c r="J3" s="78"/>
    </x:row>
    <x:row r="4">
      <x:c r="A4" s="80"/>
      <x:c r="B4" s="80"/>
      <x:c r="C4" s="80"/>
      <x:c r="D4" s="80"/>
      <x:c r="E4" s="80"/>
      <x:c r="F4" s="80"/>
      <x:c r="G4" s="80"/>
      <x:c r="H4" s="80"/>
      <x:c r="I4" s="80"/>
      <x:c r="J4" s="80"/>
    </x:row>
    <x:row r="5">
      <x:c r="A5" s="78"/>
      <x:c r="B5" s="78"/>
      <x:c r="C5" s="78"/>
      <x:c r="D5" s="78"/>
      <x:c r="E5" s="78"/>
      <x:c r="F5" s="78"/>
      <x:c r="G5" s="78"/>
      <x:c r="H5" s="78"/>
      <x:c r="I5" s="78"/>
      <x:c r="J5" s="78"/>
    </x:row>
    <x:row r="6">
      <x:c r="A6" s="13" t="str">
        <x:v>Variant</x:v>
      </x:c>
      <x:c r="B6" s="14" t="str">
        <x:v>Sessions</x:v>
      </x:c>
      <x:c r="C6" s="14" t="str">
        <x:v>Form Starts</x:v>
      </x:c>
      <x:c r="D6" s="14" t="str">
        <x:v>Leads</x:v>
      </x:c>
      <x:c r="E6" s="14" t="str">
        <x:v>Quotes</x:v>
      </x:c>
      <x:c r="F6" s="14" t="str">
        <x:v>Pipeline Value</x:v>
      </x:c>
      <x:c r="G6" s="14" t="str">
        <x:v>Form Start Rate</x:v>
      </x:c>
      <x:c r="H6" s="14" t="str">
        <x:v>Lead Rate</x:v>
      </x:c>
      <x:c r="I6" s="14" t="str">
        <x:v>Quote Rate</x:v>
      </x:c>
      <x:c r="J6" s="15" t="str">
        <x:v>Pipeline / Session</x:v>
      </x:c>
    </x:row>
    <x:row r="7">
      <x:c r="A7" s="17" t="str">
        <x:v>Control</x:v>
      </x:c>
      <x:c r="B7" s="19" t="n">
        <x:f>SUMIF('Daily Data'!$B$7:$B$62,$A7,'Daily Data'!$C$7:$C$62)</x:f>
        <x:v>12059</x:v>
      </x:c>
      <x:c r="C7" s="19" t="n">
        <x:f>SUMIF('Daily Data'!$B$7:$B$62,$A7,'Daily Data'!$D$7:$D$62)</x:f>
        <x:v>1396</x:v>
      </x:c>
      <x:c r="D7" s="19" t="n">
        <x:f>SUMIF('Daily Data'!$B$7:$B$62,$A7,'Daily Data'!$E$7:$E$62)</x:f>
        <x:v>435</x:v>
      </x:c>
      <x:c r="E7" s="19" t="n">
        <x:f>SUMIF('Daily Data'!$B$7:$B$62,$A7,'Daily Data'!$F$7:$F$62)</x:f>
        <x:v>176</x:v>
      </x:c>
      <x:c r="F7" s="20" t="n">
        <x:f>SUMIF('Daily Data'!$B$7:$B$62,$A7,'Daily Data'!$G$7:$G$62)</x:f>
        <x:v>3300000</x:v>
      </x:c>
      <x:c r="G7" s="21" t="n">
        <x:f>C7/B7</x:f>
        <x:v>0.11576415954888465</x:v>
      </x:c>
      <x:c r="H7" s="21" t="n">
        <x:f>D7/B7</x:f>
        <x:v>0.03607264283937308</x:v>
      </x:c>
      <x:c r="I7" s="21" t="n">
        <x:f>E7/B7</x:f>
        <x:v>0.014594908367194626</x:v>
      </x:c>
      <x:c r="J7" s="22" t="n">
        <x:f>F7/B7</x:f>
        <x:v>273.65453188489926</x:v>
      </x:c>
    </x:row>
    <x:row r="8">
      <x:c r="A8" s="17" t="str">
        <x:v>Short Form + CTA</x:v>
      </x:c>
      <x:c r="B8" s="19" t="n">
        <x:f>SUMIF('Daily Data'!$B$7:$B$62,$A8,'Daily Data'!$C$7:$C$62)</x:f>
        <x:v>12591</x:v>
      </x:c>
      <x:c r="C8" s="19" t="n">
        <x:f>SUMIF('Daily Data'!$B$7:$B$62,$A8,'Daily Data'!$D$7:$D$62)</x:f>
        <x:v>1822</x:v>
      </x:c>
      <x:c r="D8" s="19" t="n">
        <x:f>SUMIF('Daily Data'!$B$7:$B$62,$A8,'Daily Data'!$E$7:$E$62)</x:f>
        <x:v>580</x:v>
      </x:c>
      <x:c r="E8" s="19" t="n">
        <x:f>SUMIF('Daily Data'!$B$7:$B$62,$A8,'Daily Data'!$F$7:$F$62)</x:f>
        <x:v>243</x:v>
      </x:c>
      <x:c r="F8" s="20" t="n">
        <x:f>SUMIF('Daily Data'!$B$7:$B$62,$A8,'Daily Data'!$G$7:$G$62)</x:f>
        <x:v>4641300</x:v>
      </x:c>
      <x:c r="G8" s="21" t="n">
        <x:f>C8/B8</x:f>
        <x:v>0.14470653641489953</x:v>
      </x:c>
      <x:c r="H8" s="21" t="n">
        <x:f>D8/B8</x:f>
        <x:v>0.046064649352712254</x:v>
      </x:c>
      <x:c r="I8" s="21" t="n">
        <x:f>E8/B8</x:f>
        <x:v>0.01929949964260186</x:v>
      </x:c>
      <x:c r="J8" s="22" t="n">
        <x:f>F8/B8</x:f>
        <x:v>368.6204431736955</x:v>
      </x:c>
    </x:row>
    <x:row r="9">
      <x:c r="A9" s="78"/>
      <x:c r="B9" s="78"/>
      <x:c r="C9" s="78"/>
      <x:c r="D9" s="78"/>
      <x:c r="E9" s="78"/>
      <x:c r="F9" s="78"/>
      <x:c r="G9" s="78"/>
      <x:c r="H9" s="78"/>
      <x:c r="I9" s="78"/>
      <x:c r="J9" s="78"/>
    </x:row>
    <x:row r="10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</x:row>
    <x:row r="11">
      <x:c r="A11" s="13" t="str">
        <x:v>Decision Metric</x:v>
      </x:c>
      <x:c r="B11" s="14" t="str">
        <x:v>Result</x:v>
      </x:c>
      <x:c r="C11" s="14" t="str">
        <x:v>Threshold</x:v>
      </x:c>
      <x:c r="D11" s="15" t="str">
        <x:v>Interpretation</x:v>
      </x:c>
      <x:c r="E11" s="78"/>
      <x:c r="F11" s="78"/>
      <x:c r="G11" s="78"/>
      <x:c r="H11" s="78"/>
      <x:c r="I11" s="78"/>
      <x:c r="J11" s="78"/>
    </x:row>
    <x:row r="12">
      <x:c r="A12" s="17" t="str">
        <x:v>Lead-rate uplift</x:v>
      </x:c>
      <x:c r="B12" s="24" t="n">
        <x:f>H8/H7-1</x:f>
        <x:v>0.2769967966536946</x:v>
      </x:c>
      <x:c r="C12" s="17" t="str">
        <x:v>&gt; 10%</x:v>
      </x:c>
      <x:c r="D12" s="17" t="str">
        <x:v>Relative improvement in lead conversion</x:v>
      </x:c>
      <x:c r="E12" s="78"/>
      <x:c r="F12" s="78"/>
      <x:c r="G12" s="78"/>
      <x:c r="H12" s="78"/>
      <x:c r="I12" s="78"/>
      <x:c r="J12" s="78"/>
    </x:row>
    <x:row r="13">
      <x:c r="A13" s="17" t="str">
        <x:v>Absolute lift</x:v>
      </x:c>
      <x:c r="B13" s="24" t="n">
        <x:f>H8-H7</x:f>
        <x:v>0.009992006513339174</x:v>
      </x:c>
      <x:c r="C13" s="17" t="str">
        <x:v>&gt; 0</x:v>
      </x:c>
      <x:c r="D13" s="17" t="str">
        <x:v>Percentage-point improvement</x:v>
      </x:c>
      <x:c r="E13" s="78"/>
      <x:c r="F13" s="78"/>
      <x:c r="G13" s="78"/>
      <x:c r="H13" s="78"/>
      <x:c r="I13" s="78"/>
      <x:c r="J13" s="78"/>
    </x:row>
    <x:row r="14">
      <x:c r="A14" s="17" t="str">
        <x:v>Pooled lead rate</x:v>
      </x:c>
      <x:c r="B14" s="24" t="n">
        <x:f>(D7+D8)/(B7+B8)</x:f>
        <x:v>0.041176470588235294</x:v>
      </x:c>
      <x:c r="C14" s="17" t="str">
        <x:v>Reference</x:v>
      </x:c>
      <x:c r="D14" s="17" t="str">
        <x:v>Combined conversion benchmark</x:v>
      </x:c>
      <x:c r="E14" s="78"/>
      <x:c r="F14" s="78"/>
      <x:c r="G14" s="78"/>
      <x:c r="H14" s="78"/>
      <x:c r="I14" s="78"/>
      <x:c r="J14" s="78"/>
    </x:row>
    <x:row r="15">
      <x:c r="A15" s="17" t="str">
        <x:v>Standard error</x:v>
      </x:c>
      <x:c r="B15" s="24" t="n">
        <x:f>SQRT(B14*(1-B14)*(1/B7+1/B8))</x:f>
        <x:v>0.002531725425220603</x:v>
      </x:c>
      <x:c r="C15" s="17" t="str">
        <x:v>Reference</x:v>
      </x:c>
      <x:c r="D15" s="17" t="str">
        <x:v>Sampling uncertainty</x:v>
      </x:c>
      <x:c r="E15" s="78"/>
      <x:c r="F15" s="78"/>
      <x:c r="G15" s="78"/>
      <x:c r="H15" s="78"/>
      <x:c r="I15" s="78"/>
      <x:c r="J15" s="78"/>
    </x:row>
    <x:row r="16">
      <x:c r="A16" s="17" t="str">
        <x:v>Z-score</x:v>
      </x:c>
      <x:c r="B16" s="25" t="n">
        <x:f>B13/B15</x:f>
        <x:v>3.9467180815899563</x:v>
      </x:c>
      <x:c r="C16" s="17" t="str">
        <x:v>|z| ≥ 1.96</x:v>
      </x:c>
      <x:c r="D16" s="17" t="str">
        <x:v>Two-proportion comparison</x:v>
      </x:c>
      <x:c r="E16" s="78"/>
      <x:c r="F16" s="78"/>
      <x:c r="G16" s="78"/>
      <x:c r="H16" s="78"/>
      <x:c r="I16" s="78"/>
      <x:c r="J16" s="78"/>
    </x:row>
    <x:row r="17">
      <x:c r="A17" s="17" t="str">
        <x:v>Statistically significant</x:v>
      </x:c>
      <x:c r="B17" s="17" t="str">
        <x:f>IF(ABS(B16)&gt;=1.96,"Yes","No")</x:f>
        <x:v>Yes</x:v>
      </x:c>
      <x:c r="C17" s="17" t="str">
        <x:v>Yes</x:v>
      </x:c>
      <x:c r="D17" s="17" t="str">
        <x:v>95% confidence threshold</x:v>
      </x:c>
      <x:c r="E17" s="78"/>
      <x:c r="F17" s="78"/>
      <x:c r="G17" s="78"/>
      <x:c r="H17" s="78"/>
      <x:c r="I17" s="78"/>
      <x:c r="J17" s="78"/>
    </x:row>
    <x:row r="18">
      <x:c r="A18" s="17" t="str">
        <x:v>Recommended action</x:v>
      </x:c>
      <x:c r="B18" s="17" t="str">
        <x:f>IF(AND(B17="Yes",B12&gt;0),"Launch variant and monitor lead quality","Continue test before rollout")</x:f>
        <x:v>Launch variant and monitor lead quality</x:v>
      </x:c>
      <x:c r="C18" s="17" t="str">
        <x:v>Positive and significant</x:v>
      </x:c>
      <x:c r="D18" s="17" t="str">
        <x:v>Business decision rule</x:v>
      </x:c>
      <x:c r="E18" s="78"/>
      <x:c r="F18" s="78"/>
      <x:c r="G18" s="78"/>
      <x:c r="H18" s="78"/>
      <x:c r="I18" s="78"/>
      <x:c r="J18" s="78"/>
    </x:row>
    <x:row r="19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</x:row>
    <x:row r="20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</x:row>
    <x:row r="21">
      <x:c r="A21" s="13" t="str">
        <x:v>Segment</x:v>
      </x:c>
      <x:c r="B21" s="14" t="str">
        <x:v>Control Sessions</x:v>
      </x:c>
      <x:c r="C21" s="14" t="str">
        <x:v>Control Lead Rate</x:v>
      </x:c>
      <x:c r="D21" s="14" t="str">
        <x:v>Variant Sessions</x:v>
      </x:c>
      <x:c r="E21" s="14" t="str">
        <x:v>Variant Lead Rate</x:v>
      </x:c>
      <x:c r="F21" s="15" t="str">
        <x:v>Relative Uplift</x:v>
      </x:c>
      <x:c r="G21" s="78"/>
      <x:c r="H21" s="78"/>
      <x:c r="I21" s="78"/>
      <x:c r="J21" s="78"/>
    </x:row>
    <x:row r="22">
      <x:c r="A22" s="17" t="str">
        <x:v>Organic Search</x:v>
      </x:c>
      <x:c r="B22" s="17" t="n">
        <x:v>3050</x:v>
      </x:c>
      <x:c r="C22" s="21" t="n">
        <x:v>0.039</x:v>
      </x:c>
      <x:c r="D22" s="17" t="n">
        <x:v>3090</x:v>
      </x:c>
      <x:c r="E22" s="21" t="n">
        <x:v>0.05</x:v>
      </x:c>
      <x:c r="F22" s="21" t="n">
        <x:v>0.282</x:v>
      </x:c>
      <x:c r="G22" s="78"/>
      <x:c r="H22" s="78"/>
      <x:c r="I22" s="78"/>
      <x:c r="J22" s="78"/>
    </x:row>
    <x:row r="23">
      <x:c r="A23" s="17" t="str">
        <x:v>Paid Search</x:v>
      </x:c>
      <x:c r="B23" s="17" t="n">
        <x:v>2890</x:v>
      </x:c>
      <x:c r="C23" s="21" t="n">
        <x:v>0.035</x:v>
      </x:c>
      <x:c r="D23" s="17" t="n">
        <x:v>2930</x:v>
      </x:c>
      <x:c r="E23" s="21" t="n">
        <x:v>0.046</x:v>
      </x:c>
      <x:c r="F23" s="21" t="n">
        <x:v>0.314</x:v>
      </x:c>
      <x:c r="G23" s="78"/>
      <x:c r="H23" s="78"/>
      <x:c r="I23" s="78"/>
      <x:c r="J23" s="78"/>
    </x:row>
    <x:row r="24">
      <x:c r="A24" s="17" t="str">
        <x:v>LinkedIn</x:v>
      </x:c>
      <x:c r="B24" s="17" t="n">
        <x:v>2410</x:v>
      </x:c>
      <x:c r="C24" s="21" t="n">
        <x:v>0.03</x:v>
      </x:c>
      <x:c r="D24" s="17" t="n">
        <x:v>2450</x:v>
      </x:c>
      <x:c r="E24" s="21" t="n">
        <x:v>0.037</x:v>
      </x:c>
      <x:c r="F24" s="21" t="n">
        <x:v>0.233</x:v>
      </x:c>
      <x:c r="G24" s="78"/>
      <x:c r="H24" s="78"/>
      <x:c r="I24" s="78"/>
      <x:c r="J24" s="78"/>
    </x:row>
    <x:row r="25">
      <x:c r="A25" s="17" t="str">
        <x:v>Email + Referral</x:v>
      </x:c>
      <x:c r="B25" s="17" t="n">
        <x:v>3120</x:v>
      </x:c>
      <x:c r="C25" s="21" t="n">
        <x:v>0.041</x:v>
      </x:c>
      <x:c r="D25" s="17" t="n">
        <x:v>3150</x:v>
      </x:c>
      <x:c r="E25" s="21" t="n">
        <x:v>0.052</x:v>
      </x:c>
      <x:c r="F25" s="21" t="n">
        <x:v>0.268</x:v>
      </x:c>
      <x:c r="G25" s="78"/>
      <x:c r="H25" s="78"/>
      <x:c r="I25" s="78"/>
      <x:c r="J25" s="78"/>
    </x:row>
  </x:sheetData>
  <x:mergeCells>
    <x:mergeCell ref="A2:J2"/>
    <x:mergeCell ref="A3:J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83"/>
      <x:c r="B1" s="83"/>
      <x:c r="C1" s="83"/>
      <x:c r="D1" s="83"/>
      <x:c r="E1" s="83"/>
      <x:c r="F1" s="83"/>
      <x:c r="G1" s="83"/>
      <x:c r="H1" s="83"/>
      <x:c r="I1" s="83"/>
      <x:c r="J1" s="83"/>
      <x:c r="K1" s="83"/>
    </x:row>
    <x:row r="2">
      <x:c r="A2" s="2" t="str">
        <x:v>Daily A/B Test Data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</x:row>
    <x:row r="3">
      <x:c r="A3" s="79" t="str">
        <x:v>Synthetic portfolio data | 28-day experiment | Equal traffic allocation</x:v>
      </x:c>
      <x:c r="B3" s="78"/>
      <x:c r="C3" s="78"/>
      <x:c r="D3" s="78"/>
      <x:c r="E3" s="78"/>
      <x:c r="F3" s="78"/>
      <x:c r="G3" s="78"/>
      <x:c r="H3" s="78"/>
      <x:c r="I3" s="78"/>
      <x:c r="J3" s="78"/>
      <x:c r="K3" s="78"/>
    </x:row>
    <x:row r="4">
      <x:c r="A4" s="80"/>
      <x:c r="B4" s="80"/>
      <x:c r="C4" s="80"/>
      <x:c r="D4" s="80"/>
      <x:c r="E4" s="80"/>
      <x:c r="F4" s="80"/>
      <x:c r="G4" s="80"/>
      <x:c r="H4" s="80"/>
      <x:c r="I4" s="80"/>
      <x:c r="J4" s="80"/>
      <x:c r="K4" s="80"/>
    </x:row>
    <x:row r="5">
      <x:c r="A5" s="78"/>
      <x:c r="B5" s="78"/>
      <x:c r="C5" s="78"/>
      <x:c r="D5" s="78"/>
      <x:c r="E5" s="78"/>
      <x:c r="F5" s="78"/>
      <x:c r="G5" s="78"/>
      <x:c r="H5" s="78"/>
      <x:c r="I5" s="78"/>
      <x:c r="J5" s="78"/>
      <x:c r="K5" s="78"/>
    </x:row>
    <x:row r="6">
      <x:c r="A6" s="13" t="str">
        <x:v>Date</x:v>
      </x:c>
      <x:c r="B6" s="14" t="str">
        <x:v>Variant</x:v>
      </x:c>
      <x:c r="C6" s="14" t="str">
        <x:v>Sessions</x:v>
      </x:c>
      <x:c r="D6" s="14" t="str">
        <x:v>Form Starts</x:v>
      </x:c>
      <x:c r="E6" s="14" t="str">
        <x:v>Leads</x:v>
      </x:c>
      <x:c r="F6" s="14" t="str">
        <x:v>Quote Requests</x:v>
      </x:c>
      <x:c r="G6" s="14" t="str">
        <x:v>Pipeline Value</x:v>
      </x:c>
      <x:c r="H6" s="14" t="str">
        <x:v>Form Start Rate</x:v>
      </x:c>
      <x:c r="I6" s="14" t="str">
        <x:v>Lead Rate</x:v>
      </x:c>
      <x:c r="J6" s="14" t="str">
        <x:v>Quote Rate</x:v>
      </x:c>
      <x:c r="K6" s="15" t="str">
        <x:v>Pipeline / Session</x:v>
      </x:c>
    </x:row>
    <x:row r="7">
      <x:c r="A7" s="18" t="n">
        <x:v>46204</x:v>
      </x:c>
      <x:c r="B7" s="17" t="str">
        <x:v>Control</x:v>
      </x:c>
      <x:c r="C7" s="19" t="n">
        <x:v>395</x:v>
      </x:c>
      <x:c r="D7" s="19" t="n">
        <x:v>45</x:v>
      </x:c>
      <x:c r="E7" s="19" t="n">
        <x:v>14</x:v>
      </x:c>
      <x:c r="F7" s="19" t="n">
        <x:v>6</x:v>
      </x:c>
      <x:c r="G7" s="20" t="n">
        <x:v>112500</x:v>
      </x:c>
      <x:c r="H7" s="21" t="n">
        <x:f>D7/C7</x:f>
        <x:v>0.11392405063291139</x:v>
      </x:c>
      <x:c r="I7" s="21" t="n">
        <x:f>E7/C7</x:f>
        <x:v>0.035443037974683546</x:v>
      </x:c>
      <x:c r="J7" s="21" t="n">
        <x:f>F7/C7</x:f>
        <x:v>0.015189873417721518</x:v>
      </x:c>
      <x:c r="K7" s="22" t="n">
        <x:f>G7/C7</x:f>
        <x:v>284.8101265822785</x:v>
      </x:c>
    </x:row>
    <x:row r="8">
      <x:c r="A8" s="18" t="n">
        <x:v>46204</x:v>
      </x:c>
      <x:c r="B8" s="17" t="str">
        <x:v>Short Form + CTA</x:v>
      </x:c>
      <x:c r="C8" s="19" t="n">
        <x:v>414</x:v>
      </x:c>
      <x:c r="D8" s="19" t="n">
        <x:v>59</x:v>
      </x:c>
      <x:c r="E8" s="19" t="n">
        <x:v>19</x:v>
      </x:c>
      <x:c r="F8" s="19" t="n">
        <x:v>8</x:v>
      </x:c>
      <x:c r="G8" s="20" t="n">
        <x:v>152800</x:v>
      </x:c>
      <x:c r="H8" s="21" t="n">
        <x:f>D8/C8</x:f>
        <x:v>0.14251207729468598</x:v>
      </x:c>
      <x:c r="I8" s="21" t="n">
        <x:f>E8/C8</x:f>
        <x:v>0.04589371980676329</x:v>
      </x:c>
      <x:c r="J8" s="21" t="n">
        <x:f>F8/C8</x:f>
        <x:v>0.01932367149758454</x:v>
      </x:c>
      <x:c r="K8" s="22" t="n">
        <x:f>G8/C8</x:f>
        <x:v>369.0821256038647</x:v>
      </x:c>
    </x:row>
    <x:row r="9">
      <x:c r="A9" s="18" t="n">
        <x:v>46205</x:v>
      </x:c>
      <x:c r="B9" s="17" t="str">
        <x:v>Control</x:v>
      </x:c>
      <x:c r="C9" s="19" t="n">
        <x:v>432</x:v>
      </x:c>
      <x:c r="D9" s="19" t="n">
        <x:v>50</x:v>
      </x:c>
      <x:c r="E9" s="19" t="n">
        <x:v>15</x:v>
      </x:c>
      <x:c r="F9" s="19" t="n">
        <x:v>6</x:v>
      </x:c>
      <x:c r="G9" s="20" t="n">
        <x:v>112500</x:v>
      </x:c>
      <x:c r="H9" s="21" t="n">
        <x:f>D9/C9</x:f>
        <x:v>0.11574074074074074</x:v>
      </x:c>
      <x:c r="I9" s="21" t="n">
        <x:f>E9/C9</x:f>
        <x:v>0.034722222222222224</x:v>
      </x:c>
      <x:c r="J9" s="21" t="n">
        <x:f>F9/C9</x:f>
        <x:v>0.013888888888888888</x:v>
      </x:c>
      <x:c r="K9" s="22" t="n">
        <x:f>G9/C9</x:f>
        <x:v>260.4166666666667</x:v>
      </x:c>
    </x:row>
    <x:row r="10">
      <x:c r="A10" s="18" t="n">
        <x:v>46205</x:v>
      </x:c>
      <x:c r="B10" s="17" t="str">
        <x:v>Short Form + CTA</x:v>
      </x:c>
      <x:c r="C10" s="19" t="n">
        <x:v>451</x:v>
      </x:c>
      <x:c r="D10" s="19" t="n">
        <x:v>65</x:v>
      </x:c>
      <x:c r="E10" s="19" t="n">
        <x:v>20</x:v>
      </x:c>
      <x:c r="F10" s="19" t="n">
        <x:v>8</x:v>
      </x:c>
      <x:c r="G10" s="20" t="n">
        <x:v>152800</x:v>
      </x:c>
      <x:c r="H10" s="21" t="n">
        <x:f>D10/C10</x:f>
        <x:v>0.14412416851441243</x:v>
      </x:c>
      <x:c r="I10" s="21" t="n">
        <x:f>E10/C10</x:f>
        <x:v>0.04434589800443459</x:v>
      </x:c>
      <x:c r="J10" s="21" t="n">
        <x:f>F10/C10</x:f>
        <x:v>0.017738359201773836</x:v>
      </x:c>
      <x:c r="K10" s="22" t="n">
        <x:f>G10/C10</x:f>
        <x:v>338.8026607538803</x:v>
      </x:c>
    </x:row>
    <x:row r="11">
      <x:c r="A11" s="18" t="n">
        <x:v>46206</x:v>
      </x:c>
      <x:c r="B11" s="17" t="str">
        <x:v>Control</x:v>
      </x:c>
      <x:c r="C11" s="19" t="n">
        <x:v>469</x:v>
      </x:c>
      <x:c r="D11" s="19" t="n">
        <x:v>54</x:v>
      </x:c>
      <x:c r="E11" s="19" t="n">
        <x:v>17</x:v>
      </x:c>
      <x:c r="F11" s="19" t="n">
        <x:v>7</x:v>
      </x:c>
      <x:c r="G11" s="20" t="n">
        <x:v>131250</x:v>
      </x:c>
      <x:c r="H11" s="21" t="n">
        <x:f>D11/C11</x:f>
        <x:v>0.11513859275053305</x:v>
      </x:c>
      <x:c r="I11" s="21" t="n">
        <x:f>E11/C11</x:f>
        <x:v>0.03624733475479744</x:v>
      </x:c>
      <x:c r="J11" s="21" t="n">
        <x:f>F11/C11</x:f>
        <x:v>0.014925373134328358</x:v>
      </x:c>
      <x:c r="K11" s="22" t="n">
        <x:f>G11/C11</x:f>
        <x:v>279.85074626865674</x:v>
      </x:c>
    </x:row>
    <x:row r="12">
      <x:c r="A12" s="18" t="n">
        <x:v>46206</x:v>
      </x:c>
      <x:c r="B12" s="17" t="str">
        <x:v>Short Form + CTA</x:v>
      </x:c>
      <x:c r="C12" s="19" t="n">
        <x:v>488</x:v>
      </x:c>
      <x:c r="D12" s="19" t="n">
        <x:v>71</x:v>
      </x:c>
      <x:c r="E12" s="19" t="n">
        <x:v>22</x:v>
      </x:c>
      <x:c r="F12" s="19" t="n">
        <x:v>9</x:v>
      </x:c>
      <x:c r="G12" s="20" t="n">
        <x:v>171900</x:v>
      </x:c>
      <x:c r="H12" s="21" t="n">
        <x:f>D12/C12</x:f>
        <x:v>0.14549180327868852</x:v>
      </x:c>
      <x:c r="I12" s="21" t="n">
        <x:f>E12/C12</x:f>
        <x:v>0.045081967213114756</x:v>
      </x:c>
      <x:c r="J12" s="21" t="n">
        <x:f>F12/C12</x:f>
        <x:v>0.018442622950819672</x:v>
      </x:c>
      <x:c r="K12" s="22" t="n">
        <x:f>G12/C12</x:f>
        <x:v>352.25409836065575</x:v>
      </x:c>
    </x:row>
    <x:row r="13">
      <x:c r="A13" s="18" t="n">
        <x:v>46207</x:v>
      </x:c>
      <x:c r="B13" s="17" t="str">
        <x:v>Control</x:v>
      </x:c>
      <x:c r="C13" s="19" t="n">
        <x:v>395</x:v>
      </x:c>
      <x:c r="D13" s="19" t="n">
        <x:v>46</x:v>
      </x:c>
      <x:c r="E13" s="19" t="n">
        <x:v>14</x:v>
      </x:c>
      <x:c r="F13" s="19" t="n">
        <x:v>6</x:v>
      </x:c>
      <x:c r="G13" s="20" t="n">
        <x:v>112500</x:v>
      </x:c>
      <x:c r="H13" s="21" t="n">
        <x:f>D13/C13</x:f>
        <x:v>0.11645569620253164</x:v>
      </x:c>
      <x:c r="I13" s="21" t="n">
        <x:f>E13/C13</x:f>
        <x:v>0.035443037974683546</x:v>
      </x:c>
      <x:c r="J13" s="21" t="n">
        <x:f>F13/C13</x:f>
        <x:v>0.015189873417721518</x:v>
      </x:c>
      <x:c r="K13" s="22" t="n">
        <x:f>G13/C13</x:f>
        <x:v>284.8101265822785</x:v>
      </x:c>
    </x:row>
    <x:row r="14">
      <x:c r="A14" s="18" t="n">
        <x:v>46207</x:v>
      </x:c>
      <x:c r="B14" s="17" t="str">
        <x:v>Short Form + CTA</x:v>
      </x:c>
      <x:c r="C14" s="19" t="n">
        <x:v>414</x:v>
      </x:c>
      <x:c r="D14" s="19" t="n">
        <x:v>60</x:v>
      </x:c>
      <x:c r="E14" s="19" t="n">
        <x:v>19</x:v>
      </x:c>
      <x:c r="F14" s="19" t="n">
        <x:v>8</x:v>
      </x:c>
      <x:c r="G14" s="20" t="n">
        <x:v>152800</x:v>
      </x:c>
      <x:c r="H14" s="21" t="n">
        <x:f>D14/C14</x:f>
        <x:v>0.14492753623188406</x:v>
      </x:c>
      <x:c r="I14" s="21" t="n">
        <x:f>E14/C14</x:f>
        <x:v>0.04589371980676329</x:v>
      </x:c>
      <x:c r="J14" s="21" t="n">
        <x:f>F14/C14</x:f>
        <x:v>0.01932367149758454</x:v>
      </x:c>
      <x:c r="K14" s="22" t="n">
        <x:f>G14/C14</x:f>
        <x:v>369.0821256038647</x:v>
      </x:c>
    </x:row>
    <x:row r="15">
      <x:c r="A15" s="18" t="n">
        <x:v>46208</x:v>
      </x:c>
      <x:c r="B15" s="17" t="str">
        <x:v>Control</x:v>
      </x:c>
      <x:c r="C15" s="19" t="n">
        <x:v>432</x:v>
      </x:c>
      <x:c r="D15" s="19" t="n">
        <x:v>51</x:v>
      </x:c>
      <x:c r="E15" s="19" t="n">
        <x:v>16</x:v>
      </x:c>
      <x:c r="F15" s="19" t="n">
        <x:v>6</x:v>
      </x:c>
      <x:c r="G15" s="20" t="n">
        <x:v>112500</x:v>
      </x:c>
      <x:c r="H15" s="21" t="n">
        <x:f>D15/C15</x:f>
        <x:v>0.11805555555555555</x:v>
      </x:c>
      <x:c r="I15" s="21" t="n">
        <x:f>E15/C15</x:f>
        <x:v>0.037037037037037035</x:v>
      </x:c>
      <x:c r="J15" s="21" t="n">
        <x:f>F15/C15</x:f>
        <x:v>0.013888888888888888</x:v>
      </x:c>
      <x:c r="K15" s="22" t="n">
        <x:f>G15/C15</x:f>
        <x:v>260.4166666666667</x:v>
      </x:c>
    </x:row>
    <x:row r="16">
      <x:c r="A16" s="18" t="n">
        <x:v>46208</x:v>
      </x:c>
      <x:c r="B16" s="17" t="str">
        <x:v>Short Form + CTA</x:v>
      </x:c>
      <x:c r="C16" s="19" t="n">
        <x:v>451</x:v>
      </x:c>
      <x:c r="D16" s="19" t="n">
        <x:v>66</x:v>
      </x:c>
      <x:c r="E16" s="19" t="n">
        <x:v>21</x:v>
      </x:c>
      <x:c r="F16" s="19" t="n">
        <x:v>9</x:v>
      </x:c>
      <x:c r="G16" s="20" t="n">
        <x:v>171900</x:v>
      </x:c>
      <x:c r="H16" s="21" t="n">
        <x:f>D16/C16</x:f>
        <x:v>0.14634146341463414</x:v>
      </x:c>
      <x:c r="I16" s="21" t="n">
        <x:f>E16/C16</x:f>
        <x:v>0.04656319290465632</x:v>
      </x:c>
      <x:c r="J16" s="21" t="n">
        <x:f>F16/C16</x:f>
        <x:v>0.019955654101995565</x:v>
      </x:c>
      <x:c r="K16" s="22" t="n">
        <x:f>G16/C16</x:f>
        <x:v>381.1529933481153</x:v>
      </x:c>
    </x:row>
    <x:row r="17">
      <x:c r="A17" s="18" t="n">
        <x:v>46209</x:v>
      </x:c>
      <x:c r="B17" s="17" t="str">
        <x:v>Control</x:v>
      </x:c>
      <x:c r="C17" s="19" t="n">
        <x:v>469</x:v>
      </x:c>
      <x:c r="D17" s="19" t="n">
        <x:v>53</x:v>
      </x:c>
      <x:c r="E17" s="19" t="n">
        <x:v>17</x:v>
      </x:c>
      <x:c r="F17" s="19" t="n">
        <x:v>7</x:v>
      </x:c>
      <x:c r="G17" s="20" t="n">
        <x:v>131250</x:v>
      </x:c>
      <x:c r="H17" s="21" t="n">
        <x:f>D17/C17</x:f>
        <x:v>0.11300639658848614</x:v>
      </x:c>
      <x:c r="I17" s="21" t="n">
        <x:f>E17/C17</x:f>
        <x:v>0.03624733475479744</x:v>
      </x:c>
      <x:c r="J17" s="21" t="n">
        <x:f>F17/C17</x:f>
        <x:v>0.014925373134328358</x:v>
      </x:c>
      <x:c r="K17" s="22" t="n">
        <x:f>G17/C17</x:f>
        <x:v>279.85074626865674</x:v>
      </x:c>
    </x:row>
    <x:row r="18">
      <x:c r="A18" s="18" t="n">
        <x:v>46209</x:v>
      </x:c>
      <x:c r="B18" s="17" t="str">
        <x:v>Short Form + CTA</x:v>
      </x:c>
      <x:c r="C18" s="19" t="n">
        <x:v>488</x:v>
      </x:c>
      <x:c r="D18" s="19" t="n">
        <x:v>70</x:v>
      </x:c>
      <x:c r="E18" s="19" t="n">
        <x:v>23</x:v>
      </x:c>
      <x:c r="F18" s="19" t="n">
        <x:v>10</x:v>
      </x:c>
      <x:c r="G18" s="20" t="n">
        <x:v>191000</x:v>
      </x:c>
      <x:c r="H18" s="21" t="n">
        <x:f>D18/C18</x:f>
        <x:v>0.14344262295081966</x:v>
      </x:c>
      <x:c r="I18" s="21" t="n">
        <x:f>E18/C18</x:f>
        <x:v>0.0471311475409836</x:v>
      </x:c>
      <x:c r="J18" s="21" t="n">
        <x:f>F18/C18</x:f>
        <x:v>0.020491803278688523</x:v>
      </x:c>
      <x:c r="K18" s="22" t="n">
        <x:f>G18/C18</x:f>
        <x:v>391.39344262295083</x:v>
      </x:c>
    </x:row>
    <x:row r="19">
      <x:c r="A19" s="18" t="n">
        <x:v>46210</x:v>
      </x:c>
      <x:c r="B19" s="17" t="str">
        <x:v>Control</x:v>
      </x:c>
      <x:c r="C19" s="19" t="n">
        <x:v>395</x:v>
      </x:c>
      <x:c r="D19" s="19" t="n">
        <x:v>45</x:v>
      </x:c>
      <x:c r="E19" s="19" t="n">
        <x:v>15</x:v>
      </x:c>
      <x:c r="F19" s="19" t="n">
        <x:v>6</x:v>
      </x:c>
      <x:c r="G19" s="20" t="n">
        <x:v>112500</x:v>
      </x:c>
      <x:c r="H19" s="21" t="n">
        <x:f>D19/C19</x:f>
        <x:v>0.11392405063291139</x:v>
      </x:c>
      <x:c r="I19" s="21" t="n">
        <x:f>E19/C19</x:f>
        <x:v>0.0379746835443038</x:v>
      </x:c>
      <x:c r="J19" s="21" t="n">
        <x:f>F19/C19</x:f>
        <x:v>0.015189873417721518</x:v>
      </x:c>
      <x:c r="K19" s="22" t="n">
        <x:f>G19/C19</x:f>
        <x:v>284.8101265822785</x:v>
      </x:c>
    </x:row>
    <x:row r="20">
      <x:c r="A20" s="18" t="n">
        <x:v>46210</x:v>
      </x:c>
      <x:c r="B20" s="17" t="str">
        <x:v>Short Form + CTA</x:v>
      </x:c>
      <x:c r="C20" s="19" t="n">
        <x:v>414</x:v>
      </x:c>
      <x:c r="D20" s="19" t="n">
        <x:v>60</x:v>
      </x:c>
      <x:c r="E20" s="19" t="n">
        <x:v>20</x:v>
      </x:c>
      <x:c r="F20" s="19" t="n">
        <x:v>8</x:v>
      </x:c>
      <x:c r="G20" s="20" t="n">
        <x:v>152800</x:v>
      </x:c>
      <x:c r="H20" s="21" t="n">
        <x:f>D20/C20</x:f>
        <x:v>0.14492753623188406</x:v>
      </x:c>
      <x:c r="I20" s="21" t="n">
        <x:f>E20/C20</x:f>
        <x:v>0.04830917874396135</x:v>
      </x:c>
      <x:c r="J20" s="21" t="n">
        <x:f>F20/C20</x:f>
        <x:v>0.01932367149758454</x:v>
      </x:c>
      <x:c r="K20" s="22" t="n">
        <x:f>G20/C20</x:f>
        <x:v>369.0821256038647</x:v>
      </x:c>
    </x:row>
    <x:row r="21">
      <x:c r="A21" s="18" t="n">
        <x:v>46211</x:v>
      </x:c>
      <x:c r="B21" s="17" t="str">
        <x:v>Control</x:v>
      </x:c>
      <x:c r="C21" s="19" t="n">
        <x:v>432</x:v>
      </x:c>
      <x:c r="D21" s="19" t="n">
        <x:v>50</x:v>
      </x:c>
      <x:c r="E21" s="19" t="n">
        <x:v>15</x:v>
      </x:c>
      <x:c r="F21" s="19" t="n">
        <x:v>6</x:v>
      </x:c>
      <x:c r="G21" s="20" t="n">
        <x:v>112500</x:v>
      </x:c>
      <x:c r="H21" s="21" t="n">
        <x:f>D21/C21</x:f>
        <x:v>0.11574074074074074</x:v>
      </x:c>
      <x:c r="I21" s="21" t="n">
        <x:f>E21/C21</x:f>
        <x:v>0.034722222222222224</x:v>
      </x:c>
      <x:c r="J21" s="21" t="n">
        <x:f>F21/C21</x:f>
        <x:v>0.013888888888888888</x:v>
      </x:c>
      <x:c r="K21" s="22" t="n">
        <x:f>G21/C21</x:f>
        <x:v>260.4166666666667</x:v>
      </x:c>
    </x:row>
    <x:row r="22">
      <x:c r="A22" s="18" t="n">
        <x:v>46211</x:v>
      </x:c>
      <x:c r="B22" s="17" t="str">
        <x:v>Short Form + CTA</x:v>
      </x:c>
      <x:c r="C22" s="19" t="n">
        <x:v>451</x:v>
      </x:c>
      <x:c r="D22" s="19" t="n">
        <x:v>65</x:v>
      </x:c>
      <x:c r="E22" s="19" t="n">
        <x:v>20</x:v>
      </x:c>
      <x:c r="F22" s="19" t="n">
        <x:v>8</x:v>
      </x:c>
      <x:c r="G22" s="20" t="n">
        <x:v>152800</x:v>
      </x:c>
      <x:c r="H22" s="21" t="n">
        <x:f>D22/C22</x:f>
        <x:v>0.14412416851441243</x:v>
      </x:c>
      <x:c r="I22" s="21" t="n">
        <x:f>E22/C22</x:f>
        <x:v>0.04434589800443459</x:v>
      </x:c>
      <x:c r="J22" s="21" t="n">
        <x:f>F22/C22</x:f>
        <x:v>0.017738359201773836</x:v>
      </x:c>
      <x:c r="K22" s="22" t="n">
        <x:f>G22/C22</x:f>
        <x:v>338.8026607538803</x:v>
      </x:c>
    </x:row>
    <x:row r="23">
      <x:c r="A23" s="18" t="n">
        <x:v>46212</x:v>
      </x:c>
      <x:c r="B23" s="17" t="str">
        <x:v>Control</x:v>
      </x:c>
      <x:c r="C23" s="19" t="n">
        <x:v>469</x:v>
      </x:c>
      <x:c r="D23" s="19" t="n">
        <x:v>55</x:v>
      </x:c>
      <x:c r="E23" s="19" t="n">
        <x:v>17</x:v>
      </x:c>
      <x:c r="F23" s="19" t="n">
        <x:v>7</x:v>
      </x:c>
      <x:c r="G23" s="20" t="n">
        <x:v>131250</x:v>
      </x:c>
      <x:c r="H23" s="21" t="n">
        <x:f>D23/C23</x:f>
        <x:v>0.11727078891257996</x:v>
      </x:c>
      <x:c r="I23" s="21" t="n">
        <x:f>E23/C23</x:f>
        <x:v>0.03624733475479744</x:v>
      </x:c>
      <x:c r="J23" s="21" t="n">
        <x:f>F23/C23</x:f>
        <x:v>0.014925373134328358</x:v>
      </x:c>
      <x:c r="K23" s="22" t="n">
        <x:f>G23/C23</x:f>
        <x:v>279.85074626865674</x:v>
      </x:c>
    </x:row>
    <x:row r="24">
      <x:c r="A24" s="18" t="n">
        <x:v>46212</x:v>
      </x:c>
      <x:c r="B24" s="17" t="str">
        <x:v>Short Form + CTA</x:v>
      </x:c>
      <x:c r="C24" s="19" t="n">
        <x:v>488</x:v>
      </x:c>
      <x:c r="D24" s="19" t="n">
        <x:v>71</x:v>
      </x:c>
      <x:c r="E24" s="19" t="n">
        <x:v>22</x:v>
      </x:c>
      <x:c r="F24" s="19" t="n">
        <x:v>9</x:v>
      </x:c>
      <x:c r="G24" s="20" t="n">
        <x:v>171900</x:v>
      </x:c>
      <x:c r="H24" s="21" t="n">
        <x:f>D24/C24</x:f>
        <x:v>0.14549180327868852</x:v>
      </x:c>
      <x:c r="I24" s="21" t="n">
        <x:f>E24/C24</x:f>
        <x:v>0.045081967213114756</x:v>
      </x:c>
      <x:c r="J24" s="21" t="n">
        <x:f>F24/C24</x:f>
        <x:v>0.018442622950819672</x:v>
      </x:c>
      <x:c r="K24" s="22" t="n">
        <x:f>G24/C24</x:f>
        <x:v>352.25409836065575</x:v>
      </x:c>
    </x:row>
    <x:row r="25">
      <x:c r="A25" s="18" t="n">
        <x:v>46213</x:v>
      </x:c>
      <x:c r="B25" s="17" t="str">
        <x:v>Control</x:v>
      </x:c>
      <x:c r="C25" s="19" t="n">
        <x:v>395</x:v>
      </x:c>
      <x:c r="D25" s="19" t="n">
        <x:v>47</x:v>
      </x:c>
      <x:c r="E25" s="19" t="n">
        <x:v>14</x:v>
      </x:c>
      <x:c r="F25" s="19" t="n">
        <x:v>6</x:v>
      </x:c>
      <x:c r="G25" s="20" t="n">
        <x:v>112500</x:v>
      </x:c>
      <x:c r="H25" s="21" t="n">
        <x:f>D25/C25</x:f>
        <x:v>0.1189873417721519</x:v>
      </x:c>
      <x:c r="I25" s="21" t="n">
        <x:f>E25/C25</x:f>
        <x:v>0.035443037974683546</x:v>
      </x:c>
      <x:c r="J25" s="21" t="n">
        <x:f>F25/C25</x:f>
        <x:v>0.015189873417721518</x:v>
      </x:c>
      <x:c r="K25" s="22" t="n">
        <x:f>G25/C25</x:f>
        <x:v>284.8101265822785</x:v>
      </x:c>
    </x:row>
    <x:row r="26">
      <x:c r="A26" s="18" t="n">
        <x:v>46213</x:v>
      </x:c>
      <x:c r="B26" s="17" t="str">
        <x:v>Short Form + CTA</x:v>
      </x:c>
      <x:c r="C26" s="19" t="n">
        <x:v>414</x:v>
      </x:c>
      <x:c r="D26" s="19" t="n">
        <x:v>61</x:v>
      </x:c>
      <x:c r="E26" s="19" t="n">
        <x:v>19</x:v>
      </x:c>
      <x:c r="F26" s="19" t="n">
        <x:v>8</x:v>
      </x:c>
      <x:c r="G26" s="20" t="n">
        <x:v>152800</x:v>
      </x:c>
      <x:c r="H26" s="21" t="n">
        <x:f>D26/C26</x:f>
        <x:v>0.1473429951690821</x:v>
      </x:c>
      <x:c r="I26" s="21" t="n">
        <x:f>E26/C26</x:f>
        <x:v>0.04589371980676329</x:v>
      </x:c>
      <x:c r="J26" s="21" t="n">
        <x:f>F26/C26</x:f>
        <x:v>0.01932367149758454</x:v>
      </x:c>
      <x:c r="K26" s="22" t="n">
        <x:f>G26/C26</x:f>
        <x:v>369.0821256038647</x:v>
      </x:c>
    </x:row>
    <x:row r="27">
      <x:c r="A27" s="18" t="n">
        <x:v>46214</x:v>
      </x:c>
      <x:c r="B27" s="17" t="str">
        <x:v>Control</x:v>
      </x:c>
      <x:c r="C27" s="19" t="n">
        <x:v>432</x:v>
      </x:c>
      <x:c r="D27" s="19" t="n">
        <x:v>49</x:v>
      </x:c>
      <x:c r="E27" s="19" t="n">
        <x:v>16</x:v>
      </x:c>
      <x:c r="F27" s="19" t="n">
        <x:v>6</x:v>
      </x:c>
      <x:c r="G27" s="20" t="n">
        <x:v>112500</x:v>
      </x:c>
      <x:c r="H27" s="21" t="n">
        <x:f>D27/C27</x:f>
        <x:v>0.11342592592592593</x:v>
      </x:c>
      <x:c r="I27" s="21" t="n">
        <x:f>E27/C27</x:f>
        <x:v>0.037037037037037035</x:v>
      </x:c>
      <x:c r="J27" s="21" t="n">
        <x:f>F27/C27</x:f>
        <x:v>0.013888888888888888</x:v>
      </x:c>
      <x:c r="K27" s="22" t="n">
        <x:f>G27/C27</x:f>
        <x:v>260.4166666666667</x:v>
      </x:c>
    </x:row>
    <x:row r="28">
      <x:c r="A28" s="18" t="n">
        <x:v>46214</x:v>
      </x:c>
      <x:c r="B28" s="17" t="str">
        <x:v>Short Form + CTA</x:v>
      </x:c>
      <x:c r="C28" s="19" t="n">
        <x:v>451</x:v>
      </x:c>
      <x:c r="D28" s="19" t="n">
        <x:v>64</x:v>
      </x:c>
      <x:c r="E28" s="19" t="n">
        <x:v>21</x:v>
      </x:c>
      <x:c r="F28" s="19" t="n">
        <x:v>9</x:v>
      </x:c>
      <x:c r="G28" s="20" t="n">
        <x:v>171900</x:v>
      </x:c>
      <x:c r="H28" s="21" t="n">
        <x:f>D28/C28</x:f>
        <x:v>0.1419068736141907</x:v>
      </x:c>
      <x:c r="I28" s="21" t="n">
        <x:f>E28/C28</x:f>
        <x:v>0.04656319290465632</x:v>
      </x:c>
      <x:c r="J28" s="21" t="n">
        <x:f>F28/C28</x:f>
        <x:v>0.019955654101995565</x:v>
      </x:c>
      <x:c r="K28" s="22" t="n">
        <x:f>G28/C28</x:f>
        <x:v>381.1529933481153</x:v>
      </x:c>
    </x:row>
    <x:row r="29">
      <x:c r="A29" s="18" t="n">
        <x:v>46215</x:v>
      </x:c>
      <x:c r="B29" s="17" t="str">
        <x:v>Control</x:v>
      </x:c>
      <x:c r="C29" s="19" t="n">
        <x:v>469</x:v>
      </x:c>
      <x:c r="D29" s="19" t="n">
        <x:v>54</x:v>
      </x:c>
      <x:c r="E29" s="19" t="n">
        <x:v>17</x:v>
      </x:c>
      <x:c r="F29" s="19" t="n">
        <x:v>7</x:v>
      </x:c>
      <x:c r="G29" s="20" t="n">
        <x:v>131250</x:v>
      </x:c>
      <x:c r="H29" s="21" t="n">
        <x:f>D29/C29</x:f>
        <x:v>0.11513859275053305</x:v>
      </x:c>
      <x:c r="I29" s="21" t="n">
        <x:f>E29/C29</x:f>
        <x:v>0.03624733475479744</x:v>
      </x:c>
      <x:c r="J29" s="21" t="n">
        <x:f>F29/C29</x:f>
        <x:v>0.014925373134328358</x:v>
      </x:c>
      <x:c r="K29" s="22" t="n">
        <x:f>G29/C29</x:f>
        <x:v>279.85074626865674</x:v>
      </x:c>
    </x:row>
    <x:row r="30">
      <x:c r="A30" s="18" t="n">
        <x:v>46215</x:v>
      </x:c>
      <x:c r="B30" s="17" t="str">
        <x:v>Short Form + CTA</x:v>
      </x:c>
      <x:c r="C30" s="19" t="n">
        <x:v>488</x:v>
      </x:c>
      <x:c r="D30" s="19" t="n">
        <x:v>70</x:v>
      </x:c>
      <x:c r="E30" s="19" t="n">
        <x:v>23</x:v>
      </x:c>
      <x:c r="F30" s="19" t="n">
        <x:v>10</x:v>
      </x:c>
      <x:c r="G30" s="20" t="n">
        <x:v>191000</x:v>
      </x:c>
      <x:c r="H30" s="21" t="n">
        <x:f>D30/C30</x:f>
        <x:v>0.14344262295081966</x:v>
      </x:c>
      <x:c r="I30" s="21" t="n">
        <x:f>E30/C30</x:f>
        <x:v>0.0471311475409836</x:v>
      </x:c>
      <x:c r="J30" s="21" t="n">
        <x:f>F30/C30</x:f>
        <x:v>0.020491803278688523</x:v>
      </x:c>
      <x:c r="K30" s="22" t="n">
        <x:f>G30/C30</x:f>
        <x:v>391.39344262295083</x:v>
      </x:c>
    </x:row>
    <x:row r="31">
      <x:c r="A31" s="18" t="n">
        <x:v>46216</x:v>
      </x:c>
      <x:c r="B31" s="17" t="str">
        <x:v>Control</x:v>
      </x:c>
      <x:c r="C31" s="19" t="n">
        <x:v>395</x:v>
      </x:c>
      <x:c r="D31" s="19" t="n">
        <x:v>46</x:v>
      </x:c>
      <x:c r="E31" s="19" t="n">
        <x:v>15</x:v>
      </x:c>
      <x:c r="F31" s="19" t="n">
        <x:v>6</x:v>
      </x:c>
      <x:c r="G31" s="20" t="n">
        <x:v>112500</x:v>
      </x:c>
      <x:c r="H31" s="21" t="n">
        <x:f>D31/C31</x:f>
        <x:v>0.11645569620253164</x:v>
      </x:c>
      <x:c r="I31" s="21" t="n">
        <x:f>E31/C31</x:f>
        <x:v>0.0379746835443038</x:v>
      </x:c>
      <x:c r="J31" s="21" t="n">
        <x:f>F31/C31</x:f>
        <x:v>0.015189873417721518</x:v>
      </x:c>
      <x:c r="K31" s="22" t="n">
        <x:f>G31/C31</x:f>
        <x:v>284.8101265822785</x:v>
      </x:c>
    </x:row>
    <x:row r="32">
      <x:c r="A32" s="18" t="n">
        <x:v>46216</x:v>
      </x:c>
      <x:c r="B32" s="17" t="str">
        <x:v>Short Form + CTA</x:v>
      </x:c>
      <x:c r="C32" s="19" t="n">
        <x:v>414</x:v>
      </x:c>
      <x:c r="D32" s="19" t="n">
        <x:v>60</x:v>
      </x:c>
      <x:c r="E32" s="19" t="n">
        <x:v>19</x:v>
      </x:c>
      <x:c r="F32" s="19" t="n">
        <x:v>8</x:v>
      </x:c>
      <x:c r="G32" s="20" t="n">
        <x:v>152800</x:v>
      </x:c>
      <x:c r="H32" s="21" t="n">
        <x:f>D32/C32</x:f>
        <x:v>0.14492753623188406</x:v>
      </x:c>
      <x:c r="I32" s="21" t="n">
        <x:f>E32/C32</x:f>
        <x:v>0.04589371980676329</x:v>
      </x:c>
      <x:c r="J32" s="21" t="n">
        <x:f>F32/C32</x:f>
        <x:v>0.01932367149758454</x:v>
      </x:c>
      <x:c r="K32" s="22" t="n">
        <x:f>G32/C32</x:f>
        <x:v>369.0821256038647</x:v>
      </x:c>
    </x:row>
    <x:row r="33">
      <x:c r="A33" s="18" t="n">
        <x:v>46217</x:v>
      </x:c>
      <x:c r="B33" s="17" t="str">
        <x:v>Control</x:v>
      </x:c>
      <x:c r="C33" s="19" t="n">
        <x:v>432</x:v>
      </x:c>
      <x:c r="D33" s="19" t="n">
        <x:v>51</x:v>
      </x:c>
      <x:c r="E33" s="19" t="n">
        <x:v>16</x:v>
      </x:c>
      <x:c r="F33" s="19" t="n">
        <x:v>6</x:v>
      </x:c>
      <x:c r="G33" s="20" t="n">
        <x:v>112500</x:v>
      </x:c>
      <x:c r="H33" s="21" t="n">
        <x:f>D33/C33</x:f>
        <x:v>0.11805555555555555</x:v>
      </x:c>
      <x:c r="I33" s="21" t="n">
        <x:f>E33/C33</x:f>
        <x:v>0.037037037037037035</x:v>
      </x:c>
      <x:c r="J33" s="21" t="n">
        <x:f>F33/C33</x:f>
        <x:v>0.013888888888888888</x:v>
      </x:c>
      <x:c r="K33" s="22" t="n">
        <x:f>G33/C33</x:f>
        <x:v>260.4166666666667</x:v>
      </x:c>
    </x:row>
    <x:row r="34">
      <x:c r="A34" s="18" t="n">
        <x:v>46217</x:v>
      </x:c>
      <x:c r="B34" s="17" t="str">
        <x:v>Short Form + CTA</x:v>
      </x:c>
      <x:c r="C34" s="19" t="n">
        <x:v>451</x:v>
      </x:c>
      <x:c r="D34" s="19" t="n">
        <x:v>66</x:v>
      </x:c>
      <x:c r="E34" s="19" t="n">
        <x:v>21</x:v>
      </x:c>
      <x:c r="F34" s="19" t="n">
        <x:v>9</x:v>
      </x:c>
      <x:c r="G34" s="20" t="n">
        <x:v>171900</x:v>
      </x:c>
      <x:c r="H34" s="21" t="n">
        <x:f>D34/C34</x:f>
        <x:v>0.14634146341463414</x:v>
      </x:c>
      <x:c r="I34" s="21" t="n">
        <x:f>E34/C34</x:f>
        <x:v>0.04656319290465632</x:v>
      </x:c>
      <x:c r="J34" s="21" t="n">
        <x:f>F34/C34</x:f>
        <x:v>0.019955654101995565</x:v>
      </x:c>
      <x:c r="K34" s="22" t="n">
        <x:f>G34/C34</x:f>
        <x:v>381.1529933481153</x:v>
      </x:c>
    </x:row>
    <x:row r="35">
      <x:c r="A35" s="18" t="n">
        <x:v>46218</x:v>
      </x:c>
      <x:c r="B35" s="17" t="str">
        <x:v>Control</x:v>
      </x:c>
      <x:c r="C35" s="19" t="n">
        <x:v>469</x:v>
      </x:c>
      <x:c r="D35" s="19" t="n">
        <x:v>55</x:v>
      </x:c>
      <x:c r="E35" s="19" t="n">
        <x:v>16</x:v>
      </x:c>
      <x:c r="F35" s="19" t="n">
        <x:v>6</x:v>
      </x:c>
      <x:c r="G35" s="20" t="n">
        <x:v>112500</x:v>
      </x:c>
      <x:c r="H35" s="21" t="n">
        <x:f>D35/C35</x:f>
        <x:v>0.11727078891257996</x:v>
      </x:c>
      <x:c r="I35" s="21" t="n">
        <x:f>E35/C35</x:f>
        <x:v>0.03411513859275053</x:v>
      </x:c>
      <x:c r="J35" s="21" t="n">
        <x:f>F35/C35</x:f>
        <x:v>0.01279317697228145</x:v>
      </x:c>
      <x:c r="K35" s="22" t="n">
        <x:f>G35/C35</x:f>
        <x:v>239.8720682302772</x:v>
      </x:c>
    </x:row>
    <x:row r="36">
      <x:c r="A36" s="18" t="n">
        <x:v>46218</x:v>
      </x:c>
      <x:c r="B36" s="17" t="str">
        <x:v>Short Form + CTA</x:v>
      </x:c>
      <x:c r="C36" s="19" t="n">
        <x:v>488</x:v>
      </x:c>
      <x:c r="D36" s="19" t="n">
        <x:v>72</x:v>
      </x:c>
      <x:c r="E36" s="19" t="n">
        <x:v>22</x:v>
      </x:c>
      <x:c r="F36" s="19" t="n">
        <x:v>9</x:v>
      </x:c>
      <x:c r="G36" s="20" t="n">
        <x:v>171900</x:v>
      </x:c>
      <x:c r="H36" s="21" t="n">
        <x:f>D36/C36</x:f>
        <x:v>0.14754098360655737</x:v>
      </x:c>
      <x:c r="I36" s="21" t="n">
        <x:f>E36/C36</x:f>
        <x:v>0.045081967213114756</x:v>
      </x:c>
      <x:c r="J36" s="21" t="n">
        <x:f>F36/C36</x:f>
        <x:v>0.018442622950819672</x:v>
      </x:c>
      <x:c r="K36" s="22" t="n">
        <x:f>G36/C36</x:f>
        <x:v>352.25409836065575</x:v>
      </x:c>
    </x:row>
    <x:row r="37">
      <x:c r="A37" s="18" t="n">
        <x:v>46219</x:v>
      </x:c>
      <x:c r="B37" s="17" t="str">
        <x:v>Control</x:v>
      </x:c>
      <x:c r="C37" s="19" t="n">
        <x:v>395</x:v>
      </x:c>
      <x:c r="D37" s="19" t="n">
        <x:v>45</x:v>
      </x:c>
      <x:c r="E37" s="19" t="n">
        <x:v>14</x:v>
      </x:c>
      <x:c r="F37" s="19" t="n">
        <x:v>6</x:v>
      </x:c>
      <x:c r="G37" s="20" t="n">
        <x:v>112500</x:v>
      </x:c>
      <x:c r="H37" s="21" t="n">
        <x:f>D37/C37</x:f>
        <x:v>0.11392405063291139</x:v>
      </x:c>
      <x:c r="I37" s="21" t="n">
        <x:f>E37/C37</x:f>
        <x:v>0.035443037974683546</x:v>
      </x:c>
      <x:c r="J37" s="21" t="n">
        <x:f>F37/C37</x:f>
        <x:v>0.015189873417721518</x:v>
      </x:c>
      <x:c r="K37" s="22" t="n">
        <x:f>G37/C37</x:f>
        <x:v>284.8101265822785</x:v>
      </x:c>
    </x:row>
    <x:row r="38">
      <x:c r="A38" s="18" t="n">
        <x:v>46219</x:v>
      </x:c>
      <x:c r="B38" s="17" t="str">
        <x:v>Short Form + CTA</x:v>
      </x:c>
      <x:c r="C38" s="19" t="n">
        <x:v>414</x:v>
      </x:c>
      <x:c r="D38" s="19" t="n">
        <x:v>59</x:v>
      </x:c>
      <x:c r="E38" s="19" t="n">
        <x:v>19</x:v>
      </x:c>
      <x:c r="F38" s="19" t="n">
        <x:v>8</x:v>
      </x:c>
      <x:c r="G38" s="20" t="n">
        <x:v>152800</x:v>
      </x:c>
      <x:c r="H38" s="21" t="n">
        <x:f>D38/C38</x:f>
        <x:v>0.14251207729468598</x:v>
      </x:c>
      <x:c r="I38" s="21" t="n">
        <x:f>E38/C38</x:f>
        <x:v>0.04589371980676329</x:v>
      </x:c>
      <x:c r="J38" s="21" t="n">
        <x:f>F38/C38</x:f>
        <x:v>0.01932367149758454</x:v>
      </x:c>
      <x:c r="K38" s="22" t="n">
        <x:f>G38/C38</x:f>
        <x:v>369.0821256038647</x:v>
      </x:c>
    </x:row>
    <x:row r="39">
      <x:c r="A39" s="18" t="n">
        <x:v>46220</x:v>
      </x:c>
      <x:c r="B39" s="17" t="str">
        <x:v>Control</x:v>
      </x:c>
      <x:c r="C39" s="19" t="n">
        <x:v>432</x:v>
      </x:c>
      <x:c r="D39" s="19" t="n">
        <x:v>50</x:v>
      </x:c>
      <x:c r="E39" s="19" t="n">
        <x:v>15</x:v>
      </x:c>
      <x:c r="F39" s="19" t="n">
        <x:v>6</x:v>
      </x:c>
      <x:c r="G39" s="20" t="n">
        <x:v>112500</x:v>
      </x:c>
      <x:c r="H39" s="21" t="n">
        <x:f>D39/C39</x:f>
        <x:v>0.11574074074074074</x:v>
      </x:c>
      <x:c r="I39" s="21" t="n">
        <x:f>E39/C39</x:f>
        <x:v>0.034722222222222224</x:v>
      </x:c>
      <x:c r="J39" s="21" t="n">
        <x:f>F39/C39</x:f>
        <x:v>0.013888888888888888</x:v>
      </x:c>
      <x:c r="K39" s="22" t="n">
        <x:f>G39/C39</x:f>
        <x:v>260.4166666666667</x:v>
      </x:c>
    </x:row>
    <x:row r="40">
      <x:c r="A40" s="18" t="n">
        <x:v>46220</x:v>
      </x:c>
      <x:c r="B40" s="17" t="str">
        <x:v>Short Form + CTA</x:v>
      </x:c>
      <x:c r="C40" s="19" t="n">
        <x:v>451</x:v>
      </x:c>
      <x:c r="D40" s="19" t="n">
        <x:v>65</x:v>
      </x:c>
      <x:c r="E40" s="19" t="n">
        <x:v>21</x:v>
      </x:c>
      <x:c r="F40" s="19" t="n">
        <x:v>9</x:v>
      </x:c>
      <x:c r="G40" s="20" t="n">
        <x:v>171900</x:v>
      </x:c>
      <x:c r="H40" s="21" t="n">
        <x:f>D40/C40</x:f>
        <x:v>0.14412416851441243</x:v>
      </x:c>
      <x:c r="I40" s="21" t="n">
        <x:f>E40/C40</x:f>
        <x:v>0.04656319290465632</x:v>
      </x:c>
      <x:c r="J40" s="21" t="n">
        <x:f>F40/C40</x:f>
        <x:v>0.019955654101995565</x:v>
      </x:c>
      <x:c r="K40" s="22" t="n">
        <x:f>G40/C40</x:f>
        <x:v>381.1529933481153</x:v>
      </x:c>
    </x:row>
    <x:row r="41">
      <x:c r="A41" s="18" t="n">
        <x:v>46221</x:v>
      </x:c>
      <x:c r="B41" s="17" t="str">
        <x:v>Control</x:v>
      </x:c>
      <x:c r="C41" s="19" t="n">
        <x:v>469</x:v>
      </x:c>
      <x:c r="D41" s="19" t="n">
        <x:v>54</x:v>
      </x:c>
      <x:c r="E41" s="19" t="n">
        <x:v>17</x:v>
      </x:c>
      <x:c r="F41" s="19" t="n">
        <x:v>7</x:v>
      </x:c>
      <x:c r="G41" s="20" t="n">
        <x:v>131250</x:v>
      </x:c>
      <x:c r="H41" s="21" t="n">
        <x:f>D41/C41</x:f>
        <x:v>0.11513859275053305</x:v>
      </x:c>
      <x:c r="I41" s="21" t="n">
        <x:f>E41/C41</x:f>
        <x:v>0.03624733475479744</x:v>
      </x:c>
      <x:c r="J41" s="21" t="n">
        <x:f>F41/C41</x:f>
        <x:v>0.014925373134328358</x:v>
      </x:c>
      <x:c r="K41" s="22" t="n">
        <x:f>G41/C41</x:f>
        <x:v>279.85074626865674</x:v>
      </x:c>
    </x:row>
    <x:row r="42">
      <x:c r="A42" s="18" t="n">
        <x:v>46221</x:v>
      </x:c>
      <x:c r="B42" s="17" t="str">
        <x:v>Short Form + CTA</x:v>
      </x:c>
      <x:c r="C42" s="19" t="n">
        <x:v>488</x:v>
      </x:c>
      <x:c r="D42" s="19" t="n">
        <x:v>71</x:v>
      </x:c>
      <x:c r="E42" s="19" t="n">
        <x:v>22</x:v>
      </x:c>
      <x:c r="F42" s="19" t="n">
        <x:v>9</x:v>
      </x:c>
      <x:c r="G42" s="20" t="n">
        <x:v>171900</x:v>
      </x:c>
      <x:c r="H42" s="21" t="n">
        <x:f>D42/C42</x:f>
        <x:v>0.14549180327868852</x:v>
      </x:c>
      <x:c r="I42" s="21" t="n">
        <x:f>E42/C42</x:f>
        <x:v>0.045081967213114756</x:v>
      </x:c>
      <x:c r="J42" s="21" t="n">
        <x:f>F42/C42</x:f>
        <x:v>0.018442622950819672</x:v>
      </x:c>
      <x:c r="K42" s="22" t="n">
        <x:f>G42/C42</x:f>
        <x:v>352.25409836065575</x:v>
      </x:c>
    </x:row>
    <x:row r="43">
      <x:c r="A43" s="18" t="n">
        <x:v>46222</x:v>
      </x:c>
      <x:c r="B43" s="17" t="str">
        <x:v>Control</x:v>
      </x:c>
      <x:c r="C43" s="19" t="n">
        <x:v>395</x:v>
      </x:c>
      <x:c r="D43" s="19" t="n">
        <x:v>46</x:v>
      </x:c>
      <x:c r="E43" s="19" t="n">
        <x:v>14</x:v>
      </x:c>
      <x:c r="F43" s="19" t="n">
        <x:v>6</x:v>
      </x:c>
      <x:c r="G43" s="20" t="n">
        <x:v>112500</x:v>
      </x:c>
      <x:c r="H43" s="21" t="n">
        <x:f>D43/C43</x:f>
        <x:v>0.11645569620253164</x:v>
      </x:c>
      <x:c r="I43" s="21" t="n">
        <x:f>E43/C43</x:f>
        <x:v>0.035443037974683546</x:v>
      </x:c>
      <x:c r="J43" s="21" t="n">
        <x:f>F43/C43</x:f>
        <x:v>0.015189873417721518</x:v>
      </x:c>
      <x:c r="K43" s="22" t="n">
        <x:f>G43/C43</x:f>
        <x:v>284.8101265822785</x:v>
      </x:c>
    </x:row>
    <x:row r="44">
      <x:c r="A44" s="18" t="n">
        <x:v>46222</x:v>
      </x:c>
      <x:c r="B44" s="17" t="str">
        <x:v>Short Form + CTA</x:v>
      </x:c>
      <x:c r="C44" s="19" t="n">
        <x:v>414</x:v>
      </x:c>
      <x:c r="D44" s="19" t="n">
        <x:v>60</x:v>
      </x:c>
      <x:c r="E44" s="19" t="n">
        <x:v>19</x:v>
      </x:c>
      <x:c r="F44" s="19" t="n">
        <x:v>8</x:v>
      </x:c>
      <x:c r="G44" s="20" t="n">
        <x:v>152800</x:v>
      </x:c>
      <x:c r="H44" s="21" t="n">
        <x:f>D44/C44</x:f>
        <x:v>0.14492753623188406</x:v>
      </x:c>
      <x:c r="I44" s="21" t="n">
        <x:f>E44/C44</x:f>
        <x:v>0.04589371980676329</x:v>
      </x:c>
      <x:c r="J44" s="21" t="n">
        <x:f>F44/C44</x:f>
        <x:v>0.01932367149758454</x:v>
      </x:c>
      <x:c r="K44" s="22" t="n">
        <x:f>G44/C44</x:f>
        <x:v>369.0821256038647</x:v>
      </x:c>
    </x:row>
    <x:row r="45">
      <x:c r="A45" s="18" t="n">
        <x:v>46223</x:v>
      </x:c>
      <x:c r="B45" s="17" t="str">
        <x:v>Control</x:v>
      </x:c>
      <x:c r="C45" s="19" t="n">
        <x:v>432</x:v>
      </x:c>
      <x:c r="D45" s="19" t="n">
        <x:v>51</x:v>
      </x:c>
      <x:c r="E45" s="19" t="n">
        <x:v>16</x:v>
      </x:c>
      <x:c r="F45" s="19" t="n">
        <x:v>6</x:v>
      </x:c>
      <x:c r="G45" s="20" t="n">
        <x:v>112500</x:v>
      </x:c>
      <x:c r="H45" s="21" t="n">
        <x:f>D45/C45</x:f>
        <x:v>0.11805555555555555</x:v>
      </x:c>
      <x:c r="I45" s="21" t="n">
        <x:f>E45/C45</x:f>
        <x:v>0.037037037037037035</x:v>
      </x:c>
      <x:c r="J45" s="21" t="n">
        <x:f>F45/C45</x:f>
        <x:v>0.013888888888888888</x:v>
      </x:c>
      <x:c r="K45" s="22" t="n">
        <x:f>G45/C45</x:f>
        <x:v>260.4166666666667</x:v>
      </x:c>
    </x:row>
    <x:row r="46">
      <x:c r="A46" s="18" t="n">
        <x:v>46223</x:v>
      </x:c>
      <x:c r="B46" s="17" t="str">
        <x:v>Short Form + CTA</x:v>
      </x:c>
      <x:c r="C46" s="19" t="n">
        <x:v>451</x:v>
      </x:c>
      <x:c r="D46" s="19" t="n">
        <x:v>66</x:v>
      </x:c>
      <x:c r="E46" s="19" t="n">
        <x:v>21</x:v>
      </x:c>
      <x:c r="F46" s="19" t="n">
        <x:v>9</x:v>
      </x:c>
      <x:c r="G46" s="20" t="n">
        <x:v>171900</x:v>
      </x:c>
      <x:c r="H46" s="21" t="n">
        <x:f>D46/C46</x:f>
        <x:v>0.14634146341463414</x:v>
      </x:c>
      <x:c r="I46" s="21" t="n">
        <x:f>E46/C46</x:f>
        <x:v>0.04656319290465632</x:v>
      </x:c>
      <x:c r="J46" s="21" t="n">
        <x:f>F46/C46</x:f>
        <x:v>0.019955654101995565</x:v>
      </x:c>
      <x:c r="K46" s="22" t="n">
        <x:f>G46/C46</x:f>
        <x:v>381.1529933481153</x:v>
      </x:c>
    </x:row>
    <x:row r="47">
      <x:c r="A47" s="18" t="n">
        <x:v>46224</x:v>
      </x:c>
      <x:c r="B47" s="17" t="str">
        <x:v>Control</x:v>
      </x:c>
      <x:c r="C47" s="19" t="n">
        <x:v>469</x:v>
      </x:c>
      <x:c r="D47" s="19" t="n">
        <x:v>53</x:v>
      </x:c>
      <x:c r="E47" s="19" t="n">
        <x:v>17</x:v>
      </x:c>
      <x:c r="F47" s="19" t="n">
        <x:v>7</x:v>
      </x:c>
      <x:c r="G47" s="20" t="n">
        <x:v>131250</x:v>
      </x:c>
      <x:c r="H47" s="21" t="n">
        <x:f>D47/C47</x:f>
        <x:v>0.11300639658848614</x:v>
      </x:c>
      <x:c r="I47" s="21" t="n">
        <x:f>E47/C47</x:f>
        <x:v>0.03624733475479744</x:v>
      </x:c>
      <x:c r="J47" s="21" t="n">
        <x:f>F47/C47</x:f>
        <x:v>0.014925373134328358</x:v>
      </x:c>
      <x:c r="K47" s="22" t="n">
        <x:f>G47/C47</x:f>
        <x:v>279.85074626865674</x:v>
      </x:c>
    </x:row>
    <x:row r="48">
      <x:c r="A48" s="18" t="n">
        <x:v>46224</x:v>
      </x:c>
      <x:c r="B48" s="17" t="str">
        <x:v>Short Form + CTA</x:v>
      </x:c>
      <x:c r="C48" s="19" t="n">
        <x:v>488</x:v>
      </x:c>
      <x:c r="D48" s="19" t="n">
        <x:v>70</x:v>
      </x:c>
      <x:c r="E48" s="19" t="n">
        <x:v>23</x:v>
      </x:c>
      <x:c r="F48" s="19" t="n">
        <x:v>10</x:v>
      </x:c>
      <x:c r="G48" s="20" t="n">
        <x:v>191000</x:v>
      </x:c>
      <x:c r="H48" s="21" t="n">
        <x:f>D48/C48</x:f>
        <x:v>0.14344262295081966</x:v>
      </x:c>
      <x:c r="I48" s="21" t="n">
        <x:f>E48/C48</x:f>
        <x:v>0.0471311475409836</x:v>
      </x:c>
      <x:c r="J48" s="21" t="n">
        <x:f>F48/C48</x:f>
        <x:v>0.020491803278688523</x:v>
      </x:c>
      <x:c r="K48" s="22" t="n">
        <x:f>G48/C48</x:f>
        <x:v>391.39344262295083</x:v>
      </x:c>
    </x:row>
    <x:row r="49">
      <x:c r="A49" s="18" t="n">
        <x:v>46225</x:v>
      </x:c>
      <x:c r="B49" s="17" t="str">
        <x:v>Control</x:v>
      </x:c>
      <x:c r="C49" s="19" t="n">
        <x:v>395</x:v>
      </x:c>
      <x:c r="D49" s="19" t="n">
        <x:v>45</x:v>
      </x:c>
      <x:c r="E49" s="19" t="n">
        <x:v>14</x:v>
      </x:c>
      <x:c r="F49" s="19" t="n">
        <x:v>6</x:v>
      </x:c>
      <x:c r="G49" s="20" t="n">
        <x:v>112500</x:v>
      </x:c>
      <x:c r="H49" s="21" t="n">
        <x:f>D49/C49</x:f>
        <x:v>0.11392405063291139</x:v>
      </x:c>
      <x:c r="I49" s="21" t="n">
        <x:f>E49/C49</x:f>
        <x:v>0.035443037974683546</x:v>
      </x:c>
      <x:c r="J49" s="21" t="n">
        <x:f>F49/C49</x:f>
        <x:v>0.015189873417721518</x:v>
      </x:c>
      <x:c r="K49" s="22" t="n">
        <x:f>G49/C49</x:f>
        <x:v>284.8101265822785</x:v>
      </x:c>
    </x:row>
    <x:row r="50">
      <x:c r="A50" s="18" t="n">
        <x:v>46225</x:v>
      </x:c>
      <x:c r="B50" s="17" t="str">
        <x:v>Short Form + CTA</x:v>
      </x:c>
      <x:c r="C50" s="19" t="n">
        <x:v>414</x:v>
      </x:c>
      <x:c r="D50" s="19" t="n">
        <x:v>60</x:v>
      </x:c>
      <x:c r="E50" s="19" t="n">
        <x:v>19</x:v>
      </x:c>
      <x:c r="F50" s="19" t="n">
        <x:v>8</x:v>
      </x:c>
      <x:c r="G50" s="20" t="n">
        <x:v>152800</x:v>
      </x:c>
      <x:c r="H50" s="21" t="n">
        <x:f>D50/C50</x:f>
        <x:v>0.14492753623188406</x:v>
      </x:c>
      <x:c r="I50" s="21" t="n">
        <x:f>E50/C50</x:f>
        <x:v>0.04589371980676329</x:v>
      </x:c>
      <x:c r="J50" s="21" t="n">
        <x:f>F50/C50</x:f>
        <x:v>0.01932367149758454</x:v>
      </x:c>
      <x:c r="K50" s="22" t="n">
        <x:f>G50/C50</x:f>
        <x:v>369.0821256038647</x:v>
      </x:c>
    </x:row>
    <x:row r="51">
      <x:c r="A51" s="18" t="n">
        <x:v>46226</x:v>
      </x:c>
      <x:c r="B51" s="17" t="str">
        <x:v>Control</x:v>
      </x:c>
      <x:c r="C51" s="19" t="n">
        <x:v>432</x:v>
      </x:c>
      <x:c r="D51" s="19" t="n">
        <x:v>50</x:v>
      </x:c>
      <x:c r="E51" s="19" t="n">
        <x:v>15</x:v>
      </x:c>
      <x:c r="F51" s="19" t="n">
        <x:v>6</x:v>
      </x:c>
      <x:c r="G51" s="20" t="n">
        <x:v>112500</x:v>
      </x:c>
      <x:c r="H51" s="21" t="n">
        <x:f>D51/C51</x:f>
        <x:v>0.11574074074074074</x:v>
      </x:c>
      <x:c r="I51" s="21" t="n">
        <x:f>E51/C51</x:f>
        <x:v>0.034722222222222224</x:v>
      </x:c>
      <x:c r="J51" s="21" t="n">
        <x:f>F51/C51</x:f>
        <x:v>0.013888888888888888</x:v>
      </x:c>
      <x:c r="K51" s="22" t="n">
        <x:f>G51/C51</x:f>
        <x:v>260.4166666666667</x:v>
      </x:c>
    </x:row>
    <x:row r="52">
      <x:c r="A52" s="18" t="n">
        <x:v>46226</x:v>
      </x:c>
      <x:c r="B52" s="17" t="str">
        <x:v>Short Form + CTA</x:v>
      </x:c>
      <x:c r="C52" s="19" t="n">
        <x:v>451</x:v>
      </x:c>
      <x:c r="D52" s="19" t="n">
        <x:v>65</x:v>
      </x:c>
      <x:c r="E52" s="19" t="n">
        <x:v>20</x:v>
      </x:c>
      <x:c r="F52" s="19" t="n">
        <x:v>8</x:v>
      </x:c>
      <x:c r="G52" s="20" t="n">
        <x:v>152800</x:v>
      </x:c>
      <x:c r="H52" s="21" t="n">
        <x:f>D52/C52</x:f>
        <x:v>0.14412416851441243</x:v>
      </x:c>
      <x:c r="I52" s="21" t="n">
        <x:f>E52/C52</x:f>
        <x:v>0.04434589800443459</x:v>
      </x:c>
      <x:c r="J52" s="21" t="n">
        <x:f>F52/C52</x:f>
        <x:v>0.017738359201773836</x:v>
      </x:c>
      <x:c r="K52" s="22" t="n">
        <x:f>G52/C52</x:f>
        <x:v>338.8026607538803</x:v>
      </x:c>
    </x:row>
    <x:row r="53">
      <x:c r="A53" s="18" t="n">
        <x:v>46227</x:v>
      </x:c>
      <x:c r="B53" s="17" t="str">
        <x:v>Control</x:v>
      </x:c>
      <x:c r="C53" s="19" t="n">
        <x:v>469</x:v>
      </x:c>
      <x:c r="D53" s="19" t="n">
        <x:v>55</x:v>
      </x:c>
      <x:c r="E53" s="19" t="n">
        <x:v>17</x:v>
      </x:c>
      <x:c r="F53" s="19" t="n">
        <x:v>7</x:v>
      </x:c>
      <x:c r="G53" s="20" t="n">
        <x:v>131250</x:v>
      </x:c>
      <x:c r="H53" s="21" t="n">
        <x:f>D53/C53</x:f>
        <x:v>0.11727078891257996</x:v>
      </x:c>
      <x:c r="I53" s="21" t="n">
        <x:f>E53/C53</x:f>
        <x:v>0.03624733475479744</x:v>
      </x:c>
      <x:c r="J53" s="21" t="n">
        <x:f>F53/C53</x:f>
        <x:v>0.014925373134328358</x:v>
      </x:c>
      <x:c r="K53" s="22" t="n">
        <x:f>G53/C53</x:f>
        <x:v>279.85074626865674</x:v>
      </x:c>
    </x:row>
    <x:row r="54">
      <x:c r="A54" s="18" t="n">
        <x:v>46227</x:v>
      </x:c>
      <x:c r="B54" s="17" t="str">
        <x:v>Short Form + CTA</x:v>
      </x:c>
      <x:c r="C54" s="19" t="n">
        <x:v>488</x:v>
      </x:c>
      <x:c r="D54" s="19" t="n">
        <x:v>71</x:v>
      </x:c>
      <x:c r="E54" s="19" t="n">
        <x:v>22</x:v>
      </x:c>
      <x:c r="F54" s="19" t="n">
        <x:v>9</x:v>
      </x:c>
      <x:c r="G54" s="20" t="n">
        <x:v>171900</x:v>
      </x:c>
      <x:c r="H54" s="21" t="n">
        <x:f>D54/C54</x:f>
        <x:v>0.14549180327868852</x:v>
      </x:c>
      <x:c r="I54" s="21" t="n">
        <x:f>E54/C54</x:f>
        <x:v>0.045081967213114756</x:v>
      </x:c>
      <x:c r="J54" s="21" t="n">
        <x:f>F54/C54</x:f>
        <x:v>0.018442622950819672</x:v>
      </x:c>
      <x:c r="K54" s="22" t="n">
        <x:f>G54/C54</x:f>
        <x:v>352.25409836065575</x:v>
      </x:c>
    </x:row>
    <x:row r="55">
      <x:c r="A55" s="18" t="n">
        <x:v>46228</x:v>
      </x:c>
      <x:c r="B55" s="17" t="str">
        <x:v>Control</x:v>
      </x:c>
      <x:c r="C55" s="19" t="n">
        <x:v>395</x:v>
      </x:c>
      <x:c r="D55" s="19" t="n">
        <x:v>47</x:v>
      </x:c>
      <x:c r="E55" s="19" t="n">
        <x:v>14</x:v>
      </x:c>
      <x:c r="F55" s="19" t="n">
        <x:v>6</x:v>
      </x:c>
      <x:c r="G55" s="20" t="n">
        <x:v>112500</x:v>
      </x:c>
      <x:c r="H55" s="21" t="n">
        <x:f>D55/C55</x:f>
        <x:v>0.1189873417721519</x:v>
      </x:c>
      <x:c r="I55" s="21" t="n">
        <x:f>E55/C55</x:f>
        <x:v>0.035443037974683546</x:v>
      </x:c>
      <x:c r="J55" s="21" t="n">
        <x:f>F55/C55</x:f>
        <x:v>0.015189873417721518</x:v>
      </x:c>
      <x:c r="K55" s="22" t="n">
        <x:f>G55/C55</x:f>
        <x:v>284.8101265822785</x:v>
      </x:c>
    </x:row>
    <x:row r="56">
      <x:c r="A56" s="18" t="n">
        <x:v>46228</x:v>
      </x:c>
      <x:c r="B56" s="17" t="str">
        <x:v>Short Form + CTA</x:v>
      </x:c>
      <x:c r="C56" s="19" t="n">
        <x:v>414</x:v>
      </x:c>
      <x:c r="D56" s="19" t="n">
        <x:v>61</x:v>
      </x:c>
      <x:c r="E56" s="19" t="n">
        <x:v>19</x:v>
      </x:c>
      <x:c r="F56" s="19" t="n">
        <x:v>8</x:v>
      </x:c>
      <x:c r="G56" s="20" t="n">
        <x:v>152800</x:v>
      </x:c>
      <x:c r="H56" s="21" t="n">
        <x:f>D56/C56</x:f>
        <x:v>0.1473429951690821</x:v>
      </x:c>
      <x:c r="I56" s="21" t="n">
        <x:f>E56/C56</x:f>
        <x:v>0.04589371980676329</x:v>
      </x:c>
      <x:c r="J56" s="21" t="n">
        <x:f>F56/C56</x:f>
        <x:v>0.01932367149758454</x:v>
      </x:c>
      <x:c r="K56" s="22" t="n">
        <x:f>G56/C56</x:f>
        <x:v>369.0821256038647</x:v>
      </x:c>
    </x:row>
    <x:row r="57">
      <x:c r="A57" s="18" t="n">
        <x:v>46229</x:v>
      </x:c>
      <x:c r="B57" s="17" t="str">
        <x:v>Control</x:v>
      </x:c>
      <x:c r="C57" s="19" t="n">
        <x:v>432</x:v>
      </x:c>
      <x:c r="D57" s="19" t="n">
        <x:v>49</x:v>
      </x:c>
      <x:c r="E57" s="19" t="n">
        <x:v>16</x:v>
      </x:c>
      <x:c r="F57" s="19" t="n">
        <x:v>6</x:v>
      </x:c>
      <x:c r="G57" s="20" t="n">
        <x:v>112500</x:v>
      </x:c>
      <x:c r="H57" s="21" t="n">
        <x:f>D57/C57</x:f>
        <x:v>0.11342592592592593</x:v>
      </x:c>
      <x:c r="I57" s="21" t="n">
        <x:f>E57/C57</x:f>
        <x:v>0.037037037037037035</x:v>
      </x:c>
      <x:c r="J57" s="21" t="n">
        <x:f>F57/C57</x:f>
        <x:v>0.013888888888888888</x:v>
      </x:c>
      <x:c r="K57" s="22" t="n">
        <x:f>G57/C57</x:f>
        <x:v>260.4166666666667</x:v>
      </x:c>
    </x:row>
    <x:row r="58">
      <x:c r="A58" s="18" t="n">
        <x:v>46229</x:v>
      </x:c>
      <x:c r="B58" s="17" t="str">
        <x:v>Short Form + CTA</x:v>
      </x:c>
      <x:c r="C58" s="19" t="n">
        <x:v>451</x:v>
      </x:c>
      <x:c r="D58" s="19" t="n">
        <x:v>64</x:v>
      </x:c>
      <x:c r="E58" s="19" t="n">
        <x:v>21</x:v>
      </x:c>
      <x:c r="F58" s="19" t="n">
        <x:v>9</x:v>
      </x:c>
      <x:c r="G58" s="20" t="n">
        <x:v>171900</x:v>
      </x:c>
      <x:c r="H58" s="21" t="n">
        <x:f>D58/C58</x:f>
        <x:v>0.1419068736141907</x:v>
      </x:c>
      <x:c r="I58" s="21" t="n">
        <x:f>E58/C58</x:f>
        <x:v>0.04656319290465632</x:v>
      </x:c>
      <x:c r="J58" s="21" t="n">
        <x:f>F58/C58</x:f>
        <x:v>0.019955654101995565</x:v>
      </x:c>
      <x:c r="K58" s="22" t="n">
        <x:f>G58/C58</x:f>
        <x:v>381.1529933481153</x:v>
      </x:c>
    </x:row>
    <x:row r="59">
      <x:c r="A59" s="18" t="n">
        <x:v>46230</x:v>
      </x:c>
      <x:c r="B59" s="17" t="str">
        <x:v>Control</x:v>
      </x:c>
      <x:c r="C59" s="19" t="n">
        <x:v>469</x:v>
      </x:c>
      <x:c r="D59" s="19" t="n">
        <x:v>54</x:v>
      </x:c>
      <x:c r="E59" s="19" t="n">
        <x:v>17</x:v>
      </x:c>
      <x:c r="F59" s="19" t="n">
        <x:v>7</x:v>
      </x:c>
      <x:c r="G59" s="20" t="n">
        <x:v>131250</x:v>
      </x:c>
      <x:c r="H59" s="21" t="n">
        <x:f>D59/C59</x:f>
        <x:v>0.11513859275053305</x:v>
      </x:c>
      <x:c r="I59" s="21" t="n">
        <x:f>E59/C59</x:f>
        <x:v>0.03624733475479744</x:v>
      </x:c>
      <x:c r="J59" s="21" t="n">
        <x:f>F59/C59</x:f>
        <x:v>0.014925373134328358</x:v>
      </x:c>
      <x:c r="K59" s="22" t="n">
        <x:f>G59/C59</x:f>
        <x:v>279.85074626865674</x:v>
      </x:c>
    </x:row>
    <x:row r="60">
      <x:c r="A60" s="18" t="n">
        <x:v>46230</x:v>
      </x:c>
      <x:c r="B60" s="17" t="str">
        <x:v>Short Form + CTA</x:v>
      </x:c>
      <x:c r="C60" s="19" t="n">
        <x:v>488</x:v>
      </x:c>
      <x:c r="D60" s="19" t="n">
        <x:v>70</x:v>
      </x:c>
      <x:c r="E60" s="19" t="n">
        <x:v>23</x:v>
      </x:c>
      <x:c r="F60" s="19" t="n">
        <x:v>10</x:v>
      </x:c>
      <x:c r="G60" s="20" t="n">
        <x:v>191000</x:v>
      </x:c>
      <x:c r="H60" s="21" t="n">
        <x:f>D60/C60</x:f>
        <x:v>0.14344262295081966</x:v>
      </x:c>
      <x:c r="I60" s="21" t="n">
        <x:f>E60/C60</x:f>
        <x:v>0.0471311475409836</x:v>
      </x:c>
      <x:c r="J60" s="21" t="n">
        <x:f>F60/C60</x:f>
        <x:v>0.020491803278688523</x:v>
      </x:c>
      <x:c r="K60" s="22" t="n">
        <x:f>G60/C60</x:f>
        <x:v>391.39344262295083</x:v>
      </x:c>
    </x:row>
    <x:row r="61">
      <x:c r="A61" s="18" t="n">
        <x:v>46231</x:v>
      </x:c>
      <x:c r="B61" s="17" t="str">
        <x:v>Control</x:v>
      </x:c>
      <x:c r="C61" s="19" t="n">
        <x:v>395</x:v>
      </x:c>
      <x:c r="D61" s="19" t="n">
        <x:v>46</x:v>
      </x:c>
      <x:c r="E61" s="19" t="n">
        <x:v>15</x:v>
      </x:c>
      <x:c r="F61" s="19" t="n">
        <x:v>6</x:v>
      </x:c>
      <x:c r="G61" s="20" t="n">
        <x:v>112500</x:v>
      </x:c>
      <x:c r="H61" s="21" t="n">
        <x:f>D61/C61</x:f>
        <x:v>0.11645569620253164</x:v>
      </x:c>
      <x:c r="I61" s="21" t="n">
        <x:f>E61/C61</x:f>
        <x:v>0.0379746835443038</x:v>
      </x:c>
      <x:c r="J61" s="21" t="n">
        <x:f>F61/C61</x:f>
        <x:v>0.015189873417721518</x:v>
      </x:c>
      <x:c r="K61" s="22" t="n">
        <x:f>G61/C61</x:f>
        <x:v>284.8101265822785</x:v>
      </x:c>
    </x:row>
    <x:row r="62">
      <x:c r="A62" s="18" t="n">
        <x:v>46231</x:v>
      </x:c>
      <x:c r="B62" s="17" t="str">
        <x:v>Short Form + CTA</x:v>
      </x:c>
      <x:c r="C62" s="19" t="n">
        <x:v>414</x:v>
      </x:c>
      <x:c r="D62" s="19" t="n">
        <x:v>60</x:v>
      </x:c>
      <x:c r="E62" s="19" t="n">
        <x:v>20</x:v>
      </x:c>
      <x:c r="F62" s="19" t="n">
        <x:v>8</x:v>
      </x:c>
      <x:c r="G62" s="20" t="n">
        <x:v>152800</x:v>
      </x:c>
      <x:c r="H62" s="21" t="n">
        <x:f>D62/C62</x:f>
        <x:v>0.14492753623188406</x:v>
      </x:c>
      <x:c r="I62" s="21" t="n">
        <x:f>E62/C62</x:f>
        <x:v>0.04830917874396135</x:v>
      </x:c>
      <x:c r="J62" s="21" t="n">
        <x:f>F62/C62</x:f>
        <x:v>0.01932367149758454</x:v>
      </x:c>
      <x:c r="K62" s="22" t="n">
        <x:f>G62/C62</x:f>
        <x:v>369.0821256038647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f50491dfffb443fc"/>
  </x:tableParts>
</x:worksheet>
</file>

<file path=xl/worksheets/sheet4.xml><?xml version="1.0" encoding="utf-8"?>
<x:worksheet xmlns:x="http://schemas.openxmlformats.org/spreadsheetml/2006/main">
  <x:sheetPr>
    <x:tabColor rgb="FF6B7C93"/>
  </x:sheetPr>
  <x:sheetViews>
    <x:sheetView showGridLines="0" workbookViewId="0"/>
  </x:sheetViews>
  <x:sheetFormatPr defaultRowHeight="15"/>
  <x:cols>
    <x:col min="1" max="1" width="25" hidden="0" customWidth="1"/>
    <x:col min="2" max="2" width="90" hidden="0" customWidth="1"/>
  </x:cols>
  <x:sheetData>
    <x:row r="2">
      <x:c r="A2" s="2" t="str">
        <x:v>Experiment Plan</x:v>
      </x:c>
      <x:c r="B2" s="78"/>
      <x:c r="C2" s="78"/>
      <x:c r="D2" s="78"/>
      <x:c r="E2" s="78"/>
      <x:c r="F2" s="78"/>
      <x:c r="G2" s="78"/>
      <x:c r="H2" s="78"/>
    </x:row>
    <x:row r="3">
      <x:c r="A3" s="79" t="str">
        <x:v>Predefined design and decision rules</x:v>
      </x:c>
      <x:c r="B3" s="78"/>
      <x:c r="C3" s="78"/>
      <x:c r="D3" s="78"/>
      <x:c r="E3" s="78"/>
      <x:c r="F3" s="78"/>
      <x:c r="G3" s="78"/>
      <x:c r="H3" s="78"/>
    </x:row>
    <x:row r="4">
      <x:c r="A4" s="80"/>
      <x:c r="B4" s="80"/>
      <x:c r="C4" s="80"/>
      <x:c r="D4" s="80"/>
      <x:c r="E4" s="80"/>
      <x:c r="F4" s="80"/>
      <x:c r="G4" s="80"/>
      <x:c r="H4" s="80"/>
    </x:row>
    <x:row r="5">
      <x:c r="A5" s="78"/>
      <x:c r="B5" s="78"/>
      <x:c r="C5" s="78"/>
      <x:c r="D5" s="78"/>
      <x:c r="E5" s="78"/>
      <x:c r="F5" s="78"/>
      <x:c r="G5" s="78"/>
      <x:c r="H5" s="78"/>
    </x:row>
    <x:row r="6">
      <x:c r="A6" s="13" t="str">
        <x:v>Element</x:v>
      </x:c>
      <x:c r="B6" s="15" t="str">
        <x:v>Definition</x:v>
      </x:c>
      <x:c r="C6" s="78"/>
      <x:c r="D6" s="78"/>
      <x:c r="E6" s="78"/>
      <x:c r="F6" s="78"/>
      <x:c r="G6" s="78"/>
      <x:c r="H6" s="78"/>
    </x:row>
    <x:row r="7" ht="30" customHeight="1">
      <x:c r="A7" s="17" t="str">
        <x:v>Business question</x:v>
      </x:c>
      <x:c r="B7" s="77" t="str">
        <x:v>Can a shorter quote form and stronger CTA increase qualified B2B leads without reducing quote quality?</x:v>
      </x:c>
      <x:c r="C7" s="78"/>
      <x:c r="D7" s="78"/>
      <x:c r="E7" s="78"/>
      <x:c r="F7" s="78"/>
      <x:c r="G7" s="78"/>
      <x:c r="H7" s="78"/>
    </x:row>
    <x:row r="8" ht="30" customHeight="1">
      <x:c r="A8" s="17" t="str">
        <x:v>Control</x:v>
      </x:c>
      <x:c r="B8" s="77" t="str">
        <x:v>Current product-page CTA and six-field quote form</x:v>
      </x:c>
      <x:c r="C8" s="78"/>
      <x:c r="D8" s="78"/>
      <x:c r="E8" s="78"/>
      <x:c r="F8" s="78"/>
      <x:c r="G8" s="78"/>
      <x:c r="H8" s="78"/>
    </x:row>
    <x:row r="9" ht="30" customHeight="1">
      <x:c r="A9" s="17" t="str">
        <x:v>Variant</x:v>
      </x:c>
      <x:c r="B9" s="77" t="str">
        <x:v>High-contrast CTA and three-field quote form</x:v>
      </x:c>
      <x:c r="C9" s="78"/>
      <x:c r="D9" s="78"/>
      <x:c r="E9" s="78"/>
      <x:c r="F9" s="78"/>
      <x:c r="G9" s="78"/>
      <x:c r="H9" s="78"/>
    </x:row>
    <x:row r="10" ht="30" customHeight="1">
      <x:c r="A10" s="17" t="str">
        <x:v>Primary metric</x:v>
      </x:c>
      <x:c r="B10" s="77" t="str">
        <x:v>Lead conversion rate = leads / sessions</x:v>
      </x:c>
      <x:c r="C10" s="78"/>
      <x:c r="D10" s="78"/>
      <x:c r="E10" s="78"/>
      <x:c r="F10" s="78"/>
      <x:c r="G10" s="78"/>
      <x:c r="H10" s="78"/>
    </x:row>
    <x:row r="11" ht="30" customHeight="1">
      <x:c r="A11" s="17" t="str">
        <x:v>Secondary metrics</x:v>
      </x:c>
      <x:c r="B11" s="77" t="str">
        <x:v>Form-start rate, quote-request rate, pipeline value per session</x:v>
      </x:c>
      <x:c r="C11" s="78"/>
      <x:c r="D11" s="78"/>
      <x:c r="E11" s="78"/>
      <x:c r="F11" s="78"/>
      <x:c r="G11" s="78"/>
      <x:c r="H11" s="78"/>
    </x:row>
    <x:row r="12" ht="30" customHeight="1">
      <x:c r="A12" s="17" t="str">
        <x:v>Guardrail</x:v>
      </x:c>
      <x:c r="B12" s="77" t="str">
        <x:v>Quote requests per lead and downstream sales qualification</x:v>
      </x:c>
      <x:c r="C12" s="78"/>
      <x:c r="D12" s="78"/>
      <x:c r="E12" s="78"/>
      <x:c r="F12" s="78"/>
      <x:c r="G12" s="78"/>
      <x:c r="H12" s="78"/>
    </x:row>
    <x:row r="13" ht="30" customHeight="1">
      <x:c r="A13" s="17" t="str">
        <x:v>Audience</x:v>
      </x:c>
      <x:c r="B13" s="77" t="str">
        <x:v>New U.S. website sessions on packaging machinery product pages</x:v>
      </x:c>
      <x:c r="C13" s="78"/>
      <x:c r="D13" s="78"/>
      <x:c r="E13" s="78"/>
      <x:c r="F13" s="78"/>
      <x:c r="G13" s="78"/>
      <x:c r="H13" s="78"/>
    </x:row>
    <x:row r="14" ht="30" customHeight="1">
      <x:c r="A14" s="17" t="str">
        <x:v>Allocation</x:v>
      </x:c>
      <x:c r="B14" s="77" t="str">
        <x:v>50% control / 50% variant</x:v>
      </x:c>
      <x:c r="C14" s="78"/>
      <x:c r="D14" s="78"/>
      <x:c r="E14" s="78"/>
      <x:c r="F14" s="78"/>
      <x:c r="G14" s="78"/>
      <x:c r="H14" s="78"/>
    </x:row>
    <x:row r="15" ht="30" customHeight="1">
      <x:c r="A15" s="17" t="str">
        <x:v>Duration</x:v>
      </x:c>
      <x:c r="B15" s="77" t="str">
        <x:v>28 days; cover full weekday and weekend cycles</x:v>
      </x:c>
      <x:c r="C15" s="78"/>
      <x:c r="D15" s="78"/>
      <x:c r="E15" s="78"/>
      <x:c r="F15" s="78"/>
      <x:c r="G15" s="78"/>
      <x:c r="H15" s="78"/>
    </x:row>
    <x:row r="16" ht="30" customHeight="1">
      <x:c r="A16" s="17" t="str">
        <x:v>Minimum evidence</x:v>
      </x:c>
      <x:c r="B16" s="77" t="str">
        <x:v>At least 10,000 sessions per variant and |z| ≥ 1.96</x:v>
      </x:c>
      <x:c r="C16" s="78"/>
      <x:c r="D16" s="78"/>
      <x:c r="E16" s="78"/>
      <x:c r="F16" s="78"/>
      <x:c r="G16" s="78"/>
      <x:c r="H16" s="78"/>
    </x:row>
    <x:row r="17" ht="30" customHeight="1">
      <x:c r="A17" s="17" t="str">
        <x:v>Decision rule</x:v>
      </x:c>
      <x:c r="B17" s="77" t="str">
        <x:v>Launch only when lead-rate uplift is positive and statistically significant</x:v>
      </x:c>
      <x:c r="C17" s="78"/>
      <x:c r="D17" s="78"/>
      <x:c r="E17" s="78"/>
      <x:c r="F17" s="78"/>
      <x:c r="G17" s="78"/>
      <x:c r="H17" s="78"/>
    </x:row>
    <x:row r="18" ht="30" customHeight="1">
      <x:c r="A18" s="17" t="str">
        <x:v>QA</x:v>
      </x:c>
      <x:c r="B18" s="77" t="str">
        <x:v>Exclude internal/test traffic; confirm mutually exclusive assignment and event deduplication</x:v>
      </x:c>
      <x:c r="C18" s="78"/>
      <x:c r="D18" s="78"/>
      <x:c r="E18" s="78"/>
      <x:c r="F18" s="78"/>
      <x:c r="G18" s="78"/>
      <x:c r="H18" s="78"/>
    </x:row>
  </x:sheetData>
  <x:mergeCells>
    <x:mergeCell ref="A2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4A3B8"/>
  </x:sheetPr>
  <x:sheetViews>
    <x:sheetView showGridLines="0" workbookViewId="0"/>
  </x:sheetViews>
  <x:sheetFormatPr defaultRowHeight="15"/>
  <x:cols>
    <x:col min="1" max="1" width="25" hidden="0" customWidth="1"/>
    <x:col min="2" max="2" width="90" hidden="0" customWidth="1"/>
  </x:cols>
  <x:sheetData>
    <x:row r="2">
      <x:c r="A2" s="2" t="str">
        <x:v>Methodology and Limitations</x:v>
      </x:c>
      <x:c r="B2" s="78"/>
      <x:c r="C2" s="78"/>
      <x:c r="D2" s="78"/>
      <x:c r="E2" s="78"/>
      <x:c r="F2" s="78"/>
      <x:c r="G2" s="78"/>
      <x:c r="H2" s="78"/>
    </x:row>
    <x:row r="3">
      <x:c r="A3" s="79" t="str">
        <x:v>Definitions, statistical approach, and portfolio-use disclosure</x:v>
      </x:c>
      <x:c r="B3" s="78"/>
      <x:c r="C3" s="78"/>
      <x:c r="D3" s="78"/>
      <x:c r="E3" s="78"/>
      <x:c r="F3" s="78"/>
      <x:c r="G3" s="78"/>
      <x:c r="H3" s="78"/>
    </x:row>
    <x:row r="4">
      <x:c r="A4" s="80"/>
      <x:c r="B4" s="80"/>
      <x:c r="C4" s="80"/>
      <x:c r="D4" s="80"/>
      <x:c r="E4" s="80"/>
      <x:c r="F4" s="80"/>
      <x:c r="G4" s="80"/>
      <x:c r="H4" s="80"/>
    </x:row>
    <x:row r="5">
      <x:c r="A5" s="78"/>
      <x:c r="B5" s="78"/>
      <x:c r="C5" s="78"/>
      <x:c r="D5" s="78"/>
      <x:c r="E5" s="78"/>
      <x:c r="F5" s="78"/>
      <x:c r="G5" s="78"/>
      <x:c r="H5" s="78"/>
    </x:row>
    <x:row r="6">
      <x:c r="A6" s="13" t="str">
        <x:v>Topic</x:v>
      </x:c>
      <x:c r="B6" s="15" t="str">
        <x:v>Method</x:v>
      </x:c>
      <x:c r="C6" s="78"/>
      <x:c r="D6" s="78"/>
      <x:c r="E6" s="78"/>
      <x:c r="F6" s="78"/>
      <x:c r="G6" s="78"/>
      <x:c r="H6" s="78"/>
    </x:row>
    <x:row r="7" ht="34" customHeight="1">
      <x:c r="A7" s="17" t="str">
        <x:v>Data</x:v>
      </x:c>
      <x:c r="B7" s="77" t="str">
        <x:v>Synthetic daily experiment observations created for portfolio demonstration.</x:v>
      </x:c>
      <x:c r="C7" s="78"/>
      <x:c r="D7" s="78"/>
      <x:c r="E7" s="78"/>
      <x:c r="F7" s="78"/>
      <x:c r="G7" s="78"/>
      <x:c r="H7" s="78"/>
    </x:row>
    <x:row r="8" ht="34" customHeight="1">
      <x:c r="A8" s="17" t="str">
        <x:v>Randomization</x:v>
      </x:c>
      <x:c r="B8" s="77" t="str">
        <x:v>The design assumes equal, mutually exclusive assignment at the visitor level.</x:v>
      </x:c>
      <x:c r="C8" s="78"/>
      <x:c r="D8" s="78"/>
      <x:c r="E8" s="78"/>
      <x:c r="F8" s="78"/>
      <x:c r="G8" s="78"/>
      <x:c r="H8" s="78"/>
    </x:row>
    <x:row r="9" ht="34" customHeight="1">
      <x:c r="A9" s="17" t="str">
        <x:v>Primary calculation</x:v>
      </x:c>
      <x:c r="B9" s="77" t="str">
        <x:v>Lead conversion rate equals leads divided by sessions for each variant.</x:v>
      </x:c>
      <x:c r="C9" s="78"/>
      <x:c r="D9" s="78"/>
      <x:c r="E9" s="78"/>
      <x:c r="F9" s="78"/>
      <x:c r="G9" s="78"/>
      <x:c r="H9" s="78"/>
    </x:row>
    <x:row r="10" ht="34" customHeight="1">
      <x:c r="A10" s="17" t="str">
        <x:v>Uplift</x:v>
      </x:c>
      <x:c r="B10" s="77" t="str">
        <x:v>Variant lead rate divided by control lead rate, minus one.</x:v>
      </x:c>
      <x:c r="C10" s="78"/>
      <x:c r="D10" s="78"/>
      <x:c r="E10" s="78"/>
      <x:c r="F10" s="78"/>
      <x:c r="G10" s="78"/>
      <x:c r="H10" s="78"/>
    </x:row>
    <x:row r="11" ht="34" customHeight="1">
      <x:c r="A11" s="17" t="str">
        <x:v>Significance</x:v>
      </x:c>
      <x:c r="B11" s="77" t="str">
        <x:v>Two-proportion z-score using the pooled lead-conversion rate; threshold |z| ≥ 1.96.</x:v>
      </x:c>
      <x:c r="C11" s="78"/>
      <x:c r="D11" s="78"/>
      <x:c r="E11" s="78"/>
      <x:c r="F11" s="78"/>
      <x:c r="G11" s="78"/>
      <x:c r="H11" s="78"/>
    </x:row>
    <x:row r="12" ht="34" customHeight="1">
      <x:c r="A12" s="17" t="str">
        <x:v>Business impact</x:v>
      </x:c>
      <x:c r="B12" s="77" t="str">
        <x:v>Pipeline per session is directional because pipeline value is not realized revenue.</x:v>
      </x:c>
      <x:c r="C12" s="78"/>
      <x:c r="D12" s="78"/>
      <x:c r="E12" s="78"/>
      <x:c r="F12" s="78"/>
      <x:c r="G12" s="78"/>
      <x:c r="H12" s="78"/>
    </x:row>
    <x:row r="13" ht="34" customHeight="1">
      <x:c r="A13" s="17" t="str">
        <x:v>Interpretation</x:v>
      </x:c>
      <x:c r="B13" s="77" t="str">
        <x:v>A significant conversion lift supports rollout only if lead and quote quality remain stable.</x:v>
      </x:c>
      <x:c r="C13" s="78"/>
      <x:c r="D13" s="78"/>
      <x:c r="E13" s="78"/>
      <x:c r="F13" s="78"/>
      <x:c r="G13" s="78"/>
      <x:c r="H13" s="78"/>
    </x:row>
    <x:row r="14" ht="34" customHeight="1">
      <x:c r="A14" s="17" t="str">
        <x:v>Disclosure</x:v>
      </x:c>
      <x:c r="B14" s="77" t="str">
        <x:v>No real customer, website, lead, employee, or confidential company data is included.</x:v>
      </x:c>
      <x:c r="C14" s="78"/>
      <x:c r="D14" s="78"/>
      <x:c r="E14" s="78"/>
      <x:c r="F14" s="78"/>
      <x:c r="G14" s="78"/>
      <x:c r="H14" s="78"/>
    </x:row>
  </x:sheetData>
  <x:mergeCells>
    <x:mergeCell ref="A2:H2"/>
    <x:mergeCell ref="A3:H3"/>
  </x:mergeCells>
  <x:pageMargins left="0.7" right="0.7" top="0.75" bottom="0.75" header="0.3" footer="0.3"/>
</x:worksheet>
</file>