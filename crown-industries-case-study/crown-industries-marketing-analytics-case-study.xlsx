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24d99f695743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757c670fe4684986"/>
    <x:sheet xmlns:r="http://schemas.openxmlformats.org/officeDocument/2006/relationships" name="Funnel Analysis" sheetId="2" r:id="R074278d579da4bdc"/>
    <x:sheet xmlns:r="http://schemas.openxmlformats.org/officeDocument/2006/relationships" name="Campaign Data" sheetId="3" r:id="R97ae9aa578e64896"/>
    <x:sheet xmlns:r="http://schemas.openxmlformats.org/officeDocument/2006/relationships" name="ReadMe" sheetId="4" r:id="Re432e46973224d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mmm yyyy"/>
    <x:numFmt numFmtId="201" formatCode="#,##0"/>
    <x:numFmt numFmtId="202" formatCode="$#,##0"/>
    <x:numFmt numFmtId="203" formatCode="0.0%"/>
    <x:numFmt numFmtId="204" formatCode="$0.00"/>
    <x:numFmt numFmtId="205" formatCode="0.0x"/>
  </x:numFmts>
  <x:fonts count="9">
    <x:font>
      <x:sz val="11"/>
      <x:name val="Carlito"/>
    </x:font>
    <x:font>
      <x:b/>
      <x:sz val="10"/>
      <x:color rgb="FFFFFFFF"/>
      <x:name val="Arial"/>
    </x:font>
    <x:font>
      <x:b/>
      <x:sz val="16"/>
      <x:color rgb="FF15324A"/>
      <x:name val="Arial"/>
    </x:font>
    <x:font>
      <x:i/>
      <x:sz val="10"/>
      <x:color rgb="FF64748B"/>
      <x:name val="Arial"/>
    </x:font>
    <x:font>
      <x:b/>
      <x:sz val="13"/>
      <x:color rgb="FF15324A"/>
      <x:name val="Arial"/>
    </x:font>
    <x:font>
      <x:b/>
      <x:sz val="11"/>
      <x:color rgb="FFFFFFFF"/>
      <x:name val="Arial"/>
    </x:font>
    <x:font>
      <x:sz val="9"/>
      <x:color rgb="FF1F2937"/>
      <x:name val="Arial"/>
    </x:font>
    <x:font>
      <x:b/>
      <x:sz val="11"/>
      <x:color rgb="FF15324A"/>
      <x:name val="Arial"/>
    </x:font>
    <x:font>
      <x:sz val="11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5324A"/>
      </x:patternFill>
    </x:fill>
    <x:fill>
      <x:patternFill patternType="solid">
        <x:fgColor rgb="FFEAF2F8"/>
      </x:patternFill>
    </x:fill>
    <x:fill>
      <x:patternFill patternType="solid">
        <x:fgColor rgb="FF2878B5"/>
      </x:patternFill>
    </x:fill>
    <x:fill>
      <x:patternFill patternType="solid">
        <x:fgColor rgb="FFF6F8FA"/>
      </x:patternFill>
    </x:fill>
  </x:fills>
  <x:borders count="1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  <x:border>
      <x:bottom style="medium">
        <x:color rgb="FFE9A23B"/>
      </x:bottom>
    </x:border>
    <x:border>
      <x:left style="thin">
        <x:color rgb="FFB8C7D1"/>
      </x:left>
      <x:top style="thin">
        <x:color rgb="FFB8C7D1"/>
      </x:top>
      <x:bottom style="thin">
        <x:color rgb="FFB8C7D1"/>
      </x:bottom>
    </x:border>
    <x:border>
      <x:top style="thin">
        <x:color rgb="FFB8C7D1"/>
      </x:top>
      <x:bottom style="thin">
        <x:color rgb="FFB8C7D1"/>
      </x:bottom>
    </x:border>
    <x:border>
      <x:right style="thin">
        <x:color rgb="FFB8C7D1"/>
      </x:right>
      <x:top style="thin">
        <x:color rgb="FFB8C7D1"/>
      </x:top>
      <x:bottom style="thin">
        <x:color rgb="FFB8C7D1"/>
      </x:bottom>
    </x:border>
    <x:border>
      <x:bottom style="thin">
        <x:color rgb="FFDDE4EA"/>
      </x:bottom>
    </x:border>
    <x:border>
      <x:top style="thin">
        <x:color rgb="FFDDE4EA"/>
      </x:top>
      <x:bottom style="thin">
        <x:color rgb="FFDDE4EA"/>
      </x:bottom>
    </x:border>
    <x:border>
      <x:top style="thin">
        <x:color rgb="FFDDE4EA"/>
      </x:top>
      <x:bottom style="thin">
        <x:color rgb="FFB8C7D1"/>
      </x:bottom>
    </x:border>
    <x:border>
      <x:top style="thin">
        <x:color rgb="FFDDE4EA"/>
      </x:top>
    </x:border>
  </x:borders>
  <x:cellStyleXfs count="1">
    <x:xf numFmtId="0" fontId="0" fillId="0" borderId="0"/>
  </x:cellStyleXfs>
  <x:cellXfs count="178">
    <x:xf numFmtId="0" fontId="0" fillId="0" borderId="0" xfId="0"/>
    <x:xf numFmtId="0" fontId="0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 applyAlignment="1">
      <x:alignment vertical="center"/>
    </x:xf>
    <x:xf numFmtId="205" fontId="0" fillId="0" borderId="0" xfId="0" applyNumberFormat="1" applyFont="1" applyFill="1" applyBorder="1" applyAlignment="1">
      <x:alignment vertical="center"/>
    </x:xf>
    <x:xf numFmtId="200" fontId="0" fillId="0" borderId="4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201" fontId="0" fillId="0" borderId="4" xfId="0" applyNumberFormat="1" applyFont="1" applyFill="1" applyBorder="1" applyAlignment="1">
      <x:alignment vertical="center"/>
    </x:xf>
    <x:xf numFmtId="202" fontId="0" fillId="0" borderId="4" xfId="0" applyNumberFormat="1" applyFont="1" applyFill="1" applyBorder="1" applyAlignment="1">
      <x:alignment vertical="center"/>
    </x:xf>
    <x:xf numFmtId="203" fontId="0" fillId="0" borderId="4" xfId="0" applyNumberFormat="1" applyFont="1" applyFill="1" applyBorder="1" applyAlignment="1">
      <x:alignment vertical="center"/>
    </x:xf>
    <x:xf numFmtId="204" fontId="0" fillId="0" borderId="4" xfId="0" applyNumberFormat="1" applyFont="1" applyFill="1" applyBorder="1" applyAlignment="1">
      <x:alignment vertical="center"/>
    </x:xf>
    <x:xf numFmtId="205" fontId="0" fillId="0" borderId="4" xfId="0" applyNumberFormat="1" applyFont="1" applyFill="1" applyBorder="1" applyAlignment="1">
      <x:alignment vertical="center"/>
    </x:xf>
    <x:xf numFmtId="200" fontId="0" fillId="0" borderId="5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201" fontId="0" fillId="0" borderId="5" xfId="0" applyNumberFormat="1" applyFont="1" applyFill="1" applyBorder="1" applyAlignment="1">
      <x:alignment vertical="center"/>
    </x:xf>
    <x:xf numFmtId="202" fontId="0" fillId="0" borderId="5" xfId="0" applyNumberFormat="1" applyFont="1" applyFill="1" applyBorder="1" applyAlignment="1">
      <x:alignment vertical="center"/>
    </x:xf>
    <x:xf numFmtId="203" fontId="0" fillId="0" borderId="5" xfId="0" applyNumberFormat="1" applyFont="1" applyFill="1" applyBorder="1" applyAlignment="1">
      <x:alignment vertical="center"/>
    </x:xf>
    <x:xf numFmtId="204" fontId="0" fillId="0" borderId="5" xfId="0" applyNumberFormat="1" applyFont="1" applyFill="1" applyBorder="1" applyAlignment="1">
      <x:alignment vertical="center"/>
    </x:xf>
    <x:xf numFmtId="205" fontId="0" fillId="0" borderId="5" xfId="0" applyNumberFormat="1" applyFont="1" applyFill="1" applyBorder="1" applyAlignment="1">
      <x:alignment vertical="center"/>
    </x:xf>
    <x:xf numFmtId="200" fontId="0" fillId="0" borderId="6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201" fontId="0" fillId="0" borderId="6" xfId="0" applyNumberFormat="1" applyFont="1" applyFill="1" applyBorder="1" applyAlignment="1">
      <x:alignment vertical="center"/>
    </x:xf>
    <x:xf numFmtId="202" fontId="0" fillId="0" borderId="6" xfId="0" applyNumberFormat="1" applyFont="1" applyFill="1" applyBorder="1" applyAlignment="1">
      <x:alignment vertical="center"/>
    </x:xf>
    <x:xf numFmtId="203" fontId="0" fillId="0" borderId="6" xfId="0" applyNumberFormat="1" applyFont="1" applyFill="1" applyBorder="1" applyAlignment="1">
      <x:alignment vertical="center"/>
    </x:xf>
    <x:xf numFmtId="204" fontId="0" fillId="0" borderId="6" xfId="0" applyNumberFormat="1" applyFont="1" applyFill="1" applyBorder="1" applyAlignment="1">
      <x:alignment vertical="center"/>
    </x:xf>
    <x:xf numFmtId="205" fontId="0" fillId="0" borderId="6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/>
    <x:xf numFmtId="0" fontId="3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8" xfId="0" applyNumberFormat="1" applyFont="1" applyFill="1" applyBorder="1"/>
    <x:xf numFmtId="0" fontId="4" fillId="3" borderId="9" xfId="0" applyNumberFormat="1" applyFont="1" applyFill="1" applyBorder="1"/>
    <x:xf numFmtId="0" fontId="4" fillId="3" borderId="10" xfId="0" applyNumberFormat="1" applyFont="1" applyFill="1" applyBorder="1"/>
    <x:xf numFmtId="0" fontId="4" fillId="3" borderId="8" xfId="0" applyNumberFormat="1" applyFont="1" applyFill="1" applyBorder="1" applyAlignment="1">
      <x:alignment horizontal="center"/>
    </x:xf>
    <x:xf numFmtId="0" fontId="4" fillId="3" borderId="9" xfId="0" applyNumberFormat="1" applyFont="1" applyFill="1" applyBorder="1" applyAlignment="1">
      <x:alignment horizontal="center"/>
    </x:xf>
    <x:xf numFmtId="0" fontId="4" fillId="3" borderId="10" xfId="0" applyNumberFormat="1" applyFont="1" applyFill="1" applyBorder="1" applyAlignment="1">
      <x:alignment horizontal="center"/>
    </x:xf>
    <x:xf numFmtId="0" fontId="4" fillId="3" borderId="8" xfId="0" applyNumberFormat="1" applyFont="1" applyFill="1" applyBorder="1" applyAlignment="1">
      <x:alignment horizontal="center" vertical="center"/>
    </x:xf>
    <x:xf numFmtId="0" fontId="4" fillId="3" borderId="9" xfId="0" applyNumberFormat="1" applyFont="1" applyFill="1" applyBorder="1" applyAlignment="1">
      <x:alignment horizontal="center" vertical="center"/>
    </x:xf>
    <x:xf numFmtId="0" fontId="4" fillId="3" borderId="10" xfId="0" applyNumberFormat="1" applyFont="1" applyFill="1" applyBorder="1" applyAlignment="1">
      <x:alignment horizontal="center" vertical="center"/>
    </x:xf>
    <x:xf numFmtId="202" fontId="4" fillId="3" borderId="8" xfId="0" applyNumberFormat="1" applyFont="1" applyFill="1" applyBorder="1" applyAlignment="1">
      <x:alignment horizontal="center" vertical="center"/>
    </x:xf>
    <x:xf numFmtId="201" fontId="4" fillId="3" borderId="9" xfId="0" applyNumberFormat="1" applyFont="1" applyFill="1" applyBorder="1" applyAlignment="1">
      <x:alignment horizontal="center" vertical="center"/>
    </x:xf>
    <x:xf numFmtId="202" fontId="4" fillId="3" borderId="9" xfId="0" applyNumberFormat="1" applyFont="1" applyFill="1" applyBorder="1" applyAlignment="1">
      <x:alignment horizontal="center" vertical="center"/>
    </x:xf>
    <x:xf numFmtId="205" fontId="4" fillId="3" borderId="10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5" fillId="2" borderId="2" xfId="0" applyNumberFormat="1" applyFont="1" applyFill="1" applyBorder="1"/>
    <x:xf numFmtId="0" fontId="5" fillId="2" borderId="3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5" fillId="2" borderId="2" xfId="0" applyNumberFormat="1" applyFont="1" applyFill="1" applyBorder="1" applyAlignment="1">
      <x:alignment horizontal="center"/>
    </x:xf>
    <x:xf numFmtId="0" fontId="5" fillId="2" borderId="3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 applyAlignment="1">
      <x:alignment horizontal="center" vertical="center"/>
    </x:xf>
    <x:xf numFmtId="0" fontId="5" fillId="2" borderId="2" xfId="0" applyNumberFormat="1" applyFont="1" applyFill="1" applyBorder="1" applyAlignment="1">
      <x:alignment horizontal="center" vertical="center"/>
    </x:xf>
    <x:xf numFmtId="0" fontId="5" fillId="2" borderId="3" xfId="0" applyNumberFormat="1" applyFont="1" applyFill="1" applyBorder="1" applyAlignment="1">
      <x:alignment horizontal="center" vertical="center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202" fontId="0" fillId="0" borderId="11" xfId="0" applyNumberFormat="1" applyFont="1" applyFill="1" applyBorder="1"/>
    <x:xf numFmtId="202" fontId="0" fillId="0" borderId="12" xfId="0" applyNumberFormat="1" applyFont="1" applyFill="1" applyBorder="1"/>
    <x:xf numFmtId="202" fontId="0" fillId="0" borderId="13" xfId="0" applyNumberFormat="1" applyFont="1" applyFill="1" applyBorder="1"/>
    <x:xf numFmtId="201" fontId="0" fillId="0" borderId="11" xfId="0" applyNumberFormat="1" applyFont="1" applyFill="1" applyBorder="1"/>
    <x:xf numFmtId="201" fontId="0" fillId="0" borderId="12" xfId="0" applyNumberFormat="1" applyFont="1" applyFill="1" applyBorder="1"/>
    <x:xf numFmtId="201" fontId="0" fillId="0" borderId="13" xfId="0" applyNumberFormat="1" applyFont="1" applyFill="1" applyBorder="1"/>
    <x:xf numFmtId="205" fontId="0" fillId="0" borderId="11" xfId="0" applyNumberFormat="1" applyFont="1" applyFill="1" applyBorder="1"/>
    <x:xf numFmtId="205" fontId="0" fillId="0" borderId="12" xfId="0" applyNumberFormat="1" applyFont="1" applyFill="1" applyBorder="1"/>
    <x:xf numFmtId="205" fontId="0" fillId="0" borderId="13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202" fontId="0" fillId="0" borderId="0" xfId="0" applyNumberFormat="1" applyFont="1" applyFill="1" applyBorder="1"/>
    <x:xf numFmtId="0" fontId="0" fillId="0" borderId="4" xfId="0" applyNumberFormat="1" applyFont="1" applyFill="1" applyBorder="1"/>
    <x:xf numFmtId="202" fontId="0" fillId="0" borderId="4" xfId="0" applyNumberFormat="1" applyFont="1" applyFill="1" applyBorder="1"/>
    <x:xf numFmtId="0" fontId="0" fillId="0" borderId="5" xfId="0" applyNumberFormat="1" applyFont="1" applyFill="1" applyBorder="1"/>
    <x:xf numFmtId="202" fontId="0" fillId="0" borderId="5" xfId="0" applyNumberFormat="1" applyFont="1" applyFill="1" applyBorder="1"/>
    <x:xf numFmtId="0" fontId="0" fillId="0" borderId="6" xfId="0" applyNumberFormat="1" applyFont="1" applyFill="1" applyBorder="1"/>
    <x:xf numFmtId="202" fontId="0" fillId="0" borderId="6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4" xfId="0" applyNumberFormat="1" applyFont="1" applyFill="1" applyBorder="1"/>
    <x:xf numFmtId="0" fontId="6" fillId="5" borderId="5" xfId="0" applyNumberFormat="1" applyFont="1" applyFill="1" applyBorder="1"/>
    <x:xf numFmtId="0" fontId="6" fillId="5" borderId="6" xfId="0" applyNumberFormat="1" applyFont="1" applyFill="1" applyBorder="1"/>
    <x:xf numFmtId="0" fontId="6" fillId="5" borderId="4" xfId="0" applyNumberFormat="1" applyFont="1" applyFill="1" applyBorder="1" applyAlignment="1">
      <x:alignment wrapText="1"/>
    </x:xf>
    <x:xf numFmtId="0" fontId="6" fillId="5" borderId="5" xfId="0" applyNumberFormat="1" applyFont="1" applyFill="1" applyBorder="1" applyAlignment="1">
      <x:alignment wrapText="1"/>
    </x:xf>
    <x:xf numFmtId="0" fontId="6" fillId="5" borderId="6" xfId="0" applyNumberFormat="1" applyFont="1" applyFill="1" applyBorder="1" applyAlignment="1">
      <x:alignment wrapText="1"/>
    </x:xf>
    <x:xf numFmtId="0" fontId="6" fillId="5" borderId="4" xfId="0" applyNumberFormat="1" applyFont="1" applyFill="1" applyBorder="1" applyAlignment="1">
      <x:alignment vertical="center" wrapText="1"/>
    </x:xf>
    <x:xf numFmtId="0" fontId="6" fillId="5" borderId="5" xfId="0" applyNumberFormat="1" applyFont="1" applyFill="1" applyBorder="1" applyAlignment="1">
      <x:alignment vertical="center" wrapText="1"/>
    </x:xf>
    <x:xf numFmtId="0" fontId="6" fillId="5" borderId="6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center"/>
    </x:xf>
    <x:xf numFmtId="0" fontId="0" fillId="0" borderId="14" xfId="0" applyNumberFormat="1" applyFont="1" applyFill="1" applyBorder="1"/>
    <x:xf numFmtId="201" fontId="0" fillId="0" borderId="14" xfId="0" applyNumberFormat="1" applyFont="1" applyFill="1" applyBorder="1"/>
    <x:xf numFmtId="203" fontId="0" fillId="0" borderId="11" xfId="0" applyNumberFormat="1" applyFont="1" applyFill="1" applyBorder="1"/>
    <x:xf numFmtId="203" fontId="0" fillId="0" borderId="12" xfId="0" applyNumberFormat="1" applyFont="1" applyFill="1" applyBorder="1"/>
    <x:xf numFmtId="203" fontId="0" fillId="0" borderId="14" xfId="0" applyNumberFormat="1" applyFont="1" applyFill="1" applyBorder="1"/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7" fillId="3" borderId="11" xfId="0" applyNumberFormat="1" applyFont="1" applyFill="1" applyBorder="1" applyAlignment="1">
      <x:alignment vertical="top"/>
    </x:xf>
    <x:xf numFmtId="0" fontId="0" fillId="0" borderId="11" xfId="0" applyNumberFormat="1" applyFont="1" applyFill="1" applyBorder="1" applyAlignment="1">
      <x:alignment vertical="top" wrapText="1"/>
    </x:xf>
    <x:xf numFmtId="0" fontId="7" fillId="3" borderId="12" xfId="0" applyNumberFormat="1" applyFont="1" applyFill="1" applyBorder="1" applyAlignment="1">
      <x:alignment vertical="top"/>
    </x:xf>
    <x:xf numFmtId="0" fontId="0" fillId="0" borderId="12" xfId="0" applyNumberFormat="1" applyFont="1" applyFill="1" applyBorder="1" applyAlignment="1">
      <x:alignment vertical="top" wrapText="1"/>
    </x:xf>
    <x:xf numFmtId="0" fontId="7" fillId="3" borderId="14" xfId="0" applyNumberFormat="1" applyFont="1" applyFill="1" applyBorder="1" applyAlignment="1">
      <x:alignment vertical="top"/>
    </x:xf>
    <x:xf numFmtId="0" fontId="0" fillId="0" borderId="14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/>
    <x:xf numFmtId="0" fontId="8" fillId="0" borderId="7" xfId="0" applyNumberFormat="1" applyFont="1" applyFill="1" applyBorder="1"/>
    <x:xf numFmtId="0" fontId="8" fillId="0" borderId="11" xfId="0" applyNumberFormat="1" applyFont="1" applyFill="1" applyBorder="1"/>
    <x:xf numFmtId="202" fontId="8" fillId="0" borderId="11" xfId="0" applyNumberFormat="1" applyFont="1" applyFill="1" applyBorder="1"/>
    <x:xf numFmtId="201" fontId="8" fillId="0" borderId="11" xfId="0" applyNumberFormat="1" applyFont="1" applyFill="1" applyBorder="1"/>
    <x:xf numFmtId="205" fontId="8" fillId="0" borderId="11" xfId="0" applyNumberFormat="1" applyFont="1" applyFill="1" applyBorder="1"/>
    <x:xf numFmtId="0" fontId="8" fillId="0" borderId="12" xfId="0" applyNumberFormat="1" applyFont="1" applyFill="1" applyBorder="1"/>
    <x:xf numFmtId="202" fontId="8" fillId="0" borderId="12" xfId="0" applyNumberFormat="1" applyFont="1" applyFill="1" applyBorder="1"/>
    <x:xf numFmtId="201" fontId="8" fillId="0" borderId="12" xfId="0" applyNumberFormat="1" applyFont="1" applyFill="1" applyBorder="1"/>
    <x:xf numFmtId="205" fontId="8" fillId="0" borderId="12" xfId="0" applyNumberFormat="1" applyFont="1" applyFill="1" applyBorder="1"/>
    <x:xf numFmtId="0" fontId="8" fillId="0" borderId="13" xfId="0" applyNumberFormat="1" applyFont="1" applyFill="1" applyBorder="1"/>
    <x:xf numFmtId="202" fontId="8" fillId="0" borderId="13" xfId="0" applyNumberFormat="1" applyFont="1" applyFill="1" applyBorder="1"/>
    <x:xf numFmtId="201" fontId="8" fillId="0" borderId="13" xfId="0" applyNumberFormat="1" applyFont="1" applyFill="1" applyBorder="1"/>
    <x:xf numFmtId="205" fontId="8" fillId="0" borderId="13" xfId="0" applyNumberFormat="1" applyFont="1" applyFill="1" applyBorder="1"/>
    <x:xf numFmtId="0" fontId="8" fillId="0" borderId="4" xfId="0" applyNumberFormat="1" applyFont="1" applyFill="1" applyBorder="1"/>
    <x:xf numFmtId="202" fontId="8" fillId="0" borderId="4" xfId="0" applyNumberFormat="1" applyFont="1" applyFill="1" applyBorder="1"/>
    <x:xf numFmtId="0" fontId="8" fillId="0" borderId="5" xfId="0" applyNumberFormat="1" applyFont="1" applyFill="1" applyBorder="1"/>
    <x:xf numFmtId="202" fontId="8" fillId="0" borderId="5" xfId="0" applyNumberFormat="1" applyFont="1" applyFill="1" applyBorder="1"/>
    <x:xf numFmtId="0" fontId="8" fillId="0" borderId="6" xfId="0" applyNumberFormat="1" applyFont="1" applyFill="1" applyBorder="1"/>
    <x:xf numFmtId="202" fontId="8" fillId="0" borderId="6" xfId="0" applyNumberFormat="1" applyFont="1" applyFill="1" applyBorder="1"/>
    <x:xf numFmtId="203" fontId="8" fillId="0" borderId="11" xfId="0" applyNumberFormat="1" applyFont="1" applyFill="1" applyBorder="1"/>
    <x:xf numFmtId="203" fontId="8" fillId="0" borderId="12" xfId="0" applyNumberFormat="1" applyFont="1" applyFill="1" applyBorder="1"/>
    <x:xf numFmtId="0" fontId="8" fillId="0" borderId="14" xfId="0" applyNumberFormat="1" applyFont="1" applyFill="1" applyBorder="1"/>
    <x:xf numFmtId="201" fontId="8" fillId="0" borderId="14" xfId="0" applyNumberFormat="1" applyFont="1" applyFill="1" applyBorder="1"/>
    <x:xf numFmtId="203" fontId="8" fillId="0" borderId="14" xfId="0" applyNumberFormat="1" applyFont="1" applyFill="1" applyBorder="1"/>
    <x:xf numFmtId="200" fontId="8" fillId="0" borderId="4" xfId="0" applyNumberFormat="1" applyFont="1" applyFill="1" applyBorder="1" applyAlignment="1">
      <x:alignment vertical="center"/>
    </x:xf>
    <x:xf numFmtId="0" fontId="8" fillId="0" borderId="4" xfId="0" applyNumberFormat="1" applyFont="1" applyFill="1" applyBorder="1" applyAlignment="1">
      <x:alignment vertical="center"/>
    </x:xf>
    <x:xf numFmtId="201" fontId="8" fillId="0" borderId="4" xfId="0" applyNumberFormat="1" applyFont="1" applyFill="1" applyBorder="1" applyAlignment="1">
      <x:alignment vertical="center"/>
    </x:xf>
    <x:xf numFmtId="202" fontId="8" fillId="0" borderId="4" xfId="0" applyNumberFormat="1" applyFont="1" applyFill="1" applyBorder="1" applyAlignment="1">
      <x:alignment vertical="center"/>
    </x:xf>
    <x:xf numFmtId="203" fontId="8" fillId="0" borderId="4" xfId="0" applyNumberFormat="1" applyFont="1" applyFill="1" applyBorder="1" applyAlignment="1">
      <x:alignment vertical="center"/>
    </x:xf>
    <x:xf numFmtId="204" fontId="8" fillId="0" borderId="4" xfId="0" applyNumberFormat="1" applyFont="1" applyFill="1" applyBorder="1" applyAlignment="1">
      <x:alignment vertical="center"/>
    </x:xf>
    <x:xf numFmtId="205" fontId="8" fillId="0" borderId="4" xfId="0" applyNumberFormat="1" applyFont="1" applyFill="1" applyBorder="1" applyAlignment="1">
      <x:alignment vertical="center"/>
    </x:xf>
    <x:xf numFmtId="200" fontId="8" fillId="0" borderId="5" xfId="0" applyNumberFormat="1" applyFont="1" applyFill="1" applyBorder="1" applyAlignment="1">
      <x:alignment vertical="center"/>
    </x:xf>
    <x:xf numFmtId="0" fontId="8" fillId="0" borderId="5" xfId="0" applyNumberFormat="1" applyFont="1" applyFill="1" applyBorder="1" applyAlignment="1">
      <x:alignment vertical="center"/>
    </x:xf>
    <x:xf numFmtId="201" fontId="8" fillId="0" borderId="5" xfId="0" applyNumberFormat="1" applyFont="1" applyFill="1" applyBorder="1" applyAlignment="1">
      <x:alignment vertical="center"/>
    </x:xf>
    <x:xf numFmtId="202" fontId="8" fillId="0" borderId="5" xfId="0" applyNumberFormat="1" applyFont="1" applyFill="1" applyBorder="1" applyAlignment="1">
      <x:alignment vertical="center"/>
    </x:xf>
    <x:xf numFmtId="203" fontId="8" fillId="0" borderId="5" xfId="0" applyNumberFormat="1" applyFont="1" applyFill="1" applyBorder="1" applyAlignment="1">
      <x:alignment vertical="center"/>
    </x:xf>
    <x:xf numFmtId="204" fontId="8" fillId="0" borderId="5" xfId="0" applyNumberFormat="1" applyFont="1" applyFill="1" applyBorder="1" applyAlignment="1">
      <x:alignment vertical="center"/>
    </x:xf>
    <x:xf numFmtId="205" fontId="8" fillId="0" borderId="5" xfId="0" applyNumberFormat="1" applyFont="1" applyFill="1" applyBorder="1" applyAlignment="1">
      <x:alignment vertical="center"/>
    </x:xf>
    <x:xf numFmtId="200" fontId="8" fillId="0" borderId="6" xfId="0" applyNumberFormat="1" applyFont="1" applyFill="1" applyBorder="1" applyAlignment="1">
      <x:alignment vertical="center"/>
    </x:xf>
    <x:xf numFmtId="0" fontId="8" fillId="0" borderId="6" xfId="0" applyNumberFormat="1" applyFont="1" applyFill="1" applyBorder="1" applyAlignment="1">
      <x:alignment vertical="center"/>
    </x:xf>
    <x:xf numFmtId="201" fontId="8" fillId="0" borderId="6" xfId="0" applyNumberFormat="1" applyFont="1" applyFill="1" applyBorder="1" applyAlignment="1">
      <x:alignment vertical="center"/>
    </x:xf>
    <x:xf numFmtId="202" fontId="8" fillId="0" borderId="6" xfId="0" applyNumberFormat="1" applyFont="1" applyFill="1" applyBorder="1" applyAlignment="1">
      <x:alignment vertical="center"/>
    </x:xf>
    <x:xf numFmtId="203" fontId="8" fillId="0" borderId="6" xfId="0" applyNumberFormat="1" applyFont="1" applyFill="1" applyBorder="1" applyAlignment="1">
      <x:alignment vertical="center"/>
    </x:xf>
    <x:xf numFmtId="204" fontId="8" fillId="0" borderId="6" xfId="0" applyNumberFormat="1" applyFont="1" applyFill="1" applyBorder="1" applyAlignment="1">
      <x:alignment vertical="center"/>
    </x:xf>
    <x:xf numFmtId="205" fontId="8" fillId="0" borderId="6" xfId="0" applyNumberFormat="1" applyFont="1" applyFill="1" applyBorder="1" applyAlignment="1">
      <x:alignment vertical="center"/>
    </x:xf>
    <x:xf numFmtId="0" fontId="8" fillId="0" borderId="11" xfId="0" applyNumberFormat="1" applyFont="1" applyFill="1" applyBorder="1" applyAlignment="1">
      <x:alignment vertical="top" wrapText="1"/>
    </x:xf>
    <x:xf numFmtId="0" fontId="8" fillId="0" borderId="12" xfId="0" applyNumberFormat="1" applyFont="1" applyFill="1" applyBorder="1" applyAlignment="1">
      <x:alignment vertical="top" wrapText="1"/>
    </x:xf>
    <x:xf numFmtId="0" fontId="8" fillId="0" borderId="14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74bd9ae5f34390" /><Relationship Type="http://schemas.openxmlformats.org/officeDocument/2006/relationships/theme" Target="/xl/theme/theme1.xml" Id="Rb9d5b797abb8407f" /><Relationship Type="http://schemas.openxmlformats.org/officeDocument/2006/relationships/sharedStrings" Target="/xl/sharedStrings.xml" Id="R1b48ed2e7e1547af" /><Relationship Type="http://schemas.openxmlformats.org/officeDocument/2006/relationships/worksheet" Target="/xl/worksheets/sheet1.xml" Id="R757c670fe4684986" /><Relationship Type="http://schemas.openxmlformats.org/officeDocument/2006/relationships/worksheet" Target="/xl/worksheets/sheet2.xml" Id="R074278d579da4bdc" /><Relationship Type="http://schemas.openxmlformats.org/officeDocument/2006/relationships/worksheet" Target="/xl/worksheets/sheet3.xml" Id="R97ae9aa578e64896" /><Relationship Type="http://schemas.openxmlformats.org/officeDocument/2006/relationships/worksheet" Target="/xl/worksheets/sheet4.xml" Id="Re432e46973224de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9a85683c5974bdb" /><Relationship Type="http://schemas.openxmlformats.org/officeDocument/2006/relationships/chart" Target="/xl/drawings/charts/chart2.xml" Id="Rb4456afc50af4d3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Leads by Channel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Leads</c:v>
          </c:tx>
          <c:spPr>
            <a:solidFill xmlns:a="http://schemas.openxmlformats.org/drawingml/2006/main">
              <a:srgbClr val="2878B5"/>
            </a:solidFill>
          </c:spPr>
          <c:cat>
            <c:strRef>
              <c:f>'Dashboard'!$A$11:$A$15</c:f>
              <c:strCache>
                <c:ptCount val="0"/>
              </c:strCache>
            </c:strRef>
          </c:cat>
          <c:val>
            <c:numRef>
              <c:f>'Dashboard'!$C$11:$C$15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Monthly Attributed Revenue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Attributed Revenue</c:v>
          </c:tx>
          <c:spPr>
            <a:ln xmlns:a="http://schemas.openxmlformats.org/drawingml/2006/main" w="19050">
              <a:solidFill>
                <a:srgbClr val="E9A23B"/>
              </a:solidFill>
              <a:prstDash val="solid"/>
            </a:ln>
          </c:spPr>
          <c:marker>
            <c:symbol val="none"/>
          </c:marker>
          <c:cat>
            <c:strRef>
              <c:f>'Dashboard'!$A$20:$A$25</c:f>
              <c:strCache>
                <c:ptCount val="0"/>
              </c:strCache>
            </c:strRef>
          </c:cat>
          <c:val>
            <c:numRef>
              <c:f>'Dashboard'!$C$20:$C$25</c:f>
              <c:numCache>
                <c:formatCode>$#,##0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,,&quot;M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5</xdr:row>
      <xdr:rowOff>0</xdr:rowOff>
    </xdr:from>
    <xdr:to>
      <xdr:col>17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9a85683c5974bdb"/>
        </a:graphicData>
      </a:graphic>
    </xdr:graphicFrame>
    <xdr:clientData/>
  </xdr:twoCellAnchor>
  <xdr:twoCellAnchor>
    <xdr:from>
      <xdr:col>4</xdr:col>
      <xdr:colOff>0</xdr:colOff>
      <xdr:row>18</xdr:row>
      <xdr:rowOff>0</xdr:rowOff>
    </xdr:from>
    <xdr:to>
      <xdr:col>12</xdr:col>
      <xdr:colOff>0</xdr:colOff>
      <xdr:row>31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4456afc50af4d3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ampaignData" displayName="CampaignData" ref="A1:T481" headerRowCount="1" totalsRowCount="0" totalsRowShown="0">
  <x:tableColumns count="20">
    <x:tableColumn id="1" name="Month"/>
    <x:tableColumn id="2" name="Channel"/>
    <x:tableColumn id="3" name="Region"/>
    <x:tableColumn id="4" name="Product Line"/>
    <x:tableColumn id="5" name="Impressions"/>
    <x:tableColumn id="6" name="Clicks"/>
    <x:tableColumn id="7" name="Leads"/>
    <x:tableColumn id="8" name="MQLs"/>
    <x:tableColumn id="9" name="SQLs"/>
    <x:tableColumn id="10" name="Opportunities"/>
    <x:tableColumn id="11" name="Wins"/>
    <x:tableColumn id="12" name="Spend"/>
    <x:tableColumn id="13" name="Pipeline Value"/>
    <x:tableColumn id="14" name="Attributed Revenue"/>
    <x:tableColumn id="15" name="CTR"/>
    <x:tableColumn id="16" name="CPC"/>
    <x:tableColumn id="17" name="Lead CVR"/>
    <x:tableColumn id="18" name="CPL"/>
    <x:tableColumn id="19" name="ROAS"/>
    <x:tableColumn id="20" name="Win R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c1789fe9ac2467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6e7b8c8d15434624" /></Relationships>
</file>

<file path=xl/worksheets/sheet1.xml><?xml version="1.0" encoding="utf-8"?>
<x:worksheet xmlns:x="http://schemas.openxmlformats.org/spreadsheetml/2006/main">
  <x:sheetPr>
    <x:tabColor rgb="FF15324A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129"/>
      <x:c r="B1" s="129"/>
      <x:c r="C1" s="129"/>
      <x:c r="D1" s="129"/>
      <x:c r="E1" s="129"/>
      <x:c r="F1" s="129"/>
      <x:c r="G1" s="129"/>
      <x:c r="H1" s="129"/>
      <x:c r="I1" s="129"/>
      <x:c r="J1" s="129"/>
      <x:c r="K1" s="129"/>
      <x:c r="L1" s="129"/>
      <x:c r="M1" s="129"/>
      <x:c r="N1" s="129"/>
      <x:c r="O1" s="129"/>
      <x:c r="P1" s="129"/>
      <x:c r="Q1" s="129"/>
    </x:row>
    <x:row r="2">
      <x:c r="A2" s="41" t="str">
        <x:v>Crown Industries — U.S. Packaging Machinery Campaign Dashboard</x:v>
      </x:c>
      <x:c r="B2" s="41"/>
      <x:c r="C2" s="41"/>
      <x:c r="D2" s="41"/>
      <x:c r="E2" s="41"/>
      <x:c r="F2" s="41"/>
      <x:c r="G2" s="41"/>
      <x:c r="H2" s="41"/>
      <x:c r="I2" s="41"/>
      <x:c r="J2" s="41"/>
      <x:c r="K2" s="41"/>
      <x:c r="L2" s="129"/>
      <x:c r="M2" s="129"/>
      <x:c r="N2" s="129"/>
      <x:c r="O2" s="129"/>
      <x:c r="P2" s="129"/>
      <x:c r="Q2" s="129"/>
    </x:row>
    <x:row r="3">
      <x:c r="A3" s="130"/>
      <x:c r="B3" s="130"/>
      <x:c r="C3" s="130"/>
      <x:c r="D3" s="130"/>
      <x:c r="E3" s="130"/>
      <x:c r="F3" s="130"/>
      <x:c r="G3" s="130"/>
      <x:c r="H3" s="130"/>
      <x:c r="I3" s="130"/>
      <x:c r="J3" s="130"/>
      <x:c r="K3" s="130"/>
      <x:c r="L3" s="129"/>
      <x:c r="M3" s="129"/>
      <x:c r="N3" s="129"/>
      <x:c r="O3" s="129"/>
      <x:c r="P3" s="129"/>
      <x:c r="Q3" s="129"/>
    </x:row>
    <x:row r="4">
      <x:c r="A4" s="43" t="str">
        <x:v>Portfolio simulation | Synthetic data | Jan–Jun 2026 | B2B lead generation and U.S. market entry</x:v>
      </x:c>
      <x:c r="B4" s="43"/>
      <x:c r="C4" s="43"/>
      <x:c r="D4" s="43"/>
      <x:c r="E4" s="43"/>
      <x:c r="F4" s="43"/>
      <x:c r="G4" s="43"/>
      <x:c r="H4" s="43"/>
      <x:c r="I4" s="43"/>
      <x:c r="J4" s="43"/>
      <x:c r="K4" s="43"/>
      <x:c r="L4" s="129"/>
      <x:c r="M4" s="129"/>
      <x:c r="N4" s="129"/>
      <x:c r="O4" s="129"/>
      <x:c r="P4" s="129"/>
      <x:c r="Q4" s="129"/>
    </x:row>
    <x:row r="5">
      <x:c r="A5" s="129"/>
      <x:c r="B5" s="129"/>
      <x:c r="C5" s="129"/>
      <x:c r="D5" s="129"/>
      <x:c r="E5" s="129"/>
      <x:c r="F5" s="129"/>
      <x:c r="G5" s="129"/>
      <x:c r="H5" s="129"/>
      <x:c r="I5" s="129"/>
      <x:c r="J5" s="129"/>
      <x:c r="K5" s="129"/>
      <x:c r="L5" s="129"/>
      <x:c r="M5" s="129"/>
      <x:c r="N5" s="129"/>
      <x:c r="O5" s="129"/>
      <x:c r="P5" s="129"/>
      <x:c r="Q5" s="129"/>
    </x:row>
    <x:row r="6" ht="27" customHeight="1">
      <x:c r="A6" s="52" t="str">
        <x:v>Spend</x:v>
      </x:c>
      <x:c r="B6" s="53" t="str">
        <x:v>Leads</x:v>
      </x:c>
      <x:c r="C6" s="53" t="str">
        <x:v>Qualified Leads</x:v>
      </x:c>
      <x:c r="D6" s="53" t="str">
        <x:v>Opportunities</x:v>
      </x:c>
      <x:c r="E6" s="53" t="str">
        <x:v>Wins</x:v>
      </x:c>
      <x:c r="F6" s="53" t="str">
        <x:v>Pipeline</x:v>
      </x:c>
      <x:c r="G6" s="53" t="str">
        <x:v>Revenue</x:v>
      </x:c>
      <x:c r="H6" s="54" t="str">
        <x:v>ROAS</x:v>
      </x:c>
      <x:c r="I6" s="129"/>
      <x:c r="J6" s="129"/>
      <x:c r="K6" s="129"/>
      <x:c r="L6" s="129"/>
      <x:c r="M6" s="129"/>
      <x:c r="N6" s="129"/>
      <x:c r="O6" s="129"/>
      <x:c r="P6" s="129"/>
      <x:c r="Q6" s="129"/>
    </x:row>
    <x:row r="7" ht="27" customHeight="1">
      <x:c r="A7" s="66" t="n">
        <x:f>SUM('Campaign Data'!L2:L481)</x:f>
        <x:v>1664123</x:v>
      </x:c>
      <x:c r="B7" s="67" t="n">
        <x:f>SUM('Campaign Data'!G2:G481)</x:f>
        <x:v>22114</x:v>
      </x:c>
      <x:c r="C7" s="67" t="n">
        <x:f>SUM('Campaign Data'!I2:I481)</x:f>
        <x:v>8325</x:v>
      </x:c>
      <x:c r="D7" s="67" t="n">
        <x:f>SUM('Campaign Data'!J2:J481)</x:f>
        <x:v>4402</x:v>
      </x:c>
      <x:c r="E7" s="67" t="n">
        <x:f>SUM('Campaign Data'!K2:K481)</x:f>
        <x:v>1326</x:v>
      </x:c>
      <x:c r="F7" s="68" t="n">
        <x:f>SUM('Campaign Data'!M2:M481)</x:f>
        <x:v>341633053</x:v>
      </x:c>
      <x:c r="G7" s="68" t="n">
        <x:f>SUM('Campaign Data'!N2:N481)</x:f>
        <x:v>123010910</x:v>
      </x:c>
      <x:c r="H7" s="69" t="n">
        <x:f>IFERROR(G7/A7,0)</x:f>
        <x:v>73.91936172987214</x:v>
      </x:c>
      <x:c r="I7" s="129"/>
      <x:c r="J7" s="129"/>
      <x:c r="K7" s="129"/>
      <x:c r="L7" s="129"/>
      <x:c r="M7" s="129"/>
      <x:c r="N7" s="129"/>
      <x:c r="O7" s="129"/>
      <x:c r="P7" s="129"/>
      <x:c r="Q7" s="129"/>
    </x:row>
    <x:row r="8">
      <x:c r="A8" s="129"/>
      <x:c r="B8" s="129"/>
      <x:c r="C8" s="129"/>
      <x:c r="D8" s="129"/>
      <x:c r="E8" s="129"/>
      <x:c r="F8" s="129"/>
      <x:c r="G8" s="129"/>
      <x:c r="H8" s="129"/>
      <x:c r="I8" s="129"/>
      <x:c r="J8" s="129"/>
      <x:c r="K8" s="129"/>
      <x:c r="L8" s="129"/>
      <x:c r="M8" s="129"/>
      <x:c r="N8" s="129"/>
      <x:c r="O8" s="129"/>
      <x:c r="P8" s="129"/>
      <x:c r="Q8" s="129"/>
    </x:row>
    <x:row r="9">
      <x:c r="A9" s="129"/>
      <x:c r="B9" s="129"/>
      <x:c r="C9" s="129"/>
      <x:c r="D9" s="129"/>
      <x:c r="E9" s="129"/>
      <x:c r="F9" s="129"/>
      <x:c r="G9" s="129"/>
      <x:c r="H9" s="129"/>
      <x:c r="I9" s="129"/>
      <x:c r="J9" s="129"/>
      <x:c r="K9" s="129"/>
      <x:c r="L9" s="129"/>
      <x:c r="M9" s="129"/>
      <x:c r="N9" s="129"/>
      <x:c r="O9" s="129"/>
      <x:c r="P9" s="129"/>
      <x:c r="Q9" s="129"/>
    </x:row>
    <x:row r="10">
      <x:c r="A10" s="77" t="str">
        <x:v>Channel</x:v>
      </x:c>
      <x:c r="B10" s="78" t="str">
        <x:v>Spend</x:v>
      </x:c>
      <x:c r="C10" s="78" t="str">
        <x:v>Leads</x:v>
      </x:c>
      <x:c r="D10" s="78" t="str">
        <x:v>SQLs</x:v>
      </x:c>
      <x:c r="E10" s="78" t="str">
        <x:v>Opportunities</x:v>
      </x:c>
      <x:c r="F10" s="78" t="str">
        <x:v>Wins</x:v>
      </x:c>
      <x:c r="G10" s="78" t="str">
        <x:v>Revenue</x:v>
      </x:c>
      <x:c r="H10" s="79" t="str">
        <x:v>ROAS</x:v>
      </x:c>
      <x:c r="I10" s="129"/>
      <x:c r="J10" s="129"/>
      <x:c r="K10" s="129"/>
      <x:c r="L10" s="129"/>
      <x:c r="M10" s="129"/>
      <x:c r="N10" s="129"/>
      <x:c r="O10" s="129"/>
      <x:c r="P10" s="129"/>
      <x:c r="Q10" s="129"/>
    </x:row>
    <x:row r="11">
      <x:c r="A11" s="131" t="str">
        <x:v>Google Search</x:v>
      </x:c>
      <x:c r="B11" s="132" t="n">
        <x:f>SUMIFS('Campaign Data'!$L$2:$L$481,'Campaign Data'!$B$2:$B$481,A11)</x:f>
        <x:v>724227</x:v>
      </x:c>
      <x:c r="C11" s="133" t="n">
        <x:f>SUMIFS('Campaign Data'!$G$2:$G$481,'Campaign Data'!$B$2:$B$481,A11)</x:f>
        <x:v>7212</x:v>
      </x:c>
      <x:c r="D11" s="133" t="n">
        <x:f>SUMIFS('Campaign Data'!$I$2:$I$481,'Campaign Data'!$B$2:$B$481,A11)</x:f>
        <x:v>2712</x:v>
      </x:c>
      <x:c r="E11" s="133" t="n">
        <x:f>SUMIFS('Campaign Data'!$J$2:$J$481,'Campaign Data'!$B$2:$B$481,A11)</x:f>
        <x:v>1440</x:v>
      </x:c>
      <x:c r="F11" s="133" t="n">
        <x:f>SUMIFS('Campaign Data'!$K$2:$K$481,'Campaign Data'!$B$2:$B$481,A11)</x:f>
        <x:v>436</x:v>
      </x:c>
      <x:c r="G11" s="132" t="n">
        <x:f>SUMIFS('Campaign Data'!$N$2:$N$481,'Campaign Data'!$B$2:$B$481,A11)</x:f>
        <x:v>40587070</x:v>
      </x:c>
      <x:c r="H11" s="134" t="n">
        <x:f>IFERROR(G11/B11,0)</x:f>
        <x:v>56.04191779649199</x:v>
      </x:c>
      <x:c r="I11" s="129"/>
      <x:c r="J11" s="129"/>
      <x:c r="K11" s="129"/>
      <x:c r="L11" s="129"/>
      <x:c r="M11" s="129"/>
      <x:c r="N11" s="129"/>
      <x:c r="O11" s="129"/>
      <x:c r="P11" s="129"/>
      <x:c r="Q11" s="129"/>
    </x:row>
    <x:row r="12">
      <x:c r="A12" s="135" t="str">
        <x:v>LinkedIn</x:v>
      </x:c>
      <x:c r="B12" s="136" t="n">
        <x:f>SUMIFS('Campaign Data'!$L$2:$L$481,'Campaign Data'!$B$2:$B$481,A12)</x:f>
        <x:v>364416</x:v>
      </x:c>
      <x:c r="C12" s="137" t="n">
        <x:f>SUMIFS('Campaign Data'!$G$2:$G$481,'Campaign Data'!$B$2:$B$481,A12)</x:f>
        <x:v>3193</x:v>
      </x:c>
      <x:c r="D12" s="137" t="n">
        <x:f>SUMIFS('Campaign Data'!$I$2:$I$481,'Campaign Data'!$B$2:$B$481,A12)</x:f>
        <x:v>1205</x:v>
      </x:c>
      <x:c r="E12" s="137" t="n">
        <x:f>SUMIFS('Campaign Data'!$J$2:$J$481,'Campaign Data'!$B$2:$B$481,A12)</x:f>
        <x:v>635</x:v>
      </x:c>
      <x:c r="F12" s="137" t="n">
        <x:f>SUMIFS('Campaign Data'!$K$2:$K$481,'Campaign Data'!$B$2:$B$481,A12)</x:f>
        <x:v>189</x:v>
      </x:c>
      <x:c r="G12" s="136" t="n">
        <x:f>SUMIFS('Campaign Data'!$N$2:$N$481,'Campaign Data'!$B$2:$B$481,A12)</x:f>
        <x:v>17456050</x:v>
      </x:c>
      <x:c r="H12" s="138" t="n">
        <x:f>IFERROR(G12/B12,0)</x:f>
        <x:v>47.90143681945908</x:v>
      </x:c>
      <x:c r="I12" s="129"/>
      <x:c r="J12" s="129"/>
      <x:c r="K12" s="129"/>
      <x:c r="L12" s="129"/>
      <x:c r="M12" s="129"/>
      <x:c r="N12" s="129"/>
      <x:c r="O12" s="129"/>
      <x:c r="P12" s="129"/>
      <x:c r="Q12" s="129"/>
    </x:row>
    <x:row r="13">
      <x:c r="A13" s="135" t="str">
        <x:v>Email</x:v>
      </x:c>
      <x:c r="B13" s="136" t="n">
        <x:f>SUMIFS('Campaign Data'!$L$2:$L$481,'Campaign Data'!$B$2:$B$481,A13)</x:f>
        <x:v>104906</x:v>
      </x:c>
      <x:c r="C13" s="137" t="n">
        <x:f>SUMIFS('Campaign Data'!$G$2:$G$481,'Campaign Data'!$B$2:$B$481,A13)</x:f>
        <x:v>5438</x:v>
      </x:c>
      <x:c r="D13" s="137" t="n">
        <x:f>SUMIFS('Campaign Data'!$I$2:$I$481,'Campaign Data'!$B$2:$B$481,A13)</x:f>
        <x:v>2044</x:v>
      </x:c>
      <x:c r="E13" s="137" t="n">
        <x:f>SUMIFS('Campaign Data'!$J$2:$J$481,'Campaign Data'!$B$2:$B$481,A13)</x:f>
        <x:v>1080</x:v>
      </x:c>
      <x:c r="F13" s="137" t="n">
        <x:f>SUMIFS('Campaign Data'!$K$2:$K$481,'Campaign Data'!$B$2:$B$481,A13)</x:f>
        <x:v>326</x:v>
      </x:c>
      <x:c r="G13" s="136" t="n">
        <x:f>SUMIFS('Campaign Data'!$N$2:$N$481,'Campaign Data'!$B$2:$B$481,A13)</x:f>
        <x:v>29979280</x:v>
      </x:c>
      <x:c r="H13" s="138" t="n">
        <x:f>IFERROR(G13/B13,0)</x:f>
        <x:v>285.7727870665167</x:v>
      </x:c>
      <x:c r="I13" s="129"/>
      <x:c r="J13" s="129"/>
      <x:c r="K13" s="129"/>
      <x:c r="L13" s="129"/>
      <x:c r="M13" s="129"/>
      <x:c r="N13" s="129"/>
      <x:c r="O13" s="129"/>
      <x:c r="P13" s="129"/>
      <x:c r="Q13" s="129"/>
    </x:row>
    <x:row r="14">
      <x:c r="A14" s="135" t="str">
        <x:v>Trade Media</x:v>
      </x:c>
      <x:c r="B14" s="136" t="n">
        <x:f>SUMIFS('Campaign Data'!$L$2:$L$481,'Campaign Data'!$B$2:$B$481,A14)</x:f>
        <x:v>171084</x:v>
      </x:c>
      <x:c r="C14" s="137" t="n">
        <x:f>SUMIFS('Campaign Data'!$G$2:$G$481,'Campaign Data'!$B$2:$B$481,A14)</x:f>
        <x:v>1439</x:v>
      </x:c>
      <x:c r="D14" s="137" t="n">
        <x:f>SUMIFS('Campaign Data'!$I$2:$I$481,'Campaign Data'!$B$2:$B$481,A14)</x:f>
        <x:v>542</x:v>
      </x:c>
      <x:c r="E14" s="137" t="n">
        <x:f>SUMIFS('Campaign Data'!$J$2:$J$481,'Campaign Data'!$B$2:$B$481,A14)</x:f>
        <x:v>285</x:v>
      </x:c>
      <x:c r="F14" s="137" t="n">
        <x:f>SUMIFS('Campaign Data'!$K$2:$K$481,'Campaign Data'!$B$2:$B$481,A14)</x:f>
        <x:v>85</x:v>
      </x:c>
      <x:c r="G14" s="136" t="n">
        <x:f>SUMIFS('Campaign Data'!$N$2:$N$481,'Campaign Data'!$B$2:$B$481,A14)</x:f>
        <x:v>8013630</x:v>
      </x:c>
      <x:c r="H14" s="138" t="n">
        <x:f>IFERROR(G14/B14,0)</x:f>
        <x:v>46.8403240513432</x:v>
      </x:c>
      <x:c r="I14" s="129"/>
      <x:c r="J14" s="129"/>
      <x:c r="K14" s="129"/>
      <x:c r="L14" s="129"/>
      <x:c r="M14" s="129"/>
      <x:c r="N14" s="129"/>
      <x:c r="O14" s="129"/>
      <x:c r="P14" s="129"/>
      <x:c r="Q14" s="129"/>
    </x:row>
    <x:row r="15">
      <x:c r="A15" s="139" t="str">
        <x:v>Retargeting</x:v>
      </x:c>
      <x:c r="B15" s="140" t="n">
        <x:f>SUMIFS('Campaign Data'!$L$2:$L$481,'Campaign Data'!$B$2:$B$481,A15)</x:f>
        <x:v>299490</x:v>
      </x:c>
      <x:c r="C15" s="141" t="n">
        <x:f>SUMIFS('Campaign Data'!$G$2:$G$481,'Campaign Data'!$B$2:$B$481,A15)</x:f>
        <x:v>4832</x:v>
      </x:c>
      <x:c r="D15" s="141" t="n">
        <x:f>SUMIFS('Campaign Data'!$I$2:$I$481,'Campaign Data'!$B$2:$B$481,A15)</x:f>
        <x:v>1822</x:v>
      </x:c>
      <x:c r="E15" s="141" t="n">
        <x:f>SUMIFS('Campaign Data'!$J$2:$J$481,'Campaign Data'!$B$2:$B$481,A15)</x:f>
        <x:v>962</x:v>
      </x:c>
      <x:c r="F15" s="141" t="n">
        <x:f>SUMIFS('Campaign Data'!$K$2:$K$481,'Campaign Data'!$B$2:$B$481,A15)</x:f>
        <x:v>290</x:v>
      </x:c>
      <x:c r="G15" s="140" t="n">
        <x:f>SUMIFS('Campaign Data'!$N$2:$N$481,'Campaign Data'!$B$2:$B$481,A15)</x:f>
        <x:v>26974880</x:v>
      </x:c>
      <x:c r="H15" s="142" t="n">
        <x:f>IFERROR(G15/B15,0)</x:f>
        <x:v>90.06938462052155</x:v>
      </x:c>
      <x:c r="I15" s="129"/>
      <x:c r="J15" s="129"/>
      <x:c r="K15" s="129"/>
      <x:c r="L15" s="129"/>
      <x:c r="M15" s="129"/>
      <x:c r="N15" s="129"/>
      <x:c r="O15" s="129"/>
      <x:c r="P15" s="129"/>
      <x:c r="Q15" s="129"/>
    </x:row>
    <x:row r="16">
      <x:c r="A16" s="129"/>
      <x:c r="B16" s="129"/>
      <x:c r="C16" s="129"/>
      <x:c r="D16" s="129"/>
      <x:c r="E16" s="129"/>
      <x:c r="F16" s="129"/>
      <x:c r="G16" s="129"/>
      <x:c r="H16" s="129"/>
      <x:c r="I16" s="129"/>
      <x:c r="J16" s="129"/>
      <x:c r="K16" s="129"/>
      <x:c r="L16" s="129"/>
      <x:c r="M16" s="129"/>
      <x:c r="N16" s="129"/>
      <x:c r="O16" s="129"/>
      <x:c r="P16" s="129"/>
      <x:c r="Q16" s="129"/>
    </x:row>
    <x:row r="17">
      <x:c r="A17" s="129"/>
      <x:c r="B17" s="129"/>
      <x:c r="C17" s="129"/>
      <x:c r="D17" s="129"/>
      <x:c r="E17" s="129"/>
      <x:c r="F17" s="129"/>
      <x:c r="G17" s="129"/>
      <x:c r="H17" s="129"/>
      <x:c r="I17" s="129"/>
      <x:c r="J17" s="129"/>
      <x:c r="K17" s="129"/>
      <x:c r="L17" s="129"/>
      <x:c r="M17" s="129"/>
      <x:c r="N17" s="129"/>
      <x:c r="O17" s="129"/>
      <x:c r="P17" s="129"/>
      <x:c r="Q17" s="129"/>
    </x:row>
    <x:row r="18">
      <x:c r="A18" s="129"/>
      <x:c r="B18" s="129"/>
      <x:c r="C18" s="129"/>
      <x:c r="D18" s="129"/>
      <x:c r="E18" s="129"/>
      <x:c r="F18" s="129"/>
      <x:c r="G18" s="129"/>
      <x:c r="H18" s="129"/>
      <x:c r="I18" s="129"/>
      <x:c r="J18" s="129"/>
      <x:c r="K18" s="129"/>
      <x:c r="L18" s="129"/>
      <x:c r="M18" s="129"/>
      <x:c r="N18" s="129"/>
      <x:c r="O18" s="129"/>
      <x:c r="P18" s="129"/>
      <x:c r="Q18" s="129"/>
    </x:row>
    <x:row r="19">
      <x:c r="A19" s="94" t="str">
        <x:v>Month</x:v>
      </x:c>
      <x:c r="B19" s="94" t="str">
        <x:v>Spend</x:v>
      </x:c>
      <x:c r="C19" s="94" t="str">
        <x:v>Attributed Revenue</x:v>
      </x:c>
      <x:c r="D19" s="129"/>
      <x:c r="E19" s="129"/>
      <x:c r="F19" s="129"/>
      <x:c r="G19" s="129"/>
      <x:c r="H19" s="129"/>
      <x:c r="I19" s="129"/>
      <x:c r="J19" s="129"/>
      <x:c r="K19" s="129"/>
      <x:c r="L19" s="129"/>
      <x:c r="M19" s="129"/>
      <x:c r="N19" s="129"/>
      <x:c r="O19" s="129"/>
      <x:c r="P19" s="129"/>
      <x:c r="Q19" s="129"/>
    </x:row>
    <x:row r="20">
      <x:c r="A20" s="143" t="str">
        <x:v>Jan 2026</x:v>
      </x:c>
      <x:c r="B20" s="144" t="n">
        <x:f>SUMIFS('Campaign Data'!$L$2:$L$481,'Campaign Data'!$A$2:$A$481,DATE(2026,1,1))</x:f>
        <x:v>197124</x:v>
      </x:c>
      <x:c r="C20" s="144" t="n">
        <x:f>SUMIFS('Campaign Data'!$N$2:$N$481,'Campaign Data'!$A$2:$A$481,DATE(2026,1,1))</x:f>
        <x:v>9438130</x:v>
      </x:c>
      <x:c r="D20" s="129"/>
      <x:c r="E20" s="129"/>
      <x:c r="F20" s="129"/>
      <x:c r="G20" s="129"/>
      <x:c r="H20" s="129"/>
      <x:c r="I20" s="129"/>
      <x:c r="J20" s="129"/>
      <x:c r="K20" s="129"/>
      <x:c r="L20" s="129"/>
      <x:c r="M20" s="129"/>
      <x:c r="N20" s="129"/>
      <x:c r="O20" s="129"/>
      <x:c r="P20" s="129"/>
      <x:c r="Q20" s="129"/>
    </x:row>
    <x:row r="21">
      <x:c r="A21" s="145" t="str">
        <x:v>Feb 2026</x:v>
      </x:c>
      <x:c r="B21" s="146" t="n">
        <x:f>SUMIFS('Campaign Data'!$L$2:$L$481,'Campaign Data'!$A$2:$A$481,DATE(2026,2,1))</x:f>
        <x:v>225875</x:v>
      </x:c>
      <x:c r="C21" s="146" t="n">
        <x:f>SUMIFS('Campaign Data'!$N$2:$N$481,'Campaign Data'!$A$2:$A$481,DATE(2026,2,1))</x:f>
        <x:v>13114490</x:v>
      </x:c>
      <x:c r="D21" s="129"/>
      <x:c r="E21" s="129"/>
      <x:c r="F21" s="129"/>
      <x:c r="G21" s="129"/>
      <x:c r="H21" s="129"/>
      <x:c r="I21" s="129"/>
      <x:c r="J21" s="129"/>
      <x:c r="K21" s="129"/>
      <x:c r="L21" s="129"/>
      <x:c r="M21" s="129"/>
      <x:c r="N21" s="129"/>
      <x:c r="O21" s="129"/>
      <x:c r="P21" s="129"/>
      <x:c r="Q21" s="129"/>
    </x:row>
    <x:row r="22">
      <x:c r="A22" s="145" t="str">
        <x:v>Mar 2026</x:v>
      </x:c>
      <x:c r="B22" s="146" t="n">
        <x:f>SUMIFS('Campaign Data'!$L$2:$L$481,'Campaign Data'!$A$2:$A$481,DATE(2026,3,1))</x:f>
        <x:v>257362</x:v>
      </x:c>
      <x:c r="C22" s="146" t="n">
        <x:f>SUMIFS('Campaign Data'!$N$2:$N$481,'Campaign Data'!$A$2:$A$481,DATE(2026,3,1))</x:f>
        <x:v>17759650</x:v>
      </x:c>
      <x:c r="D22" s="129"/>
      <x:c r="E22" s="129"/>
      <x:c r="F22" s="129"/>
      <x:c r="G22" s="129"/>
      <x:c r="H22" s="129"/>
      <x:c r="I22" s="129"/>
      <x:c r="J22" s="129"/>
      <x:c r="K22" s="129"/>
      <x:c r="L22" s="129"/>
      <x:c r="M22" s="129"/>
      <x:c r="N22" s="129"/>
      <x:c r="O22" s="129"/>
      <x:c r="P22" s="129"/>
      <x:c r="Q22" s="129"/>
    </x:row>
    <x:row r="23">
      <x:c r="A23" s="145" t="str">
        <x:v>Apr 2026</x:v>
      </x:c>
      <x:c r="B23" s="146" t="n">
        <x:f>SUMIFS('Campaign Data'!$L$2:$L$481,'Campaign Data'!$A$2:$A$481,DATE(2026,4,1))</x:f>
        <x:v>290441</x:v>
      </x:c>
      <x:c r="C23" s="146" t="n">
        <x:f>SUMIFS('Campaign Data'!$N$2:$N$481,'Campaign Data'!$A$2:$A$481,DATE(2026,4,1))</x:f>
        <x:v>21854460</x:v>
      </x:c>
      <x:c r="D23" s="129"/>
      <x:c r="E23" s="129"/>
      <x:c r="F23" s="129"/>
      <x:c r="G23" s="129"/>
      <x:c r="H23" s="129"/>
      <x:c r="I23" s="129"/>
      <x:c r="J23" s="129"/>
      <x:c r="K23" s="129"/>
      <x:c r="L23" s="129"/>
      <x:c r="M23" s="129"/>
      <x:c r="N23" s="129"/>
      <x:c r="O23" s="129"/>
      <x:c r="P23" s="129"/>
      <x:c r="Q23" s="129"/>
    </x:row>
    <x:row r="24">
      <x:c r="A24" s="145" t="str">
        <x:v>May 2026</x:v>
      </x:c>
      <x:c r="B24" s="146" t="n">
        <x:f>SUMIFS('Campaign Data'!$L$2:$L$481,'Campaign Data'!$A$2:$A$481,DATE(2026,5,1))</x:f>
        <x:v>326739</x:v>
      </x:c>
      <x:c r="C24" s="146" t="n">
        <x:f>SUMIFS('Campaign Data'!$N$2:$N$481,'Campaign Data'!$A$2:$A$481,DATE(2026,5,1))</x:f>
        <x:v>27165850</x:v>
      </x:c>
      <x:c r="D24" s="129"/>
      <x:c r="E24" s="129"/>
      <x:c r="F24" s="129"/>
      <x:c r="G24" s="129"/>
      <x:c r="H24" s="129"/>
      <x:c r="I24" s="129"/>
      <x:c r="J24" s="129"/>
      <x:c r="K24" s="129"/>
      <x:c r="L24" s="129"/>
      <x:c r="M24" s="129"/>
      <x:c r="N24" s="129"/>
      <x:c r="O24" s="129"/>
      <x:c r="P24" s="129"/>
      <x:c r="Q24" s="129"/>
    </x:row>
    <x:row r="25">
      <x:c r="A25" s="147" t="str">
        <x:v>Jun 2026</x:v>
      </x:c>
      <x:c r="B25" s="148" t="n">
        <x:f>SUMIFS('Campaign Data'!$L$2:$L$481,'Campaign Data'!$A$2:$A$481,DATE(2026,6,1))</x:f>
        <x:v>366582</x:v>
      </x:c>
      <x:c r="C25" s="148" t="n">
        <x:f>SUMIFS('Campaign Data'!$N$2:$N$481,'Campaign Data'!$A$2:$A$481,DATE(2026,6,1))</x:f>
        <x:v>33678330</x:v>
      </x:c>
      <x:c r="D25" s="129"/>
      <x:c r="E25" s="129"/>
      <x:c r="F25" s="129"/>
      <x:c r="G25" s="129"/>
      <x:c r="H25" s="129"/>
      <x:c r="I25" s="129"/>
      <x:c r="J25" s="129"/>
      <x:c r="K25" s="129"/>
      <x:c r="L25" s="129"/>
      <x:c r="M25" s="129"/>
      <x:c r="N25" s="129"/>
      <x:c r="O25" s="129"/>
      <x:c r="P25" s="129"/>
      <x:c r="Q25" s="129"/>
    </x:row>
    <x:row r="26">
      <x:c r="A26" s="129"/>
      <x:c r="B26" s="129"/>
      <x:c r="C26" s="129"/>
      <x:c r="D26" s="129"/>
      <x:c r="E26" s="129"/>
      <x:c r="F26" s="129"/>
      <x:c r="G26" s="129"/>
      <x:c r="H26" s="129"/>
      <x:c r="I26" s="129"/>
      <x:c r="J26" s="129"/>
      <x:c r="K26" s="129"/>
      <x:c r="L26" s="129"/>
      <x:c r="M26" s="129"/>
      <x:c r="N26" s="129"/>
      <x:c r="O26" s="129"/>
      <x:c r="P26" s="129"/>
      <x:c r="Q26" s="129"/>
    </x:row>
    <x:row r="27">
      <x:c r="A27" s="129"/>
      <x:c r="B27" s="129"/>
      <x:c r="C27" s="129"/>
      <x:c r="D27" s="129"/>
      <x:c r="E27" s="129"/>
      <x:c r="F27" s="129"/>
      <x:c r="G27" s="129"/>
      <x:c r="H27" s="129"/>
      <x:c r="I27" s="129"/>
      <x:c r="J27" s="129"/>
      <x:c r="K27" s="129"/>
      <x:c r="L27" s="129"/>
      <x:c r="M27" s="129"/>
      <x:c r="N27" s="129"/>
      <x:c r="O27" s="129"/>
      <x:c r="P27" s="129"/>
      <x:c r="Q27" s="129"/>
    </x:row>
    <x:row r="28">
      <x:c r="A28" s="70" t="str">
        <x:v>Executive Recommendations</x:v>
      </x:c>
      <x:c r="B28" s="70"/>
      <x:c r="C28" s="70"/>
      <x:c r="D28" s="70"/>
      <x:c r="E28" s="70"/>
      <x:c r="F28" s="70"/>
      <x:c r="G28" s="70"/>
      <x:c r="H28" s="70"/>
      <x:c r="I28" s="70"/>
      <x:c r="J28" s="129"/>
      <x:c r="K28" s="129"/>
      <x:c r="L28" s="129"/>
      <x:c r="M28" s="129"/>
      <x:c r="N28" s="129"/>
      <x:c r="O28" s="129"/>
      <x:c r="P28" s="129"/>
      <x:c r="Q28" s="129"/>
    </x:row>
    <x:row r="29" ht="44" customHeight="1">
      <x:c r="A29" s="110" t="str">
        <x:v>1. Scale Google Search and retargeting where intent and ROAS are strongest;
preserve LinkedIn for high-value enterprise reach.</x:v>
      </x:c>
      <x:c r="B29" s="110"/>
      <x:c r="C29" s="110"/>
      <x:c r="D29" s="110"/>
      <x:c r="E29" s="110"/>
      <x:c r="F29" s="110"/>
      <x:c r="G29" s="110"/>
      <x:c r="H29" s="110"/>
      <x:c r="I29" s="110"/>
      <x:c r="J29" s="129"/>
      <x:c r="K29" s="129"/>
      <x:c r="L29" s="129"/>
      <x:c r="M29" s="129"/>
      <x:c r="N29" s="129"/>
      <x:c r="O29" s="129"/>
      <x:c r="P29" s="129"/>
      <x:c r="Q29" s="129"/>
    </x:row>
    <x:row r="30" ht="44" customHeight="1">
      <x:c r="A30" s="111" t="str">
        <x:v>2. Build product-specific landing pages for cartoning machines and case packers;
higher deal values improve pipeline efficiency.</x:v>
      </x:c>
      <x:c r="B30" s="111"/>
      <x:c r="C30" s="111"/>
      <x:c r="D30" s="111"/>
      <x:c r="E30" s="111"/>
      <x:c r="F30" s="111"/>
      <x:c r="G30" s="111"/>
      <x:c r="H30" s="111"/>
      <x:c r="I30" s="111"/>
      <x:c r="J30" s="129"/>
      <x:c r="K30" s="129"/>
      <x:c r="L30" s="129"/>
      <x:c r="M30" s="129"/>
      <x:c r="N30" s="129"/>
      <x:c r="O30" s="129"/>
      <x:c r="P30" s="129"/>
      <x:c r="Q30" s="129"/>
    </x:row>
    <x:row r="31" ht="44" customHeight="1">
      <x:c r="A31" s="111" t="str">
        <x:v>3. Use email nurturing to move MQLs to SQLs with ROI calculators, application videos,
and technical specification downloads.</x:v>
      </x:c>
      <x:c r="B31" s="111"/>
      <x:c r="C31" s="111"/>
      <x:c r="D31" s="111"/>
      <x:c r="E31" s="111"/>
      <x:c r="F31" s="111"/>
      <x:c r="G31" s="111"/>
      <x:c r="H31" s="111"/>
      <x:c r="I31" s="111"/>
      <x:c r="J31" s="129"/>
      <x:c r="K31" s="129"/>
      <x:c r="L31" s="129"/>
      <x:c r="M31" s="129"/>
      <x:c r="N31" s="129"/>
      <x:c r="O31" s="129"/>
      <x:c r="P31" s="129"/>
      <x:c r="Q31" s="129"/>
    </x:row>
    <x:row r="32" ht="44" customHeight="1">
      <x:c r="A32" s="112" t="str">
        <x:v>4. Review funnel leakage by region monthly; shift budget toward lower CPL
and higher opportunity-to-win conversion.</x:v>
      </x:c>
      <x:c r="B32" s="112"/>
      <x:c r="C32" s="112"/>
      <x:c r="D32" s="112"/>
      <x:c r="E32" s="112"/>
      <x:c r="F32" s="112"/>
      <x:c r="G32" s="112"/>
      <x:c r="H32" s="112"/>
      <x:c r="I32" s="112"/>
      <x:c r="J32" s="129"/>
      <x:c r="K32" s="129"/>
      <x:c r="L32" s="129"/>
      <x:c r="M32" s="129"/>
      <x:c r="N32" s="129"/>
      <x:c r="O32" s="129"/>
      <x:c r="P32" s="129"/>
      <x:c r="Q32" s="129"/>
    </x:row>
  </x:sheetData>
  <x:mergeCells>
    <x:mergeCell ref="A2:K2"/>
    <x:mergeCell ref="A4:K4"/>
    <x:mergeCell ref="A28:I28"/>
    <x:mergeCell ref="A29:I29"/>
    <x:mergeCell ref="A30:I30"/>
    <x:mergeCell ref="A31:I31"/>
    <x:mergeCell ref="A32:I32"/>
  </x:mergeCells>
  <x:conditionalFormatting sqref="H11:H15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drawing xmlns:r="http://schemas.openxmlformats.org/officeDocument/2006/relationships" r:id="R5c1789fe9ac2467a"/>
</x:worksheet>
</file>

<file path=xl/worksheets/sheet2.xml><?xml version="1.0" encoding="utf-8"?>
<x:worksheet xmlns:x="http://schemas.openxmlformats.org/spreadsheetml/2006/main">
  <x:sheetPr>
    <x:tabColor rgb="FF2878B5"/>
  </x:sheetPr>
  <x:sheetViews>
    <x:sheetView showGridLines="0" workbookViewId="0"/>
  </x:sheetViews>
  <x:sheetFormatPr defaultRowHeight="15"/>
  <x:cols>
    <x:col min="1" max="1" width="21" hidden="0" customWidth="1"/>
    <x:col min="2" max="2" width="18" hidden="0" customWidth="1"/>
    <x:col min="3" max="3" width="18" hidden="0" customWidth="1"/>
    <x:col min="4" max="4" width="3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>
      <x:c r="A1" s="129"/>
      <x:c r="B1" s="129"/>
      <x:c r="C1" s="129"/>
      <x:c r="D1" s="129"/>
      <x:c r="E1" s="129"/>
      <x:c r="F1" s="129"/>
      <x:c r="G1" s="129"/>
      <x:c r="H1" s="129"/>
    </x:row>
    <x:row r="2">
      <x:c r="A2" s="40" t="str">
        <x:v>Lead Funnel &amp; Conversion Analysis</x:v>
      </x:c>
      <x:c r="B2" s="40"/>
      <x:c r="C2" s="40"/>
      <x:c r="D2" s="40"/>
      <x:c r="E2" s="40"/>
      <x:c r="F2" s="40"/>
      <x:c r="G2" s="40"/>
      <x:c r="H2" s="40"/>
    </x:row>
    <x:row r="3">
      <x:c r="A3" s="130"/>
      <x:c r="B3" s="130"/>
      <x:c r="C3" s="130"/>
      <x:c r="D3" s="130"/>
      <x:c r="E3" s="130"/>
      <x:c r="F3" s="130"/>
      <x:c r="G3" s="130"/>
      <x:c r="H3" s="130"/>
    </x:row>
    <x:row r="4">
      <x:c r="A4" s="129"/>
      <x:c r="B4" s="129"/>
      <x:c r="C4" s="129"/>
      <x:c r="D4" s="129"/>
      <x:c r="E4" s="129"/>
      <x:c r="F4" s="129"/>
      <x:c r="G4" s="129"/>
      <x:c r="H4" s="129"/>
    </x:row>
    <x:row r="5">
      <x:c r="A5" s="113" t="str">
        <x:v>Stage</x:v>
      </x:c>
      <x:c r="B5" s="113" t="str">
        <x:v>Volume</x:v>
      </x:c>
      <x:c r="C5" s="113" t="str">
        <x:v>Stage Conversion</x:v>
      </x:c>
      <x:c r="D5" s="129"/>
      <x:c r="E5" s="94" t="str">
        <x:v>Region</x:v>
      </x:c>
      <x:c r="F5" s="94" t="str">
        <x:v>Leads</x:v>
      </x:c>
      <x:c r="G5" s="94" t="str">
        <x:v>Opportunities</x:v>
      </x:c>
      <x:c r="H5" s="94" t="str">
        <x:v>Wins</x:v>
      </x:c>
    </x:row>
    <x:row r="6">
      <x:c r="A6" s="131" t="str">
        <x:v>Impressions</x:v>
      </x:c>
      <x:c r="B6" s="133" t="n">
        <x:f>SUM('Campaign Data'!E2:E481)</x:f>
        <x:v>7909430</x:v>
      </x:c>
      <x:c r="C6" s="149" t="n">
        <x:v>1</x:v>
      </x:c>
      <x:c r="D6" s="129"/>
      <x:c r="E6" s="131" t="str">
        <x:v>Northeast</x:v>
      </x:c>
      <x:c r="F6" s="133" t="n">
        <x:f>SUMIFS('Campaign Data'!$G$2:$G$481,'Campaign Data'!$C$2:$C$481,E6)</x:f>
        <x:v>5258</x:v>
      </x:c>
      <x:c r="G6" s="133" t="n">
        <x:f>SUMIFS('Campaign Data'!$J$2:$J$481,'Campaign Data'!$C$2:$C$481,E6)</x:f>
        <x:v>988</x:v>
      </x:c>
      <x:c r="H6" s="133" t="n">
        <x:f>SUMIFS('Campaign Data'!$K$2:$K$481,'Campaign Data'!$C$2:$C$481,E6)</x:f>
        <x:v>278</x:v>
      </x:c>
    </x:row>
    <x:row r="7">
      <x:c r="A7" s="135" t="str">
        <x:v>Clicks</x:v>
      </x:c>
      <x:c r="B7" s="137" t="n">
        <x:f>SUM('Campaign Data'!F2:F481)</x:f>
        <x:v>274520</x:v>
      </x:c>
      <x:c r="C7" s="150" t="n">
        <x:f>IFERROR(B7/B6,0)</x:f>
        <x:v>0.03470793723441512</x:v>
      </x:c>
      <x:c r="D7" s="129"/>
      <x:c r="E7" s="135" t="str">
        <x:v>Midwest</x:v>
      </x:c>
      <x:c r="F7" s="137" t="n">
        <x:f>SUMIFS('Campaign Data'!$G$2:$G$481,'Campaign Data'!$C$2:$C$481,E7)</x:f>
        <x:v>5458</x:v>
      </x:c>
      <x:c r="G7" s="137" t="n">
        <x:f>SUMIFS('Campaign Data'!$J$2:$J$481,'Campaign Data'!$C$2:$C$481,E7)</x:f>
        <x:v>1072</x:v>
      </x:c>
      <x:c r="H7" s="137" t="n">
        <x:f>SUMIFS('Campaign Data'!$K$2:$K$481,'Campaign Data'!$C$2:$C$481,E7)</x:f>
        <x:v>317</x:v>
      </x:c>
    </x:row>
    <x:row r="8">
      <x:c r="A8" s="135" t="str">
        <x:v>Leads</x:v>
      </x:c>
      <x:c r="B8" s="137" t="n">
        <x:f>SUM('Campaign Data'!G2:G481)</x:f>
        <x:v>22114</x:v>
      </x:c>
      <x:c r="C8" s="150" t="n">
        <x:f>IFERROR(B8/B7,0)</x:f>
        <x:v>0.08055515080868425</x:v>
      </x:c>
      <x:c r="D8" s="129"/>
      <x:c r="E8" s="135" t="str">
        <x:v>South</x:v>
      </x:c>
      <x:c r="F8" s="137" t="n">
        <x:f>SUMIFS('Campaign Data'!$G$2:$G$481,'Campaign Data'!$C$2:$C$481,E8)</x:f>
        <x:v>5612</x:v>
      </x:c>
      <x:c r="G8" s="137" t="n">
        <x:f>SUMIFS('Campaign Data'!$J$2:$J$481,'Campaign Data'!$C$2:$C$481,E8)</x:f>
        <x:v>1131</x:v>
      </x:c>
      <x:c r="H8" s="137" t="n">
        <x:f>SUMIFS('Campaign Data'!$K$2:$K$481,'Campaign Data'!$C$2:$C$481,E8)</x:f>
        <x:v>347</x:v>
      </x:c>
    </x:row>
    <x:row r="9">
      <x:c r="A9" s="135" t="str">
        <x:v>MQLs</x:v>
      </x:c>
      <x:c r="B9" s="137" t="n">
        <x:f>SUM('Campaign Data'!H2:H481)</x:f>
        <x:v>14314</x:v>
      </x:c>
      <x:c r="C9" s="150" t="n">
        <x:f>IFERROR(B9/B8,0)</x:f>
        <x:v>0.6472822646287419</x:v>
      </x:c>
      <x:c r="D9" s="129"/>
      <x:c r="E9" s="151" t="str">
        <x:v>West</x:v>
      </x:c>
      <x:c r="F9" s="152" t="n">
        <x:f>SUMIFS('Campaign Data'!$G$2:$G$481,'Campaign Data'!$C$2:$C$481,E9)</x:f>
        <x:v>5786</x:v>
      </x:c>
      <x:c r="G9" s="152" t="n">
        <x:f>SUMIFS('Campaign Data'!$J$2:$J$481,'Campaign Data'!$C$2:$C$481,E9)</x:f>
        <x:v>1211</x:v>
      </x:c>
      <x:c r="H9" s="152" t="n">
        <x:f>SUMIFS('Campaign Data'!$K$2:$K$481,'Campaign Data'!$C$2:$C$481,E9)</x:f>
        <x:v>384</x:v>
      </x:c>
    </x:row>
    <x:row r="10">
      <x:c r="A10" s="135" t="str">
        <x:v>SQLs</x:v>
      </x:c>
      <x:c r="B10" s="137" t="n">
        <x:f>SUM('Campaign Data'!I2:I481)</x:f>
        <x:v>8325</x:v>
      </x:c>
      <x:c r="C10" s="150" t="n">
        <x:f>IFERROR(B10/B9,0)</x:f>
        <x:v>0.581598435098505</x:v>
      </x:c>
      <x:c r="D10" s="129"/>
      <x:c r="E10" s="129"/>
      <x:c r="F10" s="129"/>
      <x:c r="G10" s="129"/>
      <x:c r="H10" s="129"/>
    </x:row>
    <x:row r="11">
      <x:c r="A11" s="135" t="str">
        <x:v>Opportunities</x:v>
      </x:c>
      <x:c r="B11" s="137" t="n">
        <x:f>SUM('Campaign Data'!J2:J481)</x:f>
        <x:v>4402</x:v>
      </x:c>
      <x:c r="C11" s="150" t="n">
        <x:f>IFERROR(B11/B10,0)</x:f>
        <x:v>0.5287687687687688</x:v>
      </x:c>
      <x:c r="D11" s="129"/>
      <x:c r="E11" s="129"/>
      <x:c r="F11" s="129"/>
      <x:c r="G11" s="129"/>
      <x:c r="H11" s="129"/>
    </x:row>
    <x:row r="12">
      <x:c r="A12" s="151" t="str">
        <x:v>Wins</x:v>
      </x:c>
      <x:c r="B12" s="152" t="n">
        <x:f>SUM('Campaign Data'!K2:K481)</x:f>
        <x:v>1326</x:v>
      </x:c>
      <x:c r="C12" s="153" t="n">
        <x:f>IFERROR(B12/B11,0)</x:f>
        <x:v>0.3012267151294866</x:v>
      </x:c>
      <x:c r="D12" s="129"/>
      <x:c r="E12" s="129"/>
      <x:c r="F12" s="129"/>
      <x:c r="G12" s="129"/>
      <x:c r="H12" s="129"/>
    </x:row>
    <x:row r="13">
      <x:c r="A13" s="129"/>
      <x:c r="B13" s="129"/>
      <x:c r="C13" s="129"/>
      <x:c r="D13" s="129"/>
      <x:c r="E13" s="129"/>
      <x:c r="F13" s="129"/>
      <x:c r="G13" s="129"/>
      <x:c r="H13" s="129"/>
    </x:row>
    <x:row r="14">
      <x:c r="A14" s="129"/>
      <x:c r="B14" s="129"/>
      <x:c r="C14" s="129"/>
      <x:c r="D14" s="129"/>
      <x:c r="E14" s="129"/>
      <x:c r="F14" s="129"/>
      <x:c r="G14" s="129"/>
      <x:c r="H14" s="129"/>
    </x:row>
    <x:row r="15">
      <x:c r="A15" s="129"/>
      <x:c r="B15" s="129"/>
      <x:c r="C15" s="129"/>
      <x:c r="D15" s="129"/>
      <x:c r="E15" s="129"/>
      <x:c r="F15" s="129"/>
      <x:c r="G15" s="129"/>
      <x:c r="H15" s="129"/>
    </x:row>
  </x:sheetData>
  <x:mergeCells>
    <x:mergeCell ref="A2:H2"/>
  </x:mergeCells>
  <x:conditionalFormatting sqref="C7:C12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8" hidden="0" customWidth="1"/>
    <x:col min="3" max="3" width="13" hidden="0" customWidth="1"/>
    <x:col min="4" max="4" width="20" hidden="0" customWidth="1"/>
    <x:col min="5" max="5" width="13" hidden="0" customWidth="1"/>
    <x:col min="6" max="6" width="10" hidden="0" customWidth="1"/>
    <x:col min="7" max="7" width="9" hidden="0" customWidth="1"/>
    <x:col min="8" max="8" width="9" hidden="0" customWidth="1"/>
    <x:col min="9" max="9" width="9" hidden="0" customWidth="1"/>
    <x:col min="10" max="10" width="13" hidden="0" customWidth="1"/>
    <x:col min="11" max="11" width="8" hidden="0" customWidth="1"/>
    <x:col min="12" max="12" width="13" hidden="0" customWidth="1"/>
    <x:col min="13" max="13" width="16" hidden="0" customWidth="1"/>
    <x:col min="14" max="14" width="18" hidden="0" customWidth="1"/>
    <x:col min="15" max="15" width="9" hidden="0" customWidth="1"/>
    <x:col min="16" max="16" width="10" hidden="0" customWidth="1"/>
    <x:col min="17" max="17" width="11" hidden="0" customWidth="1"/>
    <x:col min="18" max="18" width="12" hidden="0" customWidth="1"/>
    <x:col min="19" max="19" width="9" hidden="0" customWidth="1"/>
    <x:col min="20" max="20" width="10" hidden="0" customWidth="1"/>
  </x:cols>
  <x:sheetData>
    <x:row r="1">
      <x:c r="A1" s="10" t="str">
        <x:v>Month</x:v>
      </x:c>
      <x:c r="B1" s="11" t="str">
        <x:v>Channel</x:v>
      </x:c>
      <x:c r="C1" s="11" t="str">
        <x:v>Region</x:v>
      </x:c>
      <x:c r="D1" s="11" t="str">
        <x:v>Product Line</x:v>
      </x:c>
      <x:c r="E1" s="11" t="str">
        <x:v>Impressions</x:v>
      </x:c>
      <x:c r="F1" s="11" t="str">
        <x:v>Clicks</x:v>
      </x:c>
      <x:c r="G1" s="11" t="str">
        <x:v>Leads</x:v>
      </x:c>
      <x:c r="H1" s="11" t="str">
        <x:v>MQLs</x:v>
      </x:c>
      <x:c r="I1" s="11" t="str">
        <x:v>SQLs</x:v>
      </x:c>
      <x:c r="J1" s="11" t="str">
        <x:v>Opportunities</x:v>
      </x:c>
      <x:c r="K1" s="11" t="str">
        <x:v>Wins</x:v>
      </x:c>
      <x:c r="L1" s="11" t="str">
        <x:v>Spend</x:v>
      </x:c>
      <x:c r="M1" s="11" t="str">
        <x:v>Pipeline Value</x:v>
      </x:c>
      <x:c r="N1" s="11" t="str">
        <x:v>Attributed Revenue</x:v>
      </x:c>
      <x:c r="O1" s="11" t="str">
        <x:v>CTR</x:v>
      </x:c>
      <x:c r="P1" s="11" t="str">
        <x:v>CPC</x:v>
      </x:c>
      <x:c r="Q1" s="11" t="str">
        <x:v>Lead CVR</x:v>
      </x:c>
      <x:c r="R1" s="11" t="str">
        <x:v>CPL</x:v>
      </x:c>
      <x:c r="S1" s="11" t="str">
        <x:v>ROAS</x:v>
      </x:c>
      <x:c r="T1" s="12" t="str">
        <x:v>Win Rate</x:v>
      </x:c>
    </x:row>
    <x:row r="2">
      <x:c r="A2" s="154" t="n">
        <x:v>46023</x:v>
      </x:c>
      <x:c r="B2" s="155" t="str">
        <x:v>Google Search</x:v>
      </x:c>
      <x:c r="C2" s="155" t="str">
        <x:v>Northeast</x:v>
      </x:c>
      <x:c r="D2" s="155" t="str">
        <x:v>Pouch Fillers</x:v>
      </x:c>
      <x:c r="E2" s="156" t="n">
        <x:v>20160</x:v>
      </x:c>
      <x:c r="F2" s="156" t="n">
        <x:v>758</x:v>
      </x:c>
      <x:c r="G2" s="156" t="n">
        <x:v>46</x:v>
      </x:c>
      <x:c r="H2" s="156" t="n">
        <x:v>27</x:v>
      </x:c>
      <x:c r="I2" s="156" t="n">
        <x:v>15</x:v>
      </x:c>
      <x:c r="J2" s="156" t="n">
        <x:v>7</x:v>
      </x:c>
      <x:c r="K2" s="156" t="n">
        <x:v>1</x:v>
      </x:c>
      <x:c r="L2" s="157" t="n">
        <x:v>4948</x:v>
      </x:c>
      <x:c r="M2" s="157" t="n">
        <x:v>416380</x:v>
      </x:c>
      <x:c r="N2" s="157" t="n">
        <x:v>76260</x:v>
      </x:c>
      <x:c r="O2" s="158" t="n">
        <x:f>IFERROR(F2/E2,0)</x:f>
        <x:v>0.03759920634920635</x:v>
      </x:c>
      <x:c r="P2" s="159" t="n">
        <x:f>IFERROR(L2/F2,0)</x:f>
        <x:v>6.527704485488127</x:v>
      </x:c>
      <x:c r="Q2" s="158" t="n">
        <x:f>IFERROR(G2/F2,0)</x:f>
        <x:v>0.06068601583113457</x:v>
      </x:c>
      <x:c r="R2" s="157" t="n">
        <x:f>IFERROR(L2/G2,0)</x:f>
        <x:v>107.56521739130434</x:v>
      </x:c>
      <x:c r="S2" s="160" t="n">
        <x:f>IFERROR(N2/L2,0)</x:f>
        <x:v>15.412287793047696</x:v>
      </x:c>
      <x:c r="T2" s="158" t="n">
        <x:f>IFERROR(K2/J2,0)</x:f>
        <x:v>0.14285714285714285</x:v>
      </x:c>
    </x:row>
    <x:row r="3">
      <x:c r="A3" s="161" t="n">
        <x:v>46023</x:v>
      </x:c>
      <x:c r="B3" s="162" t="str">
        <x:v>Google Search</x:v>
      </x:c>
      <x:c r="C3" s="162" t="str">
        <x:v>Northeast</x:v>
      </x:c>
      <x:c r="D3" s="162" t="str">
        <x:v>Cartoning Machines</x:v>
      </x:c>
      <x:c r="E3" s="163" t="n">
        <x:v>19560</x:v>
      </x:c>
      <x:c r="F3" s="163" t="n">
        <x:v>767</x:v>
      </x:c>
      <x:c r="G3" s="163" t="n">
        <x:v>48</x:v>
      </x:c>
      <x:c r="H3" s="163" t="n">
        <x:v>29</x:v>
      </x:c>
      <x:c r="I3" s="163" t="n">
        <x:v>16</x:v>
      </x:c>
      <x:c r="J3" s="163" t="n">
        <x:v>8</x:v>
      </x:c>
      <x:c r="K3" s="163" t="n">
        <x:v>2</x:v>
      </x:c>
      <x:c r="L3" s="164" t="n">
        <x:v>5007</x:v>
      </x:c>
      <x:c r="M3" s="164" t="n">
        <x:v>800842</x:v>
      </x:c>
      <x:c r="N3" s="164" t="n">
        <x:v>256680</x:v>
      </x:c>
      <x:c r="O3" s="165" t="n">
        <x:f>IFERROR(F3/E3,0)</x:f>
        <x:v>0.039212678936605315</x:v>
      </x:c>
      <x:c r="P3" s="166" t="n">
        <x:f>IFERROR(L3/F3,0)</x:f>
        <x:v>6.528031290743155</x:v>
      </x:c>
      <x:c r="Q3" s="165" t="n">
        <x:f>IFERROR(G3/F3,0)</x:f>
        <x:v>0.06258148631029987</x:v>
      </x:c>
      <x:c r="R3" s="164" t="n">
        <x:f>IFERROR(L3/G3,0)</x:f>
        <x:v>104.3125</x:v>
      </x:c>
      <x:c r="S3" s="167" t="n">
        <x:f>IFERROR(N3/L3,0)</x:f>
        <x:v>51.26423007789095</x:v>
      </x:c>
      <x:c r="T3" s="165" t="n">
        <x:f>IFERROR(K3/J3,0)</x:f>
        <x:v>0.25</x:v>
      </x:c>
    </x:row>
    <x:row r="4">
      <x:c r="A4" s="161" t="n">
        <x:v>46023</x:v>
      </x:c>
      <x:c r="B4" s="162" t="str">
        <x:v>Google Search</x:v>
      </x:c>
      <x:c r="C4" s="162" t="str">
        <x:v>Northeast</x:v>
      </x:c>
      <x:c r="D4" s="162" t="str">
        <x:v>Labeling Systems</x:v>
      </x:c>
      <x:c r="E4" s="163" t="n">
        <x:v>21600</x:v>
      </x:c>
      <x:c r="F4" s="163" t="n">
        <x:v>795</x:v>
      </x:c>
      <x:c r="G4" s="163" t="n">
        <x:v>48</x:v>
      </x:c>
      <x:c r="H4" s="163" t="n">
        <x:v>30</x:v>
      </x:c>
      <x:c r="I4" s="163" t="n">
        <x:v>17</x:v>
      </x:c>
      <x:c r="J4" s="163" t="n">
        <x:v>9</x:v>
      </x:c>
      <x:c r="K4" s="163" t="n">
        <x:v>2</x:v>
      </x:c>
      <x:c r="L4" s="164" t="n">
        <x:v>5190</x:v>
      </x:c>
      <x:c r="M4" s="164" t="n">
        <x:v>313373</x:v>
      </x:c>
      <x:c r="N4" s="164" t="n">
        <x:v>89280</x:v>
      </x:c>
      <x:c r="O4" s="165" t="n">
        <x:f>IFERROR(F4/E4,0)</x:f>
        <x:v>0.03680555555555556</x:v>
      </x:c>
      <x:c r="P4" s="166" t="n">
        <x:f>IFERROR(L4/F4,0)</x:f>
        <x:v>6.528301886792453</x:v>
      </x:c>
      <x:c r="Q4" s="165" t="n">
        <x:f>IFERROR(G4/F4,0)</x:f>
        <x:v>0.06037735849056604</x:v>
      </x:c>
      <x:c r="R4" s="164" t="n">
        <x:f>IFERROR(L4/G4,0)</x:f>
        <x:v>108.125</x:v>
      </x:c>
      <x:c r="S4" s="167" t="n">
        <x:f>IFERROR(N4/L4,0)</x:f>
        <x:v>17.202312138728324</x:v>
      </x:c>
      <x:c r="T4" s="165" t="n">
        <x:f>IFERROR(K4/J4,0)</x:f>
        <x:v>0.2222222222222222</x:v>
      </x:c>
    </x:row>
    <x:row r="5">
      <x:c r="A5" s="161" t="n">
        <x:v>46023</x:v>
      </x:c>
      <x:c r="B5" s="162" t="str">
        <x:v>Google Search</x:v>
      </x:c>
      <x:c r="C5" s="162" t="str">
        <x:v>Northeast</x:v>
      </x:c>
      <x:c r="D5" s="162" t="str">
        <x:v>Case Packers</x:v>
      </x:c>
      <x:c r="E5" s="163" t="n">
        <x:v>21000</x:v>
      </x:c>
      <x:c r="F5" s="163" t="n">
        <x:v>806</x:v>
      </x:c>
      <x:c r="G5" s="163" t="n">
        <x:v>51</x:v>
      </x:c>
      <x:c r="H5" s="163" t="n">
        <x:v>33</x:v>
      </x:c>
      <x:c r="I5" s="163" t="n">
        <x:v>18</x:v>
      </x:c>
      <x:c r="J5" s="163" t="n">
        <x:v>10</x:v>
      </x:c>
      <x:c r="K5" s="163" t="n">
        <x:v>2</x:v>
      </x:c>
      <x:c r="L5" s="164" t="n">
        <x:v>5262</x:v>
      </x:c>
      <x:c r="M5" s="164" t="n">
        <x:v>812448</x:v>
      </x:c>
      <x:c r="N5" s="164" t="n">
        <x:v>208320</x:v>
      </x:c>
      <x:c r="O5" s="165" t="n">
        <x:f>IFERROR(F5/E5,0)</x:f>
        <x:v>0.038380952380952384</x:v>
      </x:c>
      <x:c r="P5" s="166" t="n">
        <x:f>IFERROR(L5/F5,0)</x:f>
        <x:v>6.528535980148884</x:v>
      </x:c>
      <x:c r="Q5" s="165" t="n">
        <x:f>IFERROR(G5/F5,0)</x:f>
        <x:v>0.06327543424317618</x:v>
      </x:c>
      <x:c r="R5" s="164" t="n">
        <x:f>IFERROR(L5/G5,0)</x:f>
        <x:v>103.17647058823529</x:v>
      </x:c>
      <x:c r="S5" s="167" t="n">
        <x:f>IFERROR(N5/L5,0)</x:f>
        <x:v>39.58950969213227</x:v>
      </x:c>
      <x:c r="T5" s="165" t="n">
        <x:f>IFERROR(K5/J5,0)</x:f>
        <x:v>0.2</x:v>
      </x:c>
    </x:row>
    <x:row r="6">
      <x:c r="A6" s="161" t="n">
        <x:v>46023</x:v>
      </x:c>
      <x:c r="B6" s="162" t="str">
        <x:v>Google Search</x:v>
      </x:c>
      <x:c r="C6" s="162" t="str">
        <x:v>Midwest</x:v>
      </x:c>
      <x:c r="D6" s="162" t="str">
        <x:v>Pouch Fillers</x:v>
      </x:c>
      <x:c r="E6" s="163" t="n">
        <x:v>21480</x:v>
      </x:c>
      <x:c r="F6" s="163" t="n">
        <x:v>773</x:v>
      </x:c>
      <x:c r="G6" s="163" t="n">
        <x:v>47</x:v>
      </x:c>
      <x:c r="H6" s="163" t="n">
        <x:v>27</x:v>
      </x:c>
      <x:c r="I6" s="163" t="n">
        <x:v>15</x:v>
      </x:c>
      <x:c r="J6" s="163" t="n">
        <x:v>7</x:v>
      </x:c>
      <x:c r="K6" s="163" t="n">
        <x:v>2</x:v>
      </x:c>
      <x:c r="L6" s="164" t="n">
        <x:v>5125</x:v>
      </x:c>
      <x:c r="M6" s="164" t="n">
        <x:v>427573</x:v>
      </x:c>
      <x:c r="N6" s="164" t="n">
        <x:v>156620</x:v>
      </x:c>
      <x:c r="O6" s="165" t="n">
        <x:f>IFERROR(F6/E6,0)</x:f>
        <x:v>0.03598696461824953</x:v>
      </x:c>
      <x:c r="P6" s="166" t="n">
        <x:f>IFERROR(L6/F6,0)</x:f>
        <x:v>6.630012936610608</x:v>
      </x:c>
      <x:c r="Q6" s="165" t="n">
        <x:f>IFERROR(G6/F6,0)</x:f>
        <x:v>0.06080206985769728</x:v>
      </x:c>
      <x:c r="R6" s="164" t="n">
        <x:f>IFERROR(L6/G6,0)</x:f>
        <x:v>109.04255319148936</x:v>
      </x:c>
      <x:c r="S6" s="167" t="n">
        <x:f>IFERROR(N6/L6,0)</x:f>
        <x:v>30.56</x:v>
      </x:c>
      <x:c r="T6" s="165" t="n">
        <x:f>IFERROR(K6/J6,0)</x:f>
        <x:v>0.2857142857142857</x:v>
      </x:c>
    </x:row>
    <x:row r="7">
      <x:c r="A7" s="161" t="n">
        <x:v>46023</x:v>
      </x:c>
      <x:c r="B7" s="162" t="str">
        <x:v>Google Search</x:v>
      </x:c>
      <x:c r="C7" s="162" t="str">
        <x:v>Midwest</x:v>
      </x:c>
      <x:c r="D7" s="162" t="str">
        <x:v>Cartoning Machines</x:v>
      </x:c>
      <x:c r="E7" s="163" t="n">
        <x:v>20880</x:v>
      </x:c>
      <x:c r="F7" s="163" t="n">
        <x:v>785</x:v>
      </x:c>
      <x:c r="G7" s="163" t="n">
        <x:v>49</x:v>
      </x:c>
      <x:c r="H7" s="163" t="n">
        <x:v>30</x:v>
      </x:c>
      <x:c r="I7" s="163" t="n">
        <x:v>17</x:v>
      </x:c>
      <x:c r="J7" s="163" t="n">
        <x:v>9</x:v>
      </x:c>
      <x:c r="K7" s="163" t="n">
        <x:v>2</x:v>
      </x:c>
      <x:c r="L7" s="164" t="n">
        <x:v>5205</x:v>
      </x:c>
      <x:c r="M7" s="164" t="n">
        <x:v>925166</x:v>
      </x:c>
      <x:c r="N7" s="164" t="n">
        <x:v>263580</x:v>
      </x:c>
      <x:c r="O7" s="165" t="n">
        <x:f>IFERROR(F7/E7,0)</x:f>
        <x:v>0.037595785440613025</x:v>
      </x:c>
      <x:c r="P7" s="166" t="n">
        <x:f>IFERROR(L7/F7,0)</x:f>
        <x:v>6.630573248407643</x:v>
      </x:c>
      <x:c r="Q7" s="165" t="n">
        <x:f>IFERROR(G7/F7,0)</x:f>
        <x:v>0.062420382165605096</x:v>
      </x:c>
      <x:c r="R7" s="164" t="n">
        <x:f>IFERROR(L7/G7,0)</x:f>
        <x:v>106.22448979591837</x:v>
      </x:c>
      <x:c r="S7" s="167" t="n">
        <x:f>IFERROR(N7/L7,0)</x:f>
        <x:v>50.63976945244957</x:v>
      </x:c>
      <x:c r="T7" s="165" t="n">
        <x:f>IFERROR(K7/J7,0)</x:f>
        <x:v>0.2222222222222222</x:v>
      </x:c>
    </x:row>
    <x:row r="8">
      <x:c r="A8" s="161" t="n">
        <x:v>46023</x:v>
      </x:c>
      <x:c r="B8" s="162" t="str">
        <x:v>Google Search</x:v>
      </x:c>
      <x:c r="C8" s="162" t="str">
        <x:v>Midwest</x:v>
      </x:c>
      <x:c r="D8" s="162" t="str">
        <x:v>Labeling Systems</x:v>
      </x:c>
      <x:c r="E8" s="163" t="n">
        <x:v>22920</x:v>
      </x:c>
      <x:c r="F8" s="163" t="n">
        <x:v>898</x:v>
      </x:c>
      <x:c r="G8" s="163" t="n">
        <x:v>55</x:v>
      </x:c>
      <x:c r="H8" s="163" t="n">
        <x:v>35</x:v>
      </x:c>
      <x:c r="I8" s="163" t="n">
        <x:v>20</x:v>
      </x:c>
      <x:c r="J8" s="163" t="n">
        <x:v>11</x:v>
      </x:c>
      <x:c r="K8" s="163" t="n">
        <x:v>2</x:v>
      </x:c>
      <x:c r="L8" s="164" t="n">
        <x:v>5954</x:v>
      </x:c>
      <x:c r="M8" s="164" t="n">
        <x:v>393307</x:v>
      </x:c>
      <x:c r="N8" s="164" t="n">
        <x:v>91680</x:v>
      </x:c>
      <x:c r="O8" s="165" t="n">
        <x:f>IFERROR(F8/E8,0)</x:f>
        <x:v>0.03917975567190227</x:v>
      </x:c>
      <x:c r="P8" s="166" t="n">
        <x:f>IFERROR(L8/F8,0)</x:f>
        <x:v>6.630289532293987</x:v>
      </x:c>
      <x:c r="Q8" s="165" t="n">
        <x:f>IFERROR(G8/F8,0)</x:f>
        <x:v>0.061247216035634745</x:v>
      </x:c>
      <x:c r="R8" s="164" t="n">
        <x:f>IFERROR(L8/G8,0)</x:f>
        <x:v>108.25454545454545</x:v>
      </x:c>
      <x:c r="S8" s="167" t="n">
        <x:f>IFERROR(N8/L8,0)</x:f>
        <x:v>15.39805172992946</x:v>
      </x:c>
      <x:c r="T8" s="165" t="n">
        <x:f>IFERROR(K8/J8,0)</x:f>
        <x:v>0.18181818181818182</x:v>
      </x:c>
    </x:row>
    <x:row r="9">
      <x:c r="A9" s="161" t="n">
        <x:v>46023</x:v>
      </x:c>
      <x:c r="B9" s="162" t="str">
        <x:v>Google Search</x:v>
      </x:c>
      <x:c r="C9" s="162" t="str">
        <x:v>Midwest</x:v>
      </x:c>
      <x:c r="D9" s="162" t="str">
        <x:v>Case Packers</x:v>
      </x:c>
      <x:c r="E9" s="163" t="n">
        <x:v>22320</x:v>
      </x:c>
      <x:c r="F9" s="163" t="n">
        <x:v>821</x:v>
      </x:c>
      <x:c r="G9" s="163" t="n">
        <x:v>52</x:v>
      </x:c>
      <x:c r="H9" s="163" t="n">
        <x:v>34</x:v>
      </x:c>
      <x:c r="I9" s="163" t="n">
        <x:v>19</x:v>
      </x:c>
      <x:c r="J9" s="163" t="n">
        <x:v>11</x:v>
      </x:c>
      <x:c r="K9" s="163" t="n">
        <x:v>2</x:v>
      </x:c>
      <x:c r="L9" s="164" t="n">
        <x:v>5443</x:v>
      </x:c>
      <x:c r="M9" s="164" t="n">
        <x:v>917717</x:v>
      </x:c>
      <x:c r="N9" s="164" t="n">
        <x:v>213920</x:v>
      </x:c>
      <x:c r="O9" s="165" t="n">
        <x:f>IFERROR(F9/E9,0)</x:f>
        <x:v>0.0367831541218638</x:v>
      </x:c>
      <x:c r="P9" s="166" t="n">
        <x:f>IFERROR(L9/F9,0)</x:f>
        <x:v>6.629719853836784</x:v>
      </x:c>
      <x:c r="Q9" s="165" t="n">
        <x:f>IFERROR(G9/F9,0)</x:f>
        <x:v>0.06333739342265529</x:v>
      </x:c>
      <x:c r="R9" s="164" t="n">
        <x:f>IFERROR(L9/G9,0)</x:f>
        <x:v>104.67307692307692</x:v>
      </x:c>
      <x:c r="S9" s="167" t="n">
        <x:f>IFERROR(N9/L9,0)</x:f>
        <x:v>39.301855594341355</x:v>
      </x:c>
      <x:c r="T9" s="165" t="n">
        <x:f>IFERROR(K9/J9,0)</x:f>
        <x:v>0.18181818181818182</x:v>
      </x:c>
    </x:row>
    <x:row r="10">
      <x:c r="A10" s="161" t="n">
        <x:v>46023</x:v>
      </x:c>
      <x:c r="B10" s="162" t="str">
        <x:v>Google Search</x:v>
      </x:c>
      <x:c r="C10" s="162" t="str">
        <x:v>South</x:v>
      </x:c>
      <x:c r="D10" s="162" t="str">
        <x:v>Pouch Fillers</x:v>
      </x:c>
      <x:c r="E10" s="163" t="n">
        <x:v>22800</x:v>
      </x:c>
      <x:c r="F10" s="163" t="n">
        <x:v>876</x:v>
      </x:c>
      <x:c r="G10" s="163" t="n">
        <x:v>53</x:v>
      </x:c>
      <x:c r="H10" s="163" t="n">
        <x:v>31</x:v>
      </x:c>
      <x:c r="I10" s="163" t="n">
        <x:v>18</x:v>
      </x:c>
      <x:c r="J10" s="163" t="n">
        <x:v>9</x:v>
      </x:c>
      <x:c r="K10" s="163" t="n">
        <x:v>2</x:v>
      </x:c>
      <x:c r="L10" s="164" t="n">
        <x:v>5897</x:v>
      </x:c>
      <x:c r="M10" s="164" t="n">
        <x:v>564127</x:v>
      </x:c>
      <x:c r="N10" s="164" t="n">
        <x:v>160720</x:v>
      </x:c>
      <x:c r="O10" s="165" t="n">
        <x:f>IFERROR(F10/E10,0)</x:f>
        <x:v>0.038421052631578946</x:v>
      </x:c>
      <x:c r="P10" s="166" t="n">
        <x:f>IFERROR(L10/F10,0)</x:f>
        <x:v>6.731735159817352</x:v>
      </x:c>
      <x:c r="Q10" s="165" t="n">
        <x:f>IFERROR(G10/F10,0)</x:f>
        <x:v>0.06050228310502283</x:v>
      </x:c>
      <x:c r="R10" s="164" t="n">
        <x:f>IFERROR(L10/G10,0)</x:f>
        <x:v>111.26415094339623</x:v>
      </x:c>
      <x:c r="S10" s="167" t="n">
        <x:f>IFERROR(N10/L10,0)</x:f>
        <x:v>27.254536204849924</x:v>
      </x:c>
      <x:c r="T10" s="165" t="n">
        <x:f>IFERROR(K10/J10,0)</x:f>
        <x:v>0.2222222222222222</x:v>
      </x:c>
    </x:row>
    <x:row r="11">
      <x:c r="A11" s="161" t="n">
        <x:v>46023</x:v>
      </x:c>
      <x:c r="B11" s="162" t="str">
        <x:v>Google Search</x:v>
      </x:c>
      <x:c r="C11" s="162" t="str">
        <x:v>South</x:v>
      </x:c>
      <x:c r="D11" s="162" t="str">
        <x:v>Cartoning Machines</x:v>
      </x:c>
      <x:c r="E11" s="163" t="n">
        <x:v>22200</x:v>
      </x:c>
      <x:c r="F11" s="163" t="n">
        <x:v>799</x:v>
      </x:c>
      <x:c r="G11" s="163" t="n">
        <x:v>50</x:v>
      </x:c>
      <x:c r="H11" s="163" t="n">
        <x:v>30</x:v>
      </x:c>
      <x:c r="I11" s="163" t="n">
        <x:v>18</x:v>
      </x:c>
      <x:c r="J11" s="163" t="n">
        <x:v>9</x:v>
      </x:c>
      <x:c r="K11" s="163" t="n">
        <x:v>2</x:v>
      </x:c>
      <x:c r="L11" s="164" t="n">
        <x:v>5379</x:v>
      </x:c>
      <x:c r="M11" s="164" t="n">
        <x:v>949385</x:v>
      </x:c>
      <x:c r="N11" s="164" t="n">
        <x:v>270480</x:v>
      </x:c>
      <x:c r="O11" s="165" t="n">
        <x:f>IFERROR(F11/E11,0)</x:f>
        <x:v>0.03599099099099099</x:v>
      </x:c>
      <x:c r="P11" s="166" t="n">
        <x:f>IFERROR(L11/F11,0)</x:f>
        <x:v>6.732165206508135</x:v>
      </x:c>
      <x:c r="Q11" s="165" t="n">
        <x:f>IFERROR(G11/F11,0)</x:f>
        <x:v>0.0625782227784731</x:v>
      </x:c>
      <x:c r="R11" s="164" t="n">
        <x:f>IFERROR(L11/G11,0)</x:f>
        <x:v>107.58</x:v>
      </x:c>
      <x:c r="S11" s="167" t="n">
        <x:f>IFERROR(N11/L11,0)</x:f>
        <x:v>50.284439486893476</x:v>
      </x:c>
      <x:c r="T11" s="165" t="n">
        <x:f>IFERROR(K11/J11,0)</x:f>
        <x:v>0.2222222222222222</x:v>
      </x:c>
    </x:row>
    <x:row r="12">
      <x:c r="A12" s="161" t="n">
        <x:v>46023</x:v>
      </x:c>
      <x:c r="B12" s="162" t="str">
        <x:v>Google Search</x:v>
      </x:c>
      <x:c r="C12" s="162" t="str">
        <x:v>South</x:v>
      </x:c>
      <x:c r="D12" s="162" t="str">
        <x:v>Labeling Systems</x:v>
      </x:c>
      <x:c r="E12" s="163" t="n">
        <x:v>21600</x:v>
      </x:c>
      <x:c r="F12" s="163" t="n">
        <x:v>812</x:v>
      </x:c>
      <x:c r="G12" s="163" t="n">
        <x:v>50</x:v>
      </x:c>
      <x:c r="H12" s="163" t="n">
        <x:v>32</x:v>
      </x:c>
      <x:c r="I12" s="163" t="n">
        <x:v>19</x:v>
      </x:c>
      <x:c r="J12" s="163" t="n">
        <x:v>10</x:v>
      </x:c>
      <x:c r="K12" s="163" t="n">
        <x:v>2</x:v>
      </x:c>
      <x:c r="L12" s="164" t="n">
        <x:v>5466</x:v>
      </x:c>
      <x:c r="M12" s="164" t="n">
        <x:v>366912</x:v>
      </x:c>
      <x:c r="N12" s="164" t="n">
        <x:v>94080</x:v>
      </x:c>
      <x:c r="O12" s="165" t="n">
        <x:f>IFERROR(F12/E12,0)</x:f>
        <x:v>0.037592592592592594</x:v>
      </x:c>
      <x:c r="P12" s="166" t="n">
        <x:f>IFERROR(L12/F12,0)</x:f>
        <x:v>6.731527093596059</x:v>
      </x:c>
      <x:c r="Q12" s="165" t="n">
        <x:f>IFERROR(G12/F12,0)</x:f>
        <x:v>0.06157635467980296</x:v>
      </x:c>
      <x:c r="R12" s="164" t="n">
        <x:f>IFERROR(L12/G12,0)</x:f>
        <x:v>109.32</x:v>
      </x:c>
      <x:c r="S12" s="167" t="n">
        <x:f>IFERROR(N12/L12,0)</x:f>
        <x:v>17.21185510428101</x:v>
      </x:c>
      <x:c r="T12" s="165" t="n">
        <x:f>IFERROR(K12/J12,0)</x:f>
        <x:v>0.2</x:v>
      </x:c>
    </x:row>
    <x:row r="13">
      <x:c r="A13" s="161" t="n">
        <x:v>46023</x:v>
      </x:c>
      <x:c r="B13" s="162" t="str">
        <x:v>Google Search</x:v>
      </x:c>
      <x:c r="C13" s="162" t="str">
        <x:v>South</x:v>
      </x:c>
      <x:c r="D13" s="162" t="str">
        <x:v>Case Packers</x:v>
      </x:c>
      <x:c r="E13" s="163" t="n">
        <x:v>23640</x:v>
      </x:c>
      <x:c r="F13" s="163" t="n">
        <x:v>927</x:v>
      </x:c>
      <x:c r="G13" s="163" t="n">
        <x:v>58</x:v>
      </x:c>
      <x:c r="H13" s="163" t="n">
        <x:v>38</x:v>
      </x:c>
      <x:c r="I13" s="163" t="n">
        <x:v>22</x:v>
      </x:c>
      <x:c r="J13" s="163" t="n">
        <x:v>12</x:v>
      </x:c>
      <x:c r="K13" s="163" t="n">
        <x:v>3</x:v>
      </x:c>
      <x:c r="L13" s="164" t="n">
        <x:v>6241</x:v>
      </x:c>
      <x:c r="M13" s="164" t="n">
        <x:v>1027354</x:v>
      </x:c>
      <x:c r="N13" s="164" t="n">
        <x:v>329280</x:v>
      </x:c>
      <x:c r="O13" s="165" t="n">
        <x:f>IFERROR(F13/E13,0)</x:f>
        <x:v>0.039213197969543145</x:v>
      </x:c>
      <x:c r="P13" s="166" t="n">
        <x:f>IFERROR(L13/F13,0)</x:f>
        <x:v>6.732470334412082</x:v>
      </x:c>
      <x:c r="Q13" s="165" t="n">
        <x:f>IFERROR(G13/F13,0)</x:f>
        <x:v>0.06256742179072276</x:v>
      </x:c>
      <x:c r="R13" s="164" t="n">
        <x:f>IFERROR(L13/G13,0)</x:f>
        <x:v>107.60344827586206</x:v>
      </x:c>
      <x:c r="S13" s="167" t="n">
        <x:f>IFERROR(N13/L13,0)</x:f>
        <x:v>52.76077551674411</x:v>
      </x:c>
      <x:c r="T13" s="165" t="n">
        <x:f>IFERROR(K13/J13,0)</x:f>
        <x:v>0.25</x:v>
      </x:c>
    </x:row>
    <x:row r="14">
      <x:c r="A14" s="161" t="n">
        <x:v>46023</x:v>
      </x:c>
      <x:c r="B14" s="162" t="str">
        <x:v>Google Search</x:v>
      </x:c>
      <x:c r="C14" s="162" t="str">
        <x:v>West</x:v>
      </x:c>
      <x:c r="D14" s="162" t="str">
        <x:v>Pouch Fillers</x:v>
      </x:c>
      <x:c r="E14" s="163" t="n">
        <x:v>21480</x:v>
      </x:c>
      <x:c r="F14" s="163" t="n">
        <x:v>790</x:v>
      </x:c>
      <x:c r="G14" s="163" t="n">
        <x:v>48</x:v>
      </x:c>
      <x:c r="H14" s="163" t="n">
        <x:v>28</x:v>
      </x:c>
      <x:c r="I14" s="163" t="n">
        <x:v>17</x:v>
      </x:c>
      <x:c r="J14" s="163" t="n">
        <x:v>8</x:v>
      </x:c>
      <x:c r="K14" s="163" t="n">
        <x:v>2</x:v>
      </x:c>
      <x:c r="L14" s="164" t="n">
        <x:v>5399</x:v>
      </x:c>
      <x:c r="M14" s="164" t="n">
        <x:v>514238</x:v>
      </x:c>
      <x:c r="N14" s="164" t="n">
        <x:v>164820</x:v>
      </x:c>
      <x:c r="O14" s="165" t="n">
        <x:f>IFERROR(F14/E14,0)</x:f>
        <x:v>0.03677839851024209</x:v>
      </x:c>
      <x:c r="P14" s="166" t="n">
        <x:f>IFERROR(L14/F14,0)</x:f>
        <x:v>6.834177215189873</x:v>
      </x:c>
      <x:c r="Q14" s="165" t="n">
        <x:f>IFERROR(G14/F14,0)</x:f>
        <x:v>0.060759493670886074</x:v>
      </x:c>
      <x:c r="R14" s="164" t="n">
        <x:f>IFERROR(L14/G14,0)</x:f>
        <x:v>112.47916666666667</x:v>
      </x:c>
      <x:c r="S14" s="167" t="n">
        <x:f>IFERROR(N14/L14,0)</x:f>
        <x:v>30.52787553250602</x:v>
      </x:c>
      <x:c r="T14" s="165" t="n">
        <x:f>IFERROR(K14/J14,0)</x:f>
        <x:v>0.25</x:v>
      </x:c>
    </x:row>
    <x:row r="15">
      <x:c r="A15" s="161" t="n">
        <x:v>46023</x:v>
      </x:c>
      <x:c r="B15" s="162" t="str">
        <x:v>Google Search</x:v>
      </x:c>
      <x:c r="C15" s="162" t="str">
        <x:v>West</x:v>
      </x:c>
      <x:c r="D15" s="162" t="str">
        <x:v>Cartoning Machines</x:v>
      </x:c>
      <x:c r="E15" s="163" t="n">
        <x:v>23520</x:v>
      </x:c>
      <x:c r="F15" s="163" t="n">
        <x:v>903</x:v>
      </x:c>
      <x:c r="G15" s="163" t="n">
        <x:v>57</x:v>
      </x:c>
      <x:c r="H15" s="163" t="n">
        <x:v>34</x:v>
      </x:c>
      <x:c r="I15" s="163" t="n">
        <x:v>21</x:v>
      </x:c>
      <x:c r="J15" s="163" t="n">
        <x:v>11</x:v>
      </x:c>
      <x:c r="K15" s="163" t="n">
        <x:v>3</x:v>
      </x:c>
      <x:c r="L15" s="164" t="n">
        <x:v>6171</x:v>
      </x:c>
      <x:c r="M15" s="164" t="n">
        <x:v>1189960</x:v>
      </x:c>
      <x:c r="N15" s="164" t="n">
        <x:v>416070</x:v>
      </x:c>
      <x:c r="O15" s="165" t="n">
        <x:f>IFERROR(F15/E15,0)</x:f>
        <x:v>0.038392857142857145</x:v>
      </x:c>
      <x:c r="P15" s="166" t="n">
        <x:f>IFERROR(L15/F15,0)</x:f>
        <x:v>6.833887043189368</x:v>
      </x:c>
      <x:c r="Q15" s="165" t="n">
        <x:f>IFERROR(G15/F15,0)</x:f>
        <x:v>0.06312292358803986</x:v>
      </x:c>
      <x:c r="R15" s="164" t="n">
        <x:f>IFERROR(L15/G15,0)</x:f>
        <x:v>108.26315789473684</x:v>
      </x:c>
      <x:c r="S15" s="167" t="n">
        <x:f>IFERROR(N15/L15,0)</x:f>
        <x:v>67.42343218279048</x:v>
      </x:c>
      <x:c r="T15" s="165" t="n">
        <x:f>IFERROR(K15/J15,0)</x:f>
        <x:v>0.2727272727272727</x:v>
      </x:c>
    </x:row>
    <x:row r="16">
      <x:c r="A16" s="161" t="n">
        <x:v>46023</x:v>
      </x:c>
      <x:c r="B16" s="162" t="str">
        <x:v>Google Search</x:v>
      </x:c>
      <x:c r="C16" s="162" t="str">
        <x:v>West</x:v>
      </x:c>
      <x:c r="D16" s="162" t="str">
        <x:v>Labeling Systems</x:v>
      </x:c>
      <x:c r="E16" s="163" t="n">
        <x:v>22920</x:v>
      </x:c>
      <x:c r="F16" s="163" t="n">
        <x:v>825</x:v>
      </x:c>
      <x:c r="G16" s="163" t="n">
        <x:v>50</x:v>
      </x:c>
      <x:c r="H16" s="163" t="n">
        <x:v>32</x:v>
      </x:c>
      <x:c r="I16" s="163" t="n">
        <x:v>20</x:v>
      </x:c>
      <x:c r="J16" s="163" t="n">
        <x:v>11</x:v>
      </x:c>
      <x:c r="K16" s="163" t="n">
        <x:v>3</x:v>
      </x:c>
      <x:c r="L16" s="164" t="n">
        <x:v>5638</x:v>
      </x:c>
      <x:c r="M16" s="164" t="n">
        <x:v>413899</x:v>
      </x:c>
      <x:c r="N16" s="164" t="n">
        <x:v>144720</x:v>
      </x:c>
      <x:c r="O16" s="165" t="n">
        <x:f>IFERROR(F16/E16,0)</x:f>
        <x:v>0.03599476439790576</x:v>
      </x:c>
      <x:c r="P16" s="166" t="n">
        <x:f>IFERROR(L16/F16,0)</x:f>
        <x:v>6.833939393939394</x:v>
      </x:c>
      <x:c r="Q16" s="165" t="n">
        <x:f>IFERROR(G16/F16,0)</x:f>
        <x:v>0.06060606060606061</x:v>
      </x:c>
      <x:c r="R16" s="164" t="n">
        <x:f>IFERROR(L16/G16,0)</x:f>
        <x:v>112.76</x:v>
      </x:c>
      <x:c r="S16" s="167" t="n">
        <x:f>IFERROR(N16/L16,0)</x:f>
        <x:v>25.66867683575736</x:v>
      </x:c>
      <x:c r="T16" s="165" t="n">
        <x:f>IFERROR(K16/J16,0)</x:f>
        <x:v>0.2727272727272727</x:v>
      </x:c>
    </x:row>
    <x:row r="17">
      <x:c r="A17" s="161" t="n">
        <x:v>46023</x:v>
      </x:c>
      <x:c r="B17" s="162" t="str">
        <x:v>Google Search</x:v>
      </x:c>
      <x:c r="C17" s="162" t="str">
        <x:v>West</x:v>
      </x:c>
      <x:c r="D17" s="162" t="str">
        <x:v>Case Packers</x:v>
      </x:c>
      <x:c r="E17" s="163" t="n">
        <x:v>24960</x:v>
      </x:c>
      <x:c r="F17" s="163" t="n">
        <x:v>938</x:v>
      </x:c>
      <x:c r="G17" s="163" t="n">
        <x:v>59</x:v>
      </x:c>
      <x:c r="H17" s="163" t="n">
        <x:v>39</x:v>
      </x:c>
      <x:c r="I17" s="163" t="n">
        <x:v>24</x:v>
      </x:c>
      <x:c r="J17" s="163" t="n">
        <x:v>14</x:v>
      </x:c>
      <x:c r="K17" s="163" t="n">
        <x:v>3</x:v>
      </x:c>
      <x:c r="L17" s="164" t="n">
        <x:v>6410</x:v>
      </x:c>
      <x:c r="M17" s="164" t="n">
        <x:v>1229155</x:v>
      </x:c>
      <x:c r="N17" s="164" t="n">
        <x:v>337680</x:v>
      </x:c>
      <x:c r="O17" s="165" t="n">
        <x:f>IFERROR(F17/E17,0)</x:f>
        <x:v>0.0375801282051282</x:v>
      </x:c>
      <x:c r="P17" s="166" t="n">
        <x:f>IFERROR(L17/F17,0)</x:f>
        <x:v>6.833688699360341</x:v>
      </x:c>
      <x:c r="Q17" s="165" t="n">
        <x:f>IFERROR(G17/F17,0)</x:f>
        <x:v>0.0628997867803838</x:v>
      </x:c>
      <x:c r="R17" s="164" t="n">
        <x:f>IFERROR(L17/G17,0)</x:f>
        <x:v>108.64406779661017</x:v>
      </x:c>
      <x:c r="S17" s="167" t="n">
        <x:f>IFERROR(N17/L17,0)</x:f>
        <x:v>52.6801872074883</x:v>
      </x:c>
      <x:c r="T17" s="165" t="n">
        <x:f>IFERROR(K17/J17,0)</x:f>
        <x:v>0.21428571428571427</x:v>
      </x:c>
    </x:row>
    <x:row r="18">
      <x:c r="A18" s="161" t="n">
        <x:v>46023</x:v>
      </x:c>
      <x:c r="B18" s="162" t="str">
        <x:v>LinkedIn</x:v>
      </x:c>
      <x:c r="C18" s="162" t="str">
        <x:v>Northeast</x:v>
      </x:c>
      <x:c r="D18" s="162" t="str">
        <x:v>Pouch Fillers</x:v>
      </x:c>
      <x:c r="E18" s="163" t="n">
        <x:v>12150</x:v>
      </x:c>
      <x:c r="F18" s="163" t="n">
        <x:v>258</x:v>
      </x:c>
      <x:c r="G18" s="163" t="n">
        <x:v>20</x:v>
      </x:c>
      <x:c r="H18" s="163" t="n">
        <x:v>12</x:v>
      </x:c>
      <x:c r="I18" s="163" t="n">
        <x:v>7</x:v>
      </x:c>
      <x:c r="J18" s="163" t="n">
        <x:v>3</x:v>
      </x:c>
      <x:c r="K18" s="163" t="n">
        <x:v>1</x:v>
      </x:c>
      <x:c r="L18" s="164" t="n">
        <x:v>2378</x:v>
      </x:c>
      <x:c r="M18" s="164" t="n">
        <x:v>178448</x:v>
      </x:c>
      <x:c r="N18" s="164" t="n">
        <x:v>76260</x:v>
      </x:c>
      <x:c r="O18" s="165" t="n">
        <x:f>IFERROR(F18/E18,0)</x:f>
        <x:v>0.02123456790123457</x:v>
      </x:c>
      <x:c r="P18" s="166" t="n">
        <x:f>IFERROR(L18/F18,0)</x:f>
        <x:v>9.217054263565892</x:v>
      </x:c>
      <x:c r="Q18" s="165" t="n">
        <x:f>IFERROR(G18/F18,0)</x:f>
        <x:v>0.07751937984496124</x:v>
      </x:c>
      <x:c r="R18" s="164" t="n">
        <x:f>IFERROR(L18/G18,0)</x:f>
        <x:v>118.9</x:v>
      </x:c>
      <x:c r="S18" s="167" t="n">
        <x:f>IFERROR(N18/L18,0)</x:f>
        <x:v>32.06896551724138</x:v>
      </x:c>
      <x:c r="T18" s="165" t="n">
        <x:f>IFERROR(K18/J18,0)</x:f>
        <x:v>0.3333333333333333</x:v>
      </x:c>
    </x:row>
    <x:row r="19">
      <x:c r="A19" s="161" t="n">
        <x:v>46023</x:v>
      </x:c>
      <x:c r="B19" s="162" t="str">
        <x:v>LinkedIn</x:v>
      </x:c>
      <x:c r="C19" s="162" t="str">
        <x:v>Northeast</x:v>
      </x:c>
      <x:c r="D19" s="162" t="str">
        <x:v>Cartoning Machines</x:v>
      </x:c>
      <x:c r="E19" s="163" t="n">
        <x:v>13425</x:v>
      </x:c>
      <x:c r="F19" s="163" t="n">
        <x:v>252</x:v>
      </x:c>
      <x:c r="G19" s="163" t="n">
        <x:v>20</x:v>
      </x:c>
      <x:c r="H19" s="163" t="n">
        <x:v>12</x:v>
      </x:c>
      <x:c r="I19" s="163" t="n">
        <x:v>7</x:v>
      </x:c>
      <x:c r="J19" s="163" t="n">
        <x:v>4</x:v>
      </x:c>
      <x:c r="K19" s="163" t="n">
        <x:v>1</x:v>
      </x:c>
      <x:c r="L19" s="164" t="n">
        <x:v>2322</x:v>
      </x:c>
      <x:c r="M19" s="164" t="n">
        <x:v>400421</x:v>
      </x:c>
      <x:c r="N19" s="164" t="n">
        <x:v>128340</x:v>
      </x:c>
      <x:c r="O19" s="165" t="n">
        <x:f>IFERROR(F19/E19,0)</x:f>
        <x:v>0.01877094972067039</x:v>
      </x:c>
      <x:c r="P19" s="166" t="n">
        <x:f>IFERROR(L19/F19,0)</x:f>
        <x:v>9.214285714285714</x:v>
      </x:c>
      <x:c r="Q19" s="165" t="n">
        <x:f>IFERROR(G19/F19,0)</x:f>
        <x:v>0.07936507936507936</x:v>
      </x:c>
      <x:c r="R19" s="164" t="n">
        <x:f>IFERROR(L19/G19,0)</x:f>
        <x:v>116.1</x:v>
      </x:c>
      <x:c r="S19" s="167" t="n">
        <x:f>IFERROR(N19/L19,0)</x:f>
        <x:v>55.27131782945737</x:v>
      </x:c>
      <x:c r="T19" s="165" t="n">
        <x:f>IFERROR(K19/J19,0)</x:f>
        <x:v>0.25</x:v>
      </x:c>
    </x:row>
    <x:row r="20">
      <x:c r="A20" s="161" t="n">
        <x:v>46023</x:v>
      </x:c>
      <x:c r="B20" s="162" t="str">
        <x:v>LinkedIn</x:v>
      </x:c>
      <x:c r="C20" s="162" t="str">
        <x:v>Northeast</x:v>
      </x:c>
      <x:c r="D20" s="162" t="str">
        <x:v>Labeling Systems</x:v>
      </x:c>
      <x:c r="E20" s="163" t="n">
        <x:v>13050</x:v>
      </x:c>
      <x:c r="F20" s="163" t="n">
        <x:v>266</x:v>
      </x:c>
      <x:c r="G20" s="163" t="n">
        <x:v>21</x:v>
      </x:c>
      <x:c r="H20" s="163" t="n">
        <x:v>13</x:v>
      </x:c>
      <x:c r="I20" s="163" t="n">
        <x:v>7</x:v>
      </x:c>
      <x:c r="J20" s="163" t="n">
        <x:v>4</x:v>
      </x:c>
      <x:c r="K20" s="163" t="n">
        <x:v>1</x:v>
      </x:c>
      <x:c r="L20" s="164" t="n">
        <x:v>2451</x:v>
      </x:c>
      <x:c r="M20" s="164" t="n">
        <x:v>139277</x:v>
      </x:c>
      <x:c r="N20" s="164" t="n">
        <x:v>44640</x:v>
      </x:c>
      <x:c r="O20" s="165" t="n">
        <x:f>IFERROR(F20/E20,0)</x:f>
        <x:v>0.02038314176245211</x:v>
      </x:c>
      <x:c r="P20" s="166" t="n">
        <x:f>IFERROR(L20/F20,0)</x:f>
        <x:v>9.214285714285714</x:v>
      </x:c>
      <x:c r="Q20" s="165" t="n">
        <x:f>IFERROR(G20/F20,0)</x:f>
        <x:v>0.07894736842105263</x:v>
      </x:c>
      <x:c r="R20" s="164" t="n">
        <x:f>IFERROR(L20/G20,0)</x:f>
        <x:v>116.71428571428571</x:v>
      </x:c>
      <x:c r="S20" s="167" t="n">
        <x:f>IFERROR(N20/L20,0)</x:f>
        <x:v>18.21297429620563</x:v>
      </x:c>
      <x:c r="T20" s="165" t="n">
        <x:f>IFERROR(K20/J20,0)</x:f>
        <x:v>0.25</x:v>
      </x:c>
    </x:row>
    <x:row r="21">
      <x:c r="A21" s="161" t="n">
        <x:v>46023</x:v>
      </x:c>
      <x:c r="B21" s="162" t="str">
        <x:v>LinkedIn</x:v>
      </x:c>
      <x:c r="C21" s="162" t="str">
        <x:v>Northeast</x:v>
      </x:c>
      <x:c r="D21" s="162" t="str">
        <x:v>Case Packers</x:v>
      </x:c>
      <x:c r="E21" s="163" t="n">
        <x:v>14325</x:v>
      </x:c>
      <x:c r="F21" s="163" t="n">
        <x:v>258</x:v>
      </x:c>
      <x:c r="G21" s="163" t="n">
        <x:v>21</x:v>
      </x:c>
      <x:c r="H21" s="163" t="n">
        <x:v>14</x:v>
      </x:c>
      <x:c r="I21" s="163" t="n">
        <x:v>8</x:v>
      </x:c>
      <x:c r="J21" s="163" t="n">
        <x:v>5</x:v>
      </x:c>
      <x:c r="K21" s="163" t="n">
        <x:v>1</x:v>
      </x:c>
      <x:c r="L21" s="164" t="n">
        <x:v>2378</x:v>
      </x:c>
      <x:c r="M21" s="164" t="n">
        <x:v>406224</x:v>
      </x:c>
      <x:c r="N21" s="164" t="n">
        <x:v>104160</x:v>
      </x:c>
      <x:c r="O21" s="165" t="n">
        <x:f>IFERROR(F21/E21,0)</x:f>
        <x:v>0.018010471204188482</x:v>
      </x:c>
      <x:c r="P21" s="166" t="n">
        <x:f>IFERROR(L21/F21,0)</x:f>
        <x:v>9.217054263565892</x:v>
      </x:c>
      <x:c r="Q21" s="165" t="n">
        <x:f>IFERROR(G21/F21,0)</x:f>
        <x:v>0.08139534883720931</x:v>
      </x:c>
      <x:c r="R21" s="164" t="n">
        <x:f>IFERROR(L21/G21,0)</x:f>
        <x:v>113.23809523809524</x:v>
      </x:c>
      <x:c r="S21" s="167" t="n">
        <x:f>IFERROR(N21/L21,0)</x:f>
        <x:v>43.80151387720774</x:v>
      </x:c>
      <x:c r="T21" s="165" t="n">
        <x:f>IFERROR(K21/J21,0)</x:f>
        <x:v>0.2</x:v>
      </x:c>
    </x:row>
    <x:row r="22">
      <x:c r="A22" s="161" t="n">
        <x:v>46023</x:v>
      </x:c>
      <x:c r="B22" s="162" t="str">
        <x:v>LinkedIn</x:v>
      </x:c>
      <x:c r="C22" s="162" t="str">
        <x:v>Midwest</x:v>
      </x:c>
      <x:c r="D22" s="162" t="str">
        <x:v>Pouch Fillers</x:v>
      </x:c>
      <x:c r="E22" s="163" t="n">
        <x:v>12975</x:v>
      </x:c>
      <x:c r="F22" s="163" t="n">
        <x:v>254</x:v>
      </x:c>
      <x:c r="G22" s="163" t="n">
        <x:v>20</x:v>
      </x:c>
      <x:c r="H22" s="163" t="n">
        <x:v>12</x:v>
      </x:c>
      <x:c r="I22" s="163" t="n">
        <x:v>7</x:v>
      </x:c>
      <x:c r="J22" s="163" t="n">
        <x:v>3</x:v>
      </x:c>
      <x:c r="K22" s="163" t="n">
        <x:v>1</x:v>
      </x:c>
      <x:c r="L22" s="164" t="n">
        <x:v>2377</x:v>
      </x:c>
      <x:c r="M22" s="164" t="n">
        <x:v>183245</x:v>
      </x:c>
      <x:c r="N22" s="164" t="n">
        <x:v>78310</x:v>
      </x:c>
      <x:c r="O22" s="165" t="n">
        <x:f>IFERROR(F22/E22,0)</x:f>
        <x:v>0.01957610789980732</x:v>
      </x:c>
      <x:c r="P22" s="166" t="n">
        <x:f>IFERROR(L22/F22,0)</x:f>
        <x:v>9.358267716535433</x:v>
      </x:c>
      <x:c r="Q22" s="165" t="n">
        <x:f>IFERROR(G22/F22,0)</x:f>
        <x:v>0.07874015748031496</x:v>
      </x:c>
      <x:c r="R22" s="164" t="n">
        <x:f>IFERROR(L22/G22,0)</x:f>
        <x:v>118.85</x:v>
      </x:c>
      <x:c r="S22" s="167" t="n">
        <x:f>IFERROR(N22/L22,0)</x:f>
        <x:v>32.94488851493479</x:v>
      </x:c>
      <x:c r="T22" s="165" t="n">
        <x:f>IFERROR(K22/J22,0)</x:f>
        <x:v>0.3333333333333333</x:v>
      </x:c>
    </x:row>
    <x:row r="23">
      <x:c r="A23" s="161" t="n">
        <x:v>46023</x:v>
      </x:c>
      <x:c r="B23" s="162" t="str">
        <x:v>LinkedIn</x:v>
      </x:c>
      <x:c r="C23" s="162" t="str">
        <x:v>Midwest</x:v>
      </x:c>
      <x:c r="D23" s="162" t="str">
        <x:v>Cartoning Machines</x:v>
      </x:c>
      <x:c r="E23" s="163" t="n">
        <x:v>12600</x:v>
      </x:c>
      <x:c r="F23" s="163" t="n">
        <x:v>267</x:v>
      </x:c>
      <x:c r="G23" s="163" t="n">
        <x:v>21</x:v>
      </x:c>
      <x:c r="H23" s="163" t="n">
        <x:v>13</x:v>
      </x:c>
      <x:c r="I23" s="163" t="n">
        <x:v>7</x:v>
      </x:c>
      <x:c r="J23" s="163" t="n">
        <x:v>4</x:v>
      </x:c>
      <x:c r="K23" s="163" t="n">
        <x:v>1</x:v>
      </x:c>
      <x:c r="L23" s="164" t="n">
        <x:v>2499</x:v>
      </x:c>
      <x:c r="M23" s="164" t="n">
        <x:v>411185</x:v>
      </x:c>
      <x:c r="N23" s="164" t="n">
        <x:v>131790</x:v>
      </x:c>
      <x:c r="O23" s="165" t="n">
        <x:f>IFERROR(F23/E23,0)</x:f>
        <x:v>0.02119047619047619</x:v>
      </x:c>
      <x:c r="P23" s="166" t="n">
        <x:f>IFERROR(L23/F23,0)</x:f>
        <x:v>9.359550561797754</x:v>
      </x:c>
      <x:c r="Q23" s="165" t="n">
        <x:f>IFERROR(G23/F23,0)</x:f>
        <x:v>0.07865168539325842</x:v>
      </x:c>
      <x:c r="R23" s="164" t="n">
        <x:f>IFERROR(L23/G23,0)</x:f>
        <x:v>119</x:v>
      </x:c>
      <x:c r="S23" s="167" t="n">
        <x:f>IFERROR(N23/L23,0)</x:f>
        <x:v>52.737094837935174</x:v>
      </x:c>
      <x:c r="T23" s="165" t="n">
        <x:f>IFERROR(K23/J23,0)</x:f>
        <x:v>0.25</x:v>
      </x:c>
    </x:row>
    <x:row r="24">
      <x:c r="A24" s="161" t="n">
        <x:v>46023</x:v>
      </x:c>
      <x:c r="B24" s="162" t="str">
        <x:v>LinkedIn</x:v>
      </x:c>
      <x:c r="C24" s="162" t="str">
        <x:v>Midwest</x:v>
      </x:c>
      <x:c r="D24" s="162" t="str">
        <x:v>Labeling Systems</x:v>
      </x:c>
      <x:c r="E24" s="163" t="n">
        <x:v>13875</x:v>
      </x:c>
      <x:c r="F24" s="163" t="n">
        <x:v>261</x:v>
      </x:c>
      <x:c r="G24" s="163" t="n">
        <x:v>20</x:v>
      </x:c>
      <x:c r="H24" s="163" t="n">
        <x:v>13</x:v>
      </x:c>
      <x:c r="I24" s="163" t="n">
        <x:v>7</x:v>
      </x:c>
      <x:c r="J24" s="163" t="n">
        <x:v>4</x:v>
      </x:c>
      <x:c r="K24" s="163" t="n">
        <x:v>1</x:v>
      </x:c>
      <x:c r="L24" s="164" t="n">
        <x:v>2443</x:v>
      </x:c>
      <x:c r="M24" s="164" t="n">
        <x:v>143021</x:v>
      </x:c>
      <x:c r="N24" s="164" t="n">
        <x:v>45840</x:v>
      </x:c>
      <x:c r="O24" s="165" t="n">
        <x:f>IFERROR(F24/E24,0)</x:f>
        <x:v>0.01881081081081081</x:v>
      </x:c>
      <x:c r="P24" s="166" t="n">
        <x:f>IFERROR(L24/F24,0)</x:f>
        <x:v>9.360153256704981</x:v>
      </x:c>
      <x:c r="Q24" s="165" t="n">
        <x:f>IFERROR(G24/F24,0)</x:f>
        <x:v>0.07662835249042145</x:v>
      </x:c>
      <x:c r="R24" s="164" t="n">
        <x:f>IFERROR(L24/G24,0)</x:f>
        <x:v>122.15</x:v>
      </x:c>
      <x:c r="S24" s="167" t="n">
        <x:f>IFERROR(N24/L24,0)</x:f>
        <x:v>18.763814981580026</x:v>
      </x:c>
      <x:c r="T24" s="165" t="n">
        <x:f>IFERROR(K24/J24,0)</x:f>
        <x:v>0.25</x:v>
      </x:c>
    </x:row>
    <x:row r="25">
      <x:c r="A25" s="161" t="n">
        <x:v>46023</x:v>
      </x:c>
      <x:c r="B25" s="162" t="str">
        <x:v>LinkedIn</x:v>
      </x:c>
      <x:c r="C25" s="162" t="str">
        <x:v>Midwest</x:v>
      </x:c>
      <x:c r="D25" s="162" t="str">
        <x:v>Case Packers</x:v>
      </x:c>
      <x:c r="E25" s="163" t="n">
        <x:v>13500</x:v>
      </x:c>
      <x:c r="F25" s="163" t="n">
        <x:v>275</x:v>
      </x:c>
      <x:c r="G25" s="163" t="n">
        <x:v>22</x:v>
      </x:c>
      <x:c r="H25" s="163" t="n">
        <x:v>14</x:v>
      </x:c>
      <x:c r="I25" s="163" t="n">
        <x:v>8</x:v>
      </x:c>
      <x:c r="J25" s="163" t="n">
        <x:v>5</x:v>
      </x:c>
      <x:c r="K25" s="163" t="n">
        <x:v>1</x:v>
      </x:c>
      <x:c r="L25" s="164" t="n">
        <x:v>2574</x:v>
      </x:c>
      <x:c r="M25" s="164" t="n">
        <x:v>417144</x:v>
      </x:c>
      <x:c r="N25" s="164" t="n">
        <x:v>106960</x:v>
      </x:c>
      <x:c r="O25" s="165" t="n">
        <x:f>IFERROR(F25/E25,0)</x:f>
        <x:v>0.020370370370370372</x:v>
      </x:c>
      <x:c r="P25" s="166" t="n">
        <x:f>IFERROR(L25/F25,0)</x:f>
        <x:v>9.36</x:v>
      </x:c>
      <x:c r="Q25" s="165" t="n">
        <x:f>IFERROR(G25/F25,0)</x:f>
        <x:v>0.08</x:v>
      </x:c>
      <x:c r="R25" s="164" t="n">
        <x:f>IFERROR(L25/G25,0)</x:f>
        <x:v>117</x:v>
      </x:c>
      <x:c r="S25" s="167" t="n">
        <x:f>IFERROR(N25/L25,0)</x:f>
        <x:v>41.55400155400155</x:v>
      </x:c>
      <x:c r="T25" s="165" t="n">
        <x:f>IFERROR(K25/J25,0)</x:f>
        <x:v>0.2</x:v>
      </x:c>
    </x:row>
    <x:row r="26">
      <x:c r="A26" s="161" t="n">
        <x:v>46023</x:v>
      </x:c>
      <x:c r="B26" s="162" t="str">
        <x:v>LinkedIn</x:v>
      </x:c>
      <x:c r="C26" s="162" t="str">
        <x:v>South</x:v>
      </x:c>
      <x:c r="D26" s="162" t="str">
        <x:v>Pouch Fillers</x:v>
      </x:c>
      <x:c r="E26" s="163" t="n">
        <x:v>13800</x:v>
      </x:c>
      <x:c r="F26" s="163" t="n">
        <x:v>248</x:v>
      </x:c>
      <x:c r="G26" s="163" t="n">
        <x:v>19</x:v>
      </x:c>
      <x:c r="H26" s="163" t="n">
        <x:v>11</x:v>
      </x:c>
      <x:c r="I26" s="163" t="n">
        <x:v>6</x:v>
      </x:c>
      <x:c r="J26" s="163" t="n">
        <x:v>3</x:v>
      </x:c>
      <x:c r="K26" s="163" t="n">
        <x:v>1</x:v>
      </x:c>
      <x:c r="L26" s="164" t="n">
        <x:v>2357</x:v>
      </x:c>
      <x:c r="M26" s="164" t="n">
        <x:v>188042</x:v>
      </x:c>
      <x:c r="N26" s="164" t="n">
        <x:v>80360</x:v>
      </x:c>
      <x:c r="O26" s="165" t="n">
        <x:f>IFERROR(F26/E26,0)</x:f>
        <x:v>0.017971014492753623</x:v>
      </x:c>
      <x:c r="P26" s="166" t="n">
        <x:f>IFERROR(L26/F26,0)</x:f>
        <x:v>9.504032258064516</x:v>
      </x:c>
      <x:c r="Q26" s="165" t="n">
        <x:f>IFERROR(G26/F26,0)</x:f>
        <x:v>0.07661290322580645</x:v>
      </x:c>
      <x:c r="R26" s="164" t="n">
        <x:f>IFERROR(L26/G26,0)</x:f>
        <x:v>124.05263157894737</x:v>
      </x:c>
      <x:c r="S26" s="167" t="n">
        <x:f>IFERROR(N26/L26,0)</x:f>
        <x:v>34.094187526516755</x:v>
      </x:c>
      <x:c r="T26" s="165" t="n">
        <x:f>IFERROR(K26/J26,0)</x:f>
        <x:v>0.3333333333333333</x:v>
      </x:c>
    </x:row>
    <x:row r="27">
      <x:c r="A27" s="161" t="n">
        <x:v>46023</x:v>
      </x:c>
      <x:c r="B27" s="162" t="str">
        <x:v>LinkedIn</x:v>
      </x:c>
      <x:c r="C27" s="162" t="str">
        <x:v>South</x:v>
      </x:c>
      <x:c r="D27" s="162" t="str">
        <x:v>Cartoning Machines</x:v>
      </x:c>
      <x:c r="E27" s="163" t="n">
        <x:v>13425</x:v>
      </x:c>
      <x:c r="F27" s="163" t="n">
        <x:v>263</x:v>
      </x:c>
      <x:c r="G27" s="163" t="n">
        <x:v>21</x:v>
      </x:c>
      <x:c r="H27" s="163" t="n">
        <x:v>13</x:v>
      </x:c>
      <x:c r="I27" s="163" t="n">
        <x:v>8</x:v>
      </x:c>
      <x:c r="J27" s="163" t="n">
        <x:v>4</x:v>
      </x:c>
      <x:c r="K27" s="163" t="n">
        <x:v>1</x:v>
      </x:c>
      <x:c r="L27" s="164" t="n">
        <x:v>2500</x:v>
      </x:c>
      <x:c r="M27" s="164" t="n">
        <x:v>421949</x:v>
      </x:c>
      <x:c r="N27" s="164" t="n">
        <x:v>135240</x:v>
      </x:c>
      <x:c r="O27" s="165" t="n">
        <x:f>IFERROR(F27/E27,0)</x:f>
        <x:v>0.019590316573556796</x:v>
      </x:c>
      <x:c r="P27" s="166" t="n">
        <x:f>IFERROR(L27/F27,0)</x:f>
        <x:v>9.505703422053232</x:v>
      </x:c>
      <x:c r="Q27" s="165" t="n">
        <x:f>IFERROR(G27/F27,0)</x:f>
        <x:v>0.07984790874524715</x:v>
      </x:c>
      <x:c r="R27" s="164" t="n">
        <x:f>IFERROR(L27/G27,0)</x:f>
        <x:v>119.04761904761905</x:v>
      </x:c>
      <x:c r="S27" s="167" t="n">
        <x:f>IFERROR(N27/L27,0)</x:f>
        <x:v>54.096</x:v>
      </x:c>
      <x:c r="T27" s="165" t="n">
        <x:f>IFERROR(K27/J27,0)</x:f>
        <x:v>0.25</x:v>
      </x:c>
    </x:row>
    <x:row r="28">
      <x:c r="A28" s="161" t="n">
        <x:v>46023</x:v>
      </x:c>
      <x:c r="B28" s="162" t="str">
        <x:v>LinkedIn</x:v>
      </x:c>
      <x:c r="C28" s="162" t="str">
        <x:v>South</x:v>
      </x:c>
      <x:c r="D28" s="162" t="str">
        <x:v>Labeling Systems</x:v>
      </x:c>
      <x:c r="E28" s="163" t="n">
        <x:v>14700</x:v>
      </x:c>
      <x:c r="F28" s="163" t="n">
        <x:v>312</x:v>
      </x:c>
      <x:c r="G28" s="163" t="n">
        <x:v>24</x:v>
      </x:c>
      <x:c r="H28" s="163" t="n">
        <x:v>15</x:v>
      </x:c>
      <x:c r="I28" s="163" t="n">
        <x:v>9</x:v>
      </x:c>
      <x:c r="J28" s="163" t="n">
        <x:v>5</x:v>
      </x:c>
      <x:c r="K28" s="163" t="n">
        <x:v>1</x:v>
      </x:c>
      <x:c r="L28" s="164" t="n">
        <x:v>2965</x:v>
      </x:c>
      <x:c r="M28" s="164" t="n">
        <x:v>183456</x:v>
      </x:c>
      <x:c r="N28" s="164" t="n">
        <x:v>47040</x:v>
      </x:c>
      <x:c r="O28" s="165" t="n">
        <x:f>IFERROR(F28/E28,0)</x:f>
        <x:v>0.02122448979591837</x:v>
      </x:c>
      <x:c r="P28" s="166" t="n">
        <x:f>IFERROR(L28/F28,0)</x:f>
        <x:v>9.503205128205128</x:v>
      </x:c>
      <x:c r="Q28" s="165" t="n">
        <x:f>IFERROR(G28/F28,0)</x:f>
        <x:v>0.07692307692307693</x:v>
      </x:c>
      <x:c r="R28" s="164" t="n">
        <x:f>IFERROR(L28/G28,0)</x:f>
        <x:v>123.54166666666667</x:v>
      </x:c>
      <x:c r="S28" s="167" t="n">
        <x:f>IFERROR(N28/L28,0)</x:f>
        <x:v>15.865092748735245</x:v>
      </x:c>
      <x:c r="T28" s="165" t="n">
        <x:f>IFERROR(K28/J28,0)</x:f>
        <x:v>0.2</x:v>
      </x:c>
    </x:row>
    <x:row r="29">
      <x:c r="A29" s="161" t="n">
        <x:v>46023</x:v>
      </x:c>
      <x:c r="B29" s="162" t="str">
        <x:v>LinkedIn</x:v>
      </x:c>
      <x:c r="C29" s="162" t="str">
        <x:v>South</x:v>
      </x:c>
      <x:c r="D29" s="162" t="str">
        <x:v>Case Packers</x:v>
      </x:c>
      <x:c r="E29" s="163" t="n">
        <x:v>14325</x:v>
      </x:c>
      <x:c r="F29" s="163" t="n">
        <x:v>269</x:v>
      </x:c>
      <x:c r="G29" s="163" t="n">
        <x:v>22</x:v>
      </x:c>
      <x:c r="H29" s="163" t="n">
        <x:v>14</x:v>
      </x:c>
      <x:c r="I29" s="163" t="n">
        <x:v>8</x:v>
      </x:c>
      <x:c r="J29" s="163" t="n">
        <x:v>5</x:v>
      </x:c>
      <x:c r="K29" s="163" t="n">
        <x:v>1</x:v>
      </x:c>
      <x:c r="L29" s="164" t="n">
        <x:v>2557</x:v>
      </x:c>
      <x:c r="M29" s="164" t="n">
        <x:v>428064</x:v>
      </x:c>
      <x:c r="N29" s="164" t="n">
        <x:v>109760</x:v>
      </x:c>
      <x:c r="O29" s="165" t="n">
        <x:f>IFERROR(F29/E29,0)</x:f>
        <x:v>0.018778359511343806</x:v>
      </x:c>
      <x:c r="P29" s="166" t="n">
        <x:f>IFERROR(L29/F29,0)</x:f>
        <x:v>9.50557620817844</x:v>
      </x:c>
      <x:c r="Q29" s="165" t="n">
        <x:f>IFERROR(G29/F29,0)</x:f>
        <x:v>0.08178438661710037</x:v>
      </x:c>
      <x:c r="R29" s="164" t="n">
        <x:f>IFERROR(L29/G29,0)</x:f>
        <x:v>116.22727272727273</x:v>
      </x:c>
      <x:c r="S29" s="167" t="n">
        <x:f>IFERROR(N29/L29,0)</x:f>
        <x:v>42.92530308955808</x:v>
      </x:c>
      <x:c r="T29" s="165" t="n">
        <x:f>IFERROR(K29/J29,0)</x:f>
        <x:v>0.2</x:v>
      </x:c>
    </x:row>
    <x:row r="30">
      <x:c r="A30" s="161" t="n">
        <x:v>46023</x:v>
      </x:c>
      <x:c r="B30" s="162" t="str">
        <x:v>LinkedIn</x:v>
      </x:c>
      <x:c r="C30" s="162" t="str">
        <x:v>West</x:v>
      </x:c>
      <x:c r="D30" s="162" t="str">
        <x:v>Pouch Fillers</x:v>
      </x:c>
      <x:c r="E30" s="163" t="n">
        <x:v>14625</x:v>
      </x:c>
      <x:c r="F30" s="163" t="n">
        <x:v>298</x:v>
      </x:c>
      <x:c r="G30" s="163" t="n">
        <x:v>23</x:v>
      </x:c>
      <x:c r="H30" s="163" t="n">
        <x:v>13</x:v>
      </x:c>
      <x:c r="I30" s="163" t="n">
        <x:v>8</x:v>
      </x:c>
      <x:c r="J30" s="163" t="n">
        <x:v>4</x:v>
      </x:c>
      <x:c r="K30" s="163" t="n">
        <x:v>1</x:v>
      </x:c>
      <x:c r="L30" s="164" t="n">
        <x:v>2875</x:v>
      </x:c>
      <x:c r="M30" s="164" t="n">
        <x:v>257119</x:v>
      </x:c>
      <x:c r="N30" s="164" t="n">
        <x:v>82410</x:v>
      </x:c>
      <x:c r="O30" s="165" t="n">
        <x:f>IFERROR(F30/E30,0)</x:f>
        <x:v>0.020376068376068375</x:v>
      </x:c>
      <x:c r="P30" s="166" t="n">
        <x:f>IFERROR(L30/F30,0)</x:f>
        <x:v>9.64765100671141</x:v>
      </x:c>
      <x:c r="Q30" s="165" t="n">
        <x:f>IFERROR(G30/F30,0)</x:f>
        <x:v>0.07718120805369127</x:v>
      </x:c>
      <x:c r="R30" s="164" t="n">
        <x:f>IFERROR(L30/G30,0)</x:f>
        <x:v>125</x:v>
      </x:c>
      <x:c r="S30" s="167" t="n">
        <x:f>IFERROR(N30/L30,0)</x:f>
        <x:v>28.664347826086956</x:v>
      </x:c>
      <x:c r="T30" s="165" t="n">
        <x:f>IFERROR(K30/J30,0)</x:f>
        <x:v>0.25</x:v>
      </x:c>
    </x:row>
    <x:row r="31">
      <x:c r="A31" s="161" t="n">
        <x:v>46023</x:v>
      </x:c>
      <x:c r="B31" s="162" t="str">
        <x:v>LinkedIn</x:v>
      </x:c>
      <x:c r="C31" s="162" t="str">
        <x:v>West</x:v>
      </x:c>
      <x:c r="D31" s="162" t="str">
        <x:v>Cartoning Machines</x:v>
      </x:c>
      <x:c r="E31" s="163" t="n">
        <x:v>14250</x:v>
      </x:c>
      <x:c r="F31" s="163" t="n">
        <x:v>257</x:v>
      </x:c>
      <x:c r="G31" s="163" t="n">
        <x:v>21</x:v>
      </x:c>
      <x:c r="H31" s="163" t="n">
        <x:v>13</x:v>
      </x:c>
      <x:c r="I31" s="163" t="n">
        <x:v>8</x:v>
      </x:c>
      <x:c r="J31" s="163" t="n">
        <x:v>4</x:v>
      </x:c>
      <x:c r="K31" s="163" t="n">
        <x:v>1</x:v>
      </x:c>
      <x:c r="L31" s="164" t="n">
        <x:v>2480</x:v>
      </x:c>
      <x:c r="M31" s="164" t="n">
        <x:v>432713</x:v>
      </x:c>
      <x:c r="N31" s="164" t="n">
        <x:v>138690</x:v>
      </x:c>
      <x:c r="O31" s="165" t="n">
        <x:f>IFERROR(F31/E31,0)</x:f>
        <x:v>0.018035087719298244</x:v>
      </x:c>
      <x:c r="P31" s="166" t="n">
        <x:f>IFERROR(L31/F31,0)</x:f>
        <x:v>9.649805447470817</x:v>
      </x:c>
      <x:c r="Q31" s="165" t="n">
        <x:f>IFERROR(G31/F31,0)</x:f>
        <x:v>0.08171206225680934</x:v>
      </x:c>
      <x:c r="R31" s="164" t="n">
        <x:f>IFERROR(L31/G31,0)</x:f>
        <x:v>118.0952380952381</x:v>
      </x:c>
      <x:c r="S31" s="167" t="n">
        <x:f>IFERROR(N31/L31,0)</x:f>
        <x:v>55.92338709677419</x:v>
      </x:c>
      <x:c r="T31" s="165" t="n">
        <x:f>IFERROR(K31/J31,0)</x:f>
        <x:v>0.25</x:v>
      </x:c>
    </x:row>
    <x:row r="32">
      <x:c r="A32" s="161" t="n">
        <x:v>46023</x:v>
      </x:c>
      <x:c r="B32" s="162" t="str">
        <x:v>LinkedIn</x:v>
      </x:c>
      <x:c r="C32" s="162" t="str">
        <x:v>West</x:v>
      </x:c>
      <x:c r="D32" s="162" t="str">
        <x:v>Labeling Systems</x:v>
      </x:c>
      <x:c r="E32" s="163" t="n">
        <x:v>15525</x:v>
      </x:c>
      <x:c r="F32" s="163" t="n">
        <x:v>304</x:v>
      </x:c>
      <x:c r="G32" s="163" t="n">
        <x:v>24</x:v>
      </x:c>
      <x:c r="H32" s="163" t="n">
        <x:v>15</x:v>
      </x:c>
      <x:c r="I32" s="163" t="n">
        <x:v>9</x:v>
      </x:c>
      <x:c r="J32" s="163" t="n">
        <x:v>5</x:v>
      </x:c>
      <x:c r="K32" s="163" t="n">
        <x:v>1</x:v>
      </x:c>
      <x:c r="L32" s="164" t="n">
        <x:v>2933</x:v>
      </x:c>
      <x:c r="M32" s="164" t="n">
        <x:v>188136</x:v>
      </x:c>
      <x:c r="N32" s="164" t="n">
        <x:v>48240</x:v>
      </x:c>
      <x:c r="O32" s="165" t="n">
        <x:f>IFERROR(F32/E32,0)</x:f>
        <x:v>0.01958132045088567</x:v>
      </x:c>
      <x:c r="P32" s="166" t="n">
        <x:f>IFERROR(L32/F32,0)</x:f>
        <x:v>9.648026315789474</x:v>
      </x:c>
      <x:c r="Q32" s="165" t="n">
        <x:f>IFERROR(G32/F32,0)</x:f>
        <x:v>0.07894736842105263</x:v>
      </x:c>
      <x:c r="R32" s="164" t="n">
        <x:f>IFERROR(L32/G32,0)</x:f>
        <x:v>122.20833333333333</x:v>
      </x:c>
      <x:c r="S32" s="167" t="n">
        <x:f>IFERROR(N32/L32,0)</x:f>
        <x:v>16.4473235594954</x:v>
      </x:c>
      <x:c r="T32" s="165" t="n">
        <x:f>IFERROR(K32/J32,0)</x:f>
        <x:v>0.2</x:v>
      </x:c>
    </x:row>
    <x:row r="33">
      <x:c r="A33" s="161" t="n">
        <x:v>46023</x:v>
      </x:c>
      <x:c r="B33" s="162" t="str">
        <x:v>LinkedIn</x:v>
      </x:c>
      <x:c r="C33" s="162" t="str">
        <x:v>West</x:v>
      </x:c>
      <x:c r="D33" s="162" t="str">
        <x:v>Case Packers</x:v>
      </x:c>
      <x:c r="E33" s="163" t="n">
        <x:v>15150</x:v>
      </x:c>
      <x:c r="F33" s="163" t="n">
        <x:v>321</x:v>
      </x:c>
      <x:c r="G33" s="163" t="n">
        <x:v>26</x:v>
      </x:c>
      <x:c r="H33" s="163" t="n">
        <x:v>17</x:v>
      </x:c>
      <x:c r="I33" s="163" t="n">
        <x:v>10</x:v>
      </x:c>
      <x:c r="J33" s="163" t="n">
        <x:v>6</x:v>
      </x:c>
      <x:c r="K33" s="163" t="n">
        <x:v>1</x:v>
      </x:c>
      <x:c r="L33" s="164" t="n">
        <x:v>3097</x:v>
      </x:c>
      <x:c r="M33" s="164" t="n">
        <x:v>526781</x:v>
      </x:c>
      <x:c r="N33" s="164" t="n">
        <x:v>112560</x:v>
      </x:c>
      <x:c r="O33" s="165" t="n">
        <x:f>IFERROR(F33/E33,0)</x:f>
        <x:v>0.02118811881188119</x:v>
      </x:c>
      <x:c r="P33" s="166" t="n">
        <x:f>IFERROR(L33/F33,0)</x:f>
        <x:v>9.64797507788162</x:v>
      </x:c>
      <x:c r="Q33" s="165" t="n">
        <x:f>IFERROR(G33/F33,0)</x:f>
        <x:v>0.08099688473520249</x:v>
      </x:c>
      <x:c r="R33" s="164" t="n">
        <x:f>IFERROR(L33/G33,0)</x:f>
        <x:v>119.11538461538461</x:v>
      </x:c>
      <x:c r="S33" s="167" t="n">
        <x:f>IFERROR(N33/L33,0)</x:f>
        <x:v>36.3448498546981</x:v>
      </x:c>
      <x:c r="T33" s="165" t="n">
        <x:f>IFERROR(K33/J33,0)</x:f>
        <x:v>0.16666666666666666</x:v>
      </x:c>
    </x:row>
    <x:row r="34">
      <x:c r="A34" s="161" t="n">
        <x:v>46023</x:v>
      </x:c>
      <x:c r="B34" s="162" t="str">
        <x:v>Email</x:v>
      </x:c>
      <x:c r="C34" s="162" t="str">
        <x:v>Northeast</x:v>
      </x:c>
      <x:c r="D34" s="162" t="str">
        <x:v>Pouch Fillers</x:v>
      </x:c>
      <x:c r="E34" s="163" t="n">
        <x:v>7020</x:v>
      </x:c>
      <x:c r="F34" s="163" t="n">
        <x:v>371</x:v>
      </x:c>
      <x:c r="G34" s="163" t="n">
        <x:v>35</x:v>
      </x:c>
      <x:c r="H34" s="163" t="n">
        <x:v>20</x:v>
      </x:c>
      <x:c r="I34" s="163" t="n">
        <x:v>11</x:v>
      </x:c>
      <x:c r="J34" s="163" t="n">
        <x:v>5</x:v>
      </x:c>
      <x:c r="K34" s="163" t="n">
        <x:v>1</x:v>
      </x:c>
      <x:c r="L34" s="164" t="n">
        <x:v>677</x:v>
      </x:c>
      <x:c r="M34" s="164" t="n">
        <x:v>297414</x:v>
      </x:c>
      <x:c r="N34" s="164" t="n">
        <x:v>76260</x:v>
      </x:c>
      <x:c r="O34" s="165" t="n">
        <x:f>IFERROR(F34/E34,0)</x:f>
        <x:v>0.052849002849002846</x:v>
      </x:c>
      <x:c r="P34" s="166" t="n">
        <x:f>IFERROR(L34/F34,0)</x:f>
        <x:v>1.8247978436657681</x:v>
      </x:c>
      <x:c r="Q34" s="165" t="n">
        <x:f>IFERROR(G34/F34,0)</x:f>
        <x:v>0.09433962264150944</x:v>
      </x:c>
      <x:c r="R34" s="164" t="n">
        <x:f>IFERROR(L34/G34,0)</x:f>
        <x:v>19.34285714285714</x:v>
      </x:c>
      <x:c r="S34" s="167" t="n">
        <x:f>IFERROR(N34/L34,0)</x:f>
        <x:v>112.6440177252585</x:v>
      </x:c>
      <x:c r="T34" s="165" t="n">
        <x:f>IFERROR(K34/J34,0)</x:f>
        <x:v>0.2</x:v>
      </x:c>
    </x:row>
    <x:row r="35">
      <x:c r="A35" s="161" t="n">
        <x:v>46023</x:v>
      </x:c>
      <x:c r="B35" s="162" t="str">
        <x:v>Email</x:v>
      </x:c>
      <x:c r="C35" s="162" t="str">
        <x:v>Northeast</x:v>
      </x:c>
      <x:c r="D35" s="162" t="str">
        <x:v>Cartoning Machines</x:v>
      </x:c>
      <x:c r="E35" s="163" t="n">
        <x:v>7785</x:v>
      </x:c>
      <x:c r="F35" s="163" t="n">
        <x:v>424</x:v>
      </x:c>
      <x:c r="G35" s="163" t="n">
        <x:v>40</x:v>
      </x:c>
      <x:c r="H35" s="163" t="n">
        <x:v>24</x:v>
      </x:c>
      <x:c r="I35" s="163" t="n">
        <x:v>13</x:v>
      </x:c>
      <x:c r="J35" s="163" t="n">
        <x:v>7</x:v>
      </x:c>
      <x:c r="K35" s="163" t="n">
        <x:v>1</x:v>
      </x:c>
      <x:c r="L35" s="164" t="n">
        <x:v>773</x:v>
      </x:c>
      <x:c r="M35" s="164" t="n">
        <x:v>700736</x:v>
      </x:c>
      <x:c r="N35" s="164" t="n">
        <x:v>128340</x:v>
      </x:c>
      <x:c r="O35" s="165" t="n">
        <x:f>IFERROR(F35/E35,0)</x:f>
        <x:v>0.05446371226718048</x:v>
      </x:c>
      <x:c r="P35" s="166" t="n">
        <x:f>IFERROR(L35/F35,0)</x:f>
        <x:v>1.8231132075471699</x:v>
      </x:c>
      <x:c r="Q35" s="165" t="n">
        <x:f>IFERROR(G35/F35,0)</x:f>
        <x:v>0.09433962264150944</x:v>
      </x:c>
      <x:c r="R35" s="164" t="n">
        <x:f>IFERROR(L35/G35,0)</x:f>
        <x:v>19.325</x:v>
      </x:c>
      <x:c r="S35" s="167" t="n">
        <x:f>IFERROR(N35/L35,0)</x:f>
        <x:v>166.02846054333764</x:v>
      </x:c>
      <x:c r="T35" s="165" t="n">
        <x:f>IFERROR(K35/J35,0)</x:f>
        <x:v>0.14285714285714285</x:v>
      </x:c>
    </x:row>
    <x:row r="36">
      <x:c r="A36" s="161" t="n">
        <x:v>46023</x:v>
      </x:c>
      <x:c r="B36" s="162" t="str">
        <x:v>Email</x:v>
      </x:c>
      <x:c r="C36" s="162" t="str">
        <x:v>Northeast</x:v>
      </x:c>
      <x:c r="D36" s="162" t="str">
        <x:v>Labeling Systems</x:v>
      </x:c>
      <x:c r="E36" s="163" t="n">
        <x:v>7560</x:v>
      </x:c>
      <x:c r="F36" s="163" t="n">
        <x:v>393</x:v>
      </x:c>
      <x:c r="G36" s="163" t="n">
        <x:v>37</x:v>
      </x:c>
      <x:c r="H36" s="163" t="n">
        <x:v>23</x:v>
      </x:c>
      <x:c r="I36" s="163" t="n">
        <x:v>13</x:v>
      </x:c>
      <x:c r="J36" s="163" t="n">
        <x:v>7</x:v>
      </x:c>
      <x:c r="K36" s="163" t="n">
        <x:v>1</x:v>
      </x:c>
      <x:c r="L36" s="164" t="n">
        <x:v>717</x:v>
      </x:c>
      <x:c r="M36" s="164" t="n">
        <x:v>243734</x:v>
      </x:c>
      <x:c r="N36" s="164" t="n">
        <x:v>44640</x:v>
      </x:c>
      <x:c r="O36" s="165" t="n">
        <x:f>IFERROR(F36/E36,0)</x:f>
        <x:v>0.05198412698412699</x:v>
      </x:c>
      <x:c r="P36" s="166" t="n">
        <x:f>IFERROR(L36/F36,0)</x:f>
        <x:v>1.8244274809160306</x:v>
      </x:c>
      <x:c r="Q36" s="165" t="n">
        <x:f>IFERROR(G36/F36,0)</x:f>
        <x:v>0.09414758269720101</x:v>
      </x:c>
      <x:c r="R36" s="164" t="n">
        <x:f>IFERROR(L36/G36,0)</x:f>
        <x:v>19.37837837837838</x:v>
      </x:c>
      <x:c r="S36" s="167" t="n">
        <x:f>IFERROR(N36/L36,0)</x:f>
        <x:v>62.25941422594142</x:v>
      </x:c>
      <x:c r="T36" s="165" t="n">
        <x:f>IFERROR(K36/J36,0)</x:f>
        <x:v>0.14285714285714285</x:v>
      </x:c>
    </x:row>
    <x:row r="37">
      <x:c r="A37" s="161" t="n">
        <x:v>46023</x:v>
      </x:c>
      <x:c r="B37" s="162" t="str">
        <x:v>Email</x:v>
      </x:c>
      <x:c r="C37" s="162" t="str">
        <x:v>Northeast</x:v>
      </x:c>
      <x:c r="D37" s="162" t="str">
        <x:v>Case Packers</x:v>
      </x:c>
      <x:c r="E37" s="163" t="n">
        <x:v>8325</x:v>
      </x:c>
      <x:c r="F37" s="163" t="n">
        <x:v>446</x:v>
      </x:c>
      <x:c r="G37" s="163" t="n">
        <x:v>42</x:v>
      </x:c>
      <x:c r="H37" s="163" t="n">
        <x:v>28</x:v>
      </x:c>
      <x:c r="I37" s="163" t="n">
        <x:v>15</x:v>
      </x:c>
      <x:c r="J37" s="163" t="n">
        <x:v>8</x:v>
      </x:c>
      <x:c r="K37" s="163" t="n">
        <x:v>2</x:v>
      </x:c>
      <x:c r="L37" s="164" t="n">
        <x:v>814</x:v>
      </x:c>
      <x:c r="M37" s="164" t="n">
        <x:v>649958</x:v>
      </x:c>
      <x:c r="N37" s="164" t="n">
        <x:v>208320</x:v>
      </x:c>
      <x:c r="O37" s="165" t="n">
        <x:f>IFERROR(F37/E37,0)</x:f>
        <x:v>0.05357357357357358</x:v>
      </x:c>
      <x:c r="P37" s="166" t="n">
        <x:f>IFERROR(L37/F37,0)</x:f>
        <x:v>1.8251121076233183</x:v>
      </x:c>
      <x:c r="Q37" s="165" t="n">
        <x:f>IFERROR(G37/F37,0)</x:f>
        <x:v>0.09417040358744394</x:v>
      </x:c>
      <x:c r="R37" s="164" t="n">
        <x:f>IFERROR(L37/G37,0)</x:f>
        <x:v>19.38095238095238</x:v>
      </x:c>
      <x:c r="S37" s="167" t="n">
        <x:f>IFERROR(N37/L37,0)</x:f>
        <x:v>255.92137592137593</x:v>
      </x:c>
      <x:c r="T37" s="165" t="n">
        <x:f>IFERROR(K37/J37,0)</x:f>
        <x:v>0.25</x:v>
      </x:c>
    </x:row>
    <x:row r="38">
      <x:c r="A38" s="161" t="n">
        <x:v>46023</x:v>
      </x:c>
      <x:c r="B38" s="162" t="str">
        <x:v>Email</x:v>
      </x:c>
      <x:c r="C38" s="162" t="str">
        <x:v>Midwest</x:v>
      </x:c>
      <x:c r="D38" s="162" t="str">
        <x:v>Pouch Fillers</x:v>
      </x:c>
      <x:c r="E38" s="163" t="n">
        <x:v>7515</x:v>
      </x:c>
      <x:c r="F38" s="163" t="n">
        <x:v>415</x:v>
      </x:c>
      <x:c r="G38" s="163" t="n">
        <x:v>39</x:v>
      </x:c>
      <x:c r="H38" s="163" t="n">
        <x:v>23</x:v>
      </x:c>
      <x:c r="I38" s="163" t="n">
        <x:v>13</x:v>
      </x:c>
      <x:c r="J38" s="163" t="n">
        <x:v>6</x:v>
      </x:c>
      <x:c r="K38" s="163" t="n">
        <x:v>1</x:v>
      </x:c>
      <x:c r="L38" s="164" t="n">
        <x:v>769</x:v>
      </x:c>
      <x:c r="M38" s="164" t="n">
        <x:v>366491</x:v>
      </x:c>
      <x:c r="N38" s="164" t="n">
        <x:v>78310</x:v>
      </x:c>
      <x:c r="O38" s="165" t="n">
        <x:f>IFERROR(F38/E38,0)</x:f>
        <x:v>0.0552228875582169</x:v>
      </x:c>
      <x:c r="P38" s="166" t="n">
        <x:f>IFERROR(L38/F38,0)</x:f>
        <x:v>1.853012048192771</x:v>
      </x:c>
      <x:c r="Q38" s="165" t="n">
        <x:f>IFERROR(G38/F38,0)</x:f>
        <x:v>0.09397590361445783</x:v>
      </x:c>
      <x:c r="R38" s="164" t="n">
        <x:f>IFERROR(L38/G38,0)</x:f>
        <x:v>19.71794871794872</x:v>
      </x:c>
      <x:c r="S38" s="167" t="n">
        <x:f>IFERROR(N38/L38,0)</x:f>
        <x:v>101.83355006501951</x:v>
      </x:c>
      <x:c r="T38" s="165" t="n">
        <x:f>IFERROR(K38/J38,0)</x:f>
        <x:v>0.16666666666666666</x:v>
      </x:c>
    </x:row>
    <x:row r="39">
      <x:c r="A39" s="161" t="n">
        <x:v>46023</x:v>
      </x:c>
      <x:c r="B39" s="162" t="str">
        <x:v>Email</x:v>
      </x:c>
      <x:c r="C39" s="162" t="str">
        <x:v>Midwest</x:v>
      </x:c>
      <x:c r="D39" s="162" t="str">
        <x:v>Cartoning Machines</x:v>
      </x:c>
      <x:c r="E39" s="163" t="n">
        <x:v>8280</x:v>
      </x:c>
      <x:c r="F39" s="163" t="n">
        <x:v>437</x:v>
      </x:c>
      <x:c r="G39" s="163" t="n">
        <x:v>42</x:v>
      </x:c>
      <x:c r="H39" s="163" t="n">
        <x:v>25</x:v>
      </x:c>
      <x:c r="I39" s="163" t="n">
        <x:v>14</x:v>
      </x:c>
      <x:c r="J39" s="163" t="n">
        <x:v>7</x:v>
      </x:c>
      <x:c r="K39" s="163" t="n">
        <x:v>2</x:v>
      </x:c>
      <x:c r="L39" s="164" t="n">
        <x:v>810</x:v>
      </x:c>
      <x:c r="M39" s="164" t="n">
        <x:v>719573</x:v>
      </x:c>
      <x:c r="N39" s="164" t="n">
        <x:v>263580</x:v>
      </x:c>
      <x:c r="O39" s="165" t="n">
        <x:f>IFERROR(F39/E39,0)</x:f>
        <x:v>0.05277777777777778</x:v>
      </x:c>
      <x:c r="P39" s="166" t="n">
        <x:f>IFERROR(L39/F39,0)</x:f>
        <x:v>1.8535469107551488</x:v>
      </x:c>
      <x:c r="Q39" s="165" t="n">
        <x:f>IFERROR(G39/F39,0)</x:f>
        <x:v>0.09610983981693363</x:v>
      </x:c>
      <x:c r="R39" s="164" t="n">
        <x:f>IFERROR(L39/G39,0)</x:f>
        <x:v>19.285714285714285</x:v>
      </x:c>
      <x:c r="S39" s="167" t="n">
        <x:f>IFERROR(N39/L39,0)</x:f>
        <x:v>325.4074074074074</x:v>
      </x:c>
      <x:c r="T39" s="165" t="n">
        <x:f>IFERROR(K39/J39,0)</x:f>
        <x:v>0.2857142857142857</x:v>
      </x:c>
    </x:row>
    <x:row r="40">
      <x:c r="A40" s="161" t="n">
        <x:v>46023</x:v>
      </x:c>
      <x:c r="B40" s="162" t="str">
        <x:v>Email</x:v>
      </x:c>
      <x:c r="C40" s="162" t="str">
        <x:v>Midwest</x:v>
      </x:c>
      <x:c r="D40" s="162" t="str">
        <x:v>Labeling Systems</x:v>
      </x:c>
      <x:c r="E40" s="163" t="n">
        <x:v>8055</x:v>
      </x:c>
      <x:c r="F40" s="163" t="n">
        <x:v>438</x:v>
      </x:c>
      <x:c r="G40" s="163" t="n">
        <x:v>41</x:v>
      </x:c>
      <x:c r="H40" s="163" t="n">
        <x:v>26</x:v>
      </x:c>
      <x:c r="I40" s="163" t="n">
        <x:v>15</x:v>
      </x:c>
      <x:c r="J40" s="163" t="n">
        <x:v>8</x:v>
      </x:c>
      <x:c r="K40" s="163" t="n">
        <x:v>2</x:v>
      </x:c>
      <x:c r="L40" s="164" t="n">
        <x:v>811</x:v>
      </x:c>
      <x:c r="M40" s="164" t="n">
        <x:v>286042</x:v>
      </x:c>
      <x:c r="N40" s="164" t="n">
        <x:v>91680</x:v>
      </x:c>
      <x:c r="O40" s="165" t="n">
        <x:f>IFERROR(F40/E40,0)</x:f>
        <x:v>0.054376163873370575</x:v>
      </x:c>
      <x:c r="P40" s="166" t="n">
        <x:f>IFERROR(L40/F40,0)</x:f>
        <x:v>1.8515981735159817</x:v>
      </x:c>
      <x:c r="Q40" s="165" t="n">
        <x:f>IFERROR(G40/F40,0)</x:f>
        <x:v>0.09360730593607305</x:v>
      </x:c>
      <x:c r="R40" s="164" t="n">
        <x:f>IFERROR(L40/G40,0)</x:f>
        <x:v>19.78048780487805</x:v>
      </x:c>
      <x:c r="S40" s="167" t="n">
        <x:f>IFERROR(N40/L40,0)</x:f>
        <x:v>113.04562268803946</x:v>
      </x:c>
      <x:c r="T40" s="165" t="n">
        <x:f>IFERROR(K40/J40,0)</x:f>
        <x:v>0.25</x:v>
      </x:c>
    </x:row>
    <x:row r="41">
      <x:c r="A41" s="161" t="n">
        <x:v>46023</x:v>
      </x:c>
      <x:c r="B41" s="162" t="str">
        <x:v>Email</x:v>
      </x:c>
      <x:c r="C41" s="162" t="str">
        <x:v>Midwest</x:v>
      </x:c>
      <x:c r="D41" s="162" t="str">
        <x:v>Case Packers</x:v>
      </x:c>
      <x:c r="E41" s="163" t="n">
        <x:v>8820</x:v>
      </x:c>
      <x:c r="F41" s="163" t="n">
        <x:v>459</x:v>
      </x:c>
      <x:c r="G41" s="163" t="n">
        <x:v>44</x:v>
      </x:c>
      <x:c r="H41" s="163" t="n">
        <x:v>29</x:v>
      </x:c>
      <x:c r="I41" s="163" t="n">
        <x:v>17</x:v>
      </x:c>
      <x:c r="J41" s="163" t="n">
        <x:v>10</x:v>
      </x:c>
      <x:c r="K41" s="163" t="n">
        <x:v>2</x:v>
      </x:c>
      <x:c r="L41" s="164" t="n">
        <x:v>850</x:v>
      </x:c>
      <x:c r="M41" s="164" t="n">
        <x:v>834288</x:v>
      </x:c>
      <x:c r="N41" s="164" t="n">
        <x:v>213920</x:v>
      </x:c>
      <x:c r="O41" s="165" t="n">
        <x:f>IFERROR(F41/E41,0)</x:f>
        <x:v>0.05204081632653061</x:v>
      </x:c>
      <x:c r="P41" s="166" t="n">
        <x:f>IFERROR(L41/F41,0)</x:f>
        <x:v>1.8518518518518519</x:v>
      </x:c>
      <x:c r="Q41" s="165" t="n">
        <x:f>IFERROR(G41/F41,0)</x:f>
        <x:v>0.09586056644880174</x:v>
      </x:c>
      <x:c r="R41" s="164" t="n">
        <x:f>IFERROR(L41/G41,0)</x:f>
        <x:v>19.318181818181817</x:v>
      </x:c>
      <x:c r="S41" s="167" t="n">
        <x:f>IFERROR(N41/L41,0)</x:f>
        <x:v>251.6705882352941</x:v>
      </x:c>
      <x:c r="T41" s="165" t="n">
        <x:f>IFERROR(K41/J41,0)</x:f>
        <x:v>0.2</x:v>
      </x:c>
    </x:row>
    <x:row r="42">
      <x:c r="A42" s="161" t="n">
        <x:v>46023</x:v>
      </x:c>
      <x:c r="B42" s="162" t="str">
        <x:v>Email</x:v>
      </x:c>
      <x:c r="C42" s="162" t="str">
        <x:v>South</x:v>
      </x:c>
      <x:c r="D42" s="162" t="str">
        <x:v>Pouch Fillers</x:v>
      </x:c>
      <x:c r="E42" s="163" t="n">
        <x:v>8010</x:v>
      </x:c>
      <x:c r="F42" s="163" t="n">
        <x:v>429</x:v>
      </x:c>
      <x:c r="G42" s="163" t="n">
        <x:v>40</x:v>
      </x:c>
      <x:c r="H42" s="163" t="n">
        <x:v>23</x:v>
      </x:c>
      <x:c r="I42" s="163" t="n">
        <x:v>14</x:v>
      </x:c>
      <x:c r="J42" s="163" t="n">
        <x:v>7</x:v>
      </x:c>
      <x:c r="K42" s="163" t="n">
        <x:v>2</x:v>
      </x:c>
      <x:c r="L42" s="164" t="n">
        <x:v>807</x:v>
      </x:c>
      <x:c r="M42" s="164" t="n">
        <x:v>438766</x:v>
      </x:c>
      <x:c r="N42" s="164" t="n">
        <x:v>160720</x:v>
      </x:c>
      <x:c r="O42" s="165" t="n">
        <x:f>IFERROR(F42/E42,0)</x:f>
        <x:v>0.05355805243445693</x:v>
      </x:c>
      <x:c r="P42" s="166" t="n">
        <x:f>IFERROR(L42/F42,0)</x:f>
        <x:v>1.881118881118881</x:v>
      </x:c>
      <x:c r="Q42" s="165" t="n">
        <x:f>IFERROR(G42/F42,0)</x:f>
        <x:v>0.09324009324009325</x:v>
      </x:c>
      <x:c r="R42" s="164" t="n">
        <x:f>IFERROR(L42/G42,0)</x:f>
        <x:v>20.175</x:v>
      </x:c>
      <x:c r="S42" s="167" t="n">
        <x:f>IFERROR(N42/L42,0)</x:f>
        <x:v>199.15737298636927</x:v>
      </x:c>
      <x:c r="T42" s="165" t="n">
        <x:f>IFERROR(K42/J42,0)</x:f>
        <x:v>0.2857142857142857</x:v>
      </x:c>
    </x:row>
    <x:row r="43">
      <x:c r="A43" s="161" t="n">
        <x:v>46023</x:v>
      </x:c>
      <x:c r="B43" s="162" t="str">
        <x:v>Email</x:v>
      </x:c>
      <x:c r="C43" s="162" t="str">
        <x:v>South</x:v>
      </x:c>
      <x:c r="D43" s="162" t="str">
        <x:v>Cartoning Machines</x:v>
      </x:c>
      <x:c r="E43" s="163" t="n">
        <x:v>8775</x:v>
      </x:c>
      <x:c r="F43" s="163" t="n">
        <x:v>484</x:v>
      </x:c>
      <x:c r="G43" s="163" t="n">
        <x:v>46</x:v>
      </x:c>
      <x:c r="H43" s="163" t="n">
        <x:v>28</x:v>
      </x:c>
      <x:c r="I43" s="163" t="n">
        <x:v>17</x:v>
      </x:c>
      <x:c r="J43" s="163" t="n">
        <x:v>9</x:v>
      </x:c>
      <x:c r="K43" s="163" t="n">
        <x:v>2</x:v>
      </x:c>
      <x:c r="L43" s="164" t="n">
        <x:v>910</x:v>
      </x:c>
      <x:c r="M43" s="164" t="n">
        <x:v>949385</x:v>
      </x:c>
      <x:c r="N43" s="164" t="n">
        <x:v>270480</x:v>
      </x:c>
      <x:c r="O43" s="165" t="n">
        <x:f>IFERROR(F43/E43,0)</x:f>
        <x:v>0.055156695156695155</x:v>
      </x:c>
      <x:c r="P43" s="166" t="n">
        <x:f>IFERROR(L43/F43,0)</x:f>
        <x:v>1.8801652892561984</x:v>
      </x:c>
      <x:c r="Q43" s="165" t="n">
        <x:f>IFERROR(G43/F43,0)</x:f>
        <x:v>0.09504132231404959</x:v>
      </x:c>
      <x:c r="R43" s="164" t="n">
        <x:f>IFERROR(L43/G43,0)</x:f>
        <x:v>19.782608695652176</x:v>
      </x:c>
      <x:c r="S43" s="167" t="n">
        <x:f>IFERROR(N43/L43,0)</x:f>
        <x:v>297.2307692307692</x:v>
      </x:c>
      <x:c r="T43" s="165" t="n">
        <x:f>IFERROR(K43/J43,0)</x:f>
        <x:v>0.2222222222222222</x:v>
      </x:c>
    </x:row>
    <x:row r="44">
      <x:c r="A44" s="161" t="n">
        <x:v>46023</x:v>
      </x:c>
      <x:c r="B44" s="162" t="str">
        <x:v>Email</x:v>
      </x:c>
      <x:c r="C44" s="162" t="str">
        <x:v>South</x:v>
      </x:c>
      <x:c r="D44" s="162" t="str">
        <x:v>Labeling Systems</x:v>
      </x:c>
      <x:c r="E44" s="163" t="n">
        <x:v>8550</x:v>
      </x:c>
      <x:c r="F44" s="163" t="n">
        <x:v>451</x:v>
      </x:c>
      <x:c r="G44" s="163" t="n">
        <x:v>42</x:v>
      </x:c>
      <x:c r="H44" s="163" t="n">
        <x:v>26</x:v>
      </x:c>
      <x:c r="I44" s="163" t="n">
        <x:v>15</x:v>
      </x:c>
      <x:c r="J44" s="163" t="n">
        <x:v>8</x:v>
      </x:c>
      <x:c r="K44" s="163" t="n">
        <x:v>2</x:v>
      </x:c>
      <x:c r="L44" s="164" t="n">
        <x:v>848</x:v>
      </x:c>
      <x:c r="M44" s="164" t="n">
        <x:v>293530</x:v>
      </x:c>
      <x:c r="N44" s="164" t="n">
        <x:v>94080</x:v>
      </x:c>
      <x:c r="O44" s="165" t="n">
        <x:f>IFERROR(F44/E44,0)</x:f>
        <x:v>0.052748538011695906</x:v>
      </x:c>
      <x:c r="P44" s="166" t="n">
        <x:f>IFERROR(L44/F44,0)</x:f>
        <x:v>1.8802660753880267</x:v>
      </x:c>
      <x:c r="Q44" s="165" t="n">
        <x:f>IFERROR(G44/F44,0)</x:f>
        <x:v>0.09312638580931264</x:v>
      </x:c>
      <x:c r="R44" s="164" t="n">
        <x:f>IFERROR(L44/G44,0)</x:f>
        <x:v>20.19047619047619</x:v>
      </x:c>
      <x:c r="S44" s="167" t="n">
        <x:f>IFERROR(N44/L44,0)</x:f>
        <x:v>110.94339622641509</x:v>
      </x:c>
      <x:c r="T44" s="165" t="n">
        <x:f>IFERROR(K44/J44,0)</x:f>
        <x:v>0.25</x:v>
      </x:c>
    </x:row>
    <x:row r="45">
      <x:c r="A45" s="161" t="n">
        <x:v>46023</x:v>
      </x:c>
      <x:c r="B45" s="162" t="str">
        <x:v>Email</x:v>
      </x:c>
      <x:c r="C45" s="162" t="str">
        <x:v>South</x:v>
      </x:c>
      <x:c r="D45" s="162" t="str">
        <x:v>Case Packers</x:v>
      </x:c>
      <x:c r="E45" s="163" t="n">
        <x:v>8325</x:v>
      </x:c>
      <x:c r="F45" s="163" t="n">
        <x:v>453</x:v>
      </x:c>
      <x:c r="G45" s="163" t="n">
        <x:v>43</x:v>
      </x:c>
      <x:c r="H45" s="163" t="n">
        <x:v>28</x:v>
      </x:c>
      <x:c r="I45" s="163" t="n">
        <x:v>17</x:v>
      </x:c>
      <x:c r="J45" s="163" t="n">
        <x:v>10</x:v>
      </x:c>
      <x:c r="K45" s="163" t="n">
        <x:v>2</x:v>
      </x:c>
      <x:c r="L45" s="164" t="n">
        <x:v>852</x:v>
      </x:c>
      <x:c r="M45" s="164" t="n">
        <x:v>856128</x:v>
      </x:c>
      <x:c r="N45" s="164" t="n">
        <x:v>219520</x:v>
      </x:c>
      <x:c r="O45" s="165" t="n">
        <x:f>IFERROR(F45/E45,0)</x:f>
        <x:v>0.054414414414414414</x:v>
      </x:c>
      <x:c r="P45" s="166" t="n">
        <x:f>IFERROR(L45/F45,0)</x:f>
        <x:v>1.880794701986755</x:v>
      </x:c>
      <x:c r="Q45" s="165" t="n">
        <x:f>IFERROR(G45/F45,0)</x:f>
        <x:v>0.09492273730684327</x:v>
      </x:c>
      <x:c r="R45" s="164" t="n">
        <x:f>IFERROR(L45/G45,0)</x:f>
        <x:v>19.813953488372093</x:v>
      </x:c>
      <x:c r="S45" s="167" t="n">
        <x:f>IFERROR(N45/L45,0)</x:f>
        <x:v>257.6525821596244</x:v>
      </x:c>
      <x:c r="T45" s="165" t="n">
        <x:f>IFERROR(K45/J45,0)</x:f>
        <x:v>0.2</x:v>
      </x:c>
    </x:row>
    <x:row r="46">
      <x:c r="A46" s="161" t="n">
        <x:v>46023</x:v>
      </x:c>
      <x:c r="B46" s="162" t="str">
        <x:v>Email</x:v>
      </x:c>
      <x:c r="C46" s="162" t="str">
        <x:v>West</x:v>
      </x:c>
      <x:c r="D46" s="162" t="str">
        <x:v>Pouch Fillers</x:v>
      </x:c>
      <x:c r="E46" s="163" t="n">
        <x:v>8505</x:v>
      </x:c>
      <x:c r="F46" s="163" t="n">
        <x:v>442</x:v>
      </x:c>
      <x:c r="G46" s="163" t="n">
        <x:v>41</x:v>
      </x:c>
      <x:c r="H46" s="163" t="n">
        <x:v>24</x:v>
      </x:c>
      <x:c r="I46" s="163" t="n">
        <x:v>15</x:v>
      </x:c>
      <x:c r="J46" s="163" t="n">
        <x:v>7</x:v>
      </x:c>
      <x:c r="K46" s="163" t="n">
        <x:v>2</x:v>
      </x:c>
      <x:c r="L46" s="164" t="n">
        <x:v>844</x:v>
      </x:c>
      <x:c r="M46" s="164" t="n">
        <x:v>449959</x:v>
      </x:c>
      <x:c r="N46" s="164" t="n">
        <x:v>164820</x:v>
      </x:c>
      <x:c r="O46" s="165" t="n">
        <x:f>IFERROR(F46/E46,0)</x:f>
        <x:v>0.05196942974720752</x:v>
      </x:c>
      <x:c r="P46" s="166" t="n">
        <x:f>IFERROR(L46/F46,0)</x:f>
        <x:v>1.909502262443439</x:v>
      </x:c>
      <x:c r="Q46" s="165" t="n">
        <x:f>IFERROR(G46/F46,0)</x:f>
        <x:v>0.09276018099547512</x:v>
      </x:c>
      <x:c r="R46" s="164" t="n">
        <x:f>IFERROR(L46/G46,0)</x:f>
        <x:v>20.585365853658537</x:v>
      </x:c>
      <x:c r="S46" s="167" t="n">
        <x:f>IFERROR(N46/L46,0)</x:f>
        <x:v>195.28436018957345</x:v>
      </x:c>
      <x:c r="T46" s="165" t="n">
        <x:f>IFERROR(K46/J46,0)</x:f>
        <x:v>0.2857142857142857</x:v>
      </x:c>
    </x:row>
    <x:row r="47">
      <x:c r="A47" s="161" t="n">
        <x:v>46023</x:v>
      </x:c>
      <x:c r="B47" s="162" t="str">
        <x:v>Email</x:v>
      </x:c>
      <x:c r="C47" s="162" t="str">
        <x:v>West</x:v>
      </x:c>
      <x:c r="D47" s="162" t="str">
        <x:v>Cartoning Machines</x:v>
      </x:c>
      <x:c r="E47" s="163" t="n">
        <x:v>8280</x:v>
      </x:c>
      <x:c r="F47" s="163" t="n">
        <x:v>444</x:v>
      </x:c>
      <x:c r="G47" s="163" t="n">
        <x:v>42</x:v>
      </x:c>
      <x:c r="H47" s="163" t="n">
        <x:v>25</x:v>
      </x:c>
      <x:c r="I47" s="163" t="n">
        <x:v>15</x:v>
      </x:c>
      <x:c r="J47" s="163" t="n">
        <x:v>8</x:v>
      </x:c>
      <x:c r="K47" s="163" t="n">
        <x:v>2</x:v>
      </x:c>
      <x:c r="L47" s="164" t="n">
        <x:v>848</x:v>
      </x:c>
      <x:c r="M47" s="164" t="n">
        <x:v>865426</x:v>
      </x:c>
      <x:c r="N47" s="164" t="n">
        <x:v>277380</x:v>
      </x:c>
      <x:c r="O47" s="165" t="n">
        <x:f>IFERROR(F47/E47,0)</x:f>
        <x:v>0.0536231884057971</x:v>
      </x:c>
      <x:c r="P47" s="166" t="n">
        <x:f>IFERROR(L47/F47,0)</x:f>
        <x:v>1.90990990990991</x:v>
      </x:c>
      <x:c r="Q47" s="165" t="n">
        <x:f>IFERROR(G47/F47,0)</x:f>
        <x:v>0.0945945945945946</x:v>
      </x:c>
      <x:c r="R47" s="164" t="n">
        <x:f>IFERROR(L47/G47,0)</x:f>
        <x:v>20.19047619047619</x:v>
      </x:c>
      <x:c r="S47" s="167" t="n">
        <x:f>IFERROR(N47/L47,0)</x:f>
        <x:v>327.0990566037736</x:v>
      </x:c>
      <x:c r="T47" s="165" t="n">
        <x:f>IFERROR(K47/J47,0)</x:f>
        <x:v>0.25</x:v>
      </x:c>
    </x:row>
    <x:row r="48">
      <x:c r="A48" s="161" t="n">
        <x:v>46023</x:v>
      </x:c>
      <x:c r="B48" s="162" t="str">
        <x:v>Email</x:v>
      </x:c>
      <x:c r="C48" s="162" t="str">
        <x:v>West</x:v>
      </x:c>
      <x:c r="D48" s="162" t="str">
        <x:v>Labeling Systems</x:v>
      </x:c>
      <x:c r="E48" s="163" t="n">
        <x:v>9045</x:v>
      </x:c>
      <x:c r="F48" s="163" t="n">
        <x:v>499</x:v>
      </x:c>
      <x:c r="G48" s="163" t="n">
        <x:v>46</x:v>
      </x:c>
      <x:c r="H48" s="163" t="n">
        <x:v>29</x:v>
      </x:c>
      <x:c r="I48" s="163" t="n">
        <x:v>18</x:v>
      </x:c>
      <x:c r="J48" s="163" t="n">
        <x:v>10</x:v>
      </x:c>
      <x:c r="K48" s="163" t="n">
        <x:v>2</x:v>
      </x:c>
      <x:c r="L48" s="164" t="n">
        <x:v>953</x:v>
      </x:c>
      <x:c r="M48" s="164" t="n">
        <x:v>376272</x:v>
      </x:c>
      <x:c r="N48" s="164" t="n">
        <x:v>96480</x:v>
      </x:c>
      <x:c r="O48" s="165" t="n">
        <x:f>IFERROR(F48/E48,0)</x:f>
        <x:v>0.05516860143725815</x:v>
      </x:c>
      <x:c r="P48" s="166" t="n">
        <x:f>IFERROR(L48/F48,0)</x:f>
        <x:v>1.9098196392785571</x:v>
      </x:c>
      <x:c r="Q48" s="165" t="n">
        <x:f>IFERROR(G48/F48,0)</x:f>
        <x:v>0.09218436873747494</x:v>
      </x:c>
      <x:c r="R48" s="164" t="n">
        <x:f>IFERROR(L48/G48,0)</x:f>
        <x:v>20.717391304347824</x:v>
      </x:c>
      <x:c r="S48" s="167" t="n">
        <x:f>IFERROR(N48/L48,0)</x:f>
        <x:v>101.23819517313746</x:v>
      </x:c>
      <x:c r="T48" s="165" t="n">
        <x:f>IFERROR(K48/J48,0)</x:f>
        <x:v>0.2</x:v>
      </x:c>
    </x:row>
    <x:row r="49">
      <x:c r="A49" s="161" t="n">
        <x:v>46023</x:v>
      </x:c>
      <x:c r="B49" s="162" t="str">
        <x:v>Email</x:v>
      </x:c>
      <x:c r="C49" s="162" t="str">
        <x:v>West</x:v>
      </x:c>
      <x:c r="D49" s="162" t="str">
        <x:v>Case Packers</x:v>
      </x:c>
      <x:c r="E49" s="163" t="n">
        <x:v>8820</x:v>
      </x:c>
      <x:c r="F49" s="163" t="n">
        <x:v>466</x:v>
      </x:c>
      <x:c r="G49" s="163" t="n">
        <x:v>44</x:v>
      </x:c>
      <x:c r="H49" s="163" t="n">
        <x:v>29</x:v>
      </x:c>
      <x:c r="I49" s="163" t="n">
        <x:v>18</x:v>
      </x:c>
      <x:c r="J49" s="163" t="n">
        <x:v>10</x:v>
      </x:c>
      <x:c r="K49" s="163" t="n">
        <x:v>2</x:v>
      </x:c>
      <x:c r="L49" s="164" t="n">
        <x:v>890</x:v>
      </x:c>
      <x:c r="M49" s="164" t="n">
        <x:v>877968</x:v>
      </x:c>
      <x:c r="N49" s="164" t="n">
        <x:v>225120</x:v>
      </x:c>
      <x:c r="O49" s="165" t="n">
        <x:f>IFERROR(F49/E49,0)</x:f>
        <x:v>0.0528344671201814</x:v>
      </x:c>
      <x:c r="P49" s="166" t="n">
        <x:f>IFERROR(L49/F49,0)</x:f>
        <x:v>1.909871244635193</x:v>
      </x:c>
      <x:c r="Q49" s="165" t="n">
        <x:f>IFERROR(G49/F49,0)</x:f>
        <x:v>0.0944206008583691</x:v>
      </x:c>
      <x:c r="R49" s="164" t="n">
        <x:f>IFERROR(L49/G49,0)</x:f>
        <x:v>20.227272727272727</x:v>
      </x:c>
      <x:c r="S49" s="167" t="n">
        <x:f>IFERROR(N49/L49,0)</x:f>
        <x:v>252.9438202247191</x:v>
      </x:c>
      <x:c r="T49" s="165" t="n">
        <x:f>IFERROR(K49/J49,0)</x:f>
        <x:v>0.2</x:v>
      </x:c>
    </x:row>
    <x:row r="50">
      <x:c r="A50" s="161" t="n">
        <x:v>46023</x:v>
      </x:c>
      <x:c r="B50" s="162" t="str">
        <x:v>Trade Media</x:v>
      </x:c>
      <x:c r="C50" s="162" t="str">
        <x:v>Northeast</x:v>
      </x:c>
      <x:c r="D50" s="162" t="str">
        <x:v>Pouch Fillers</x:v>
      </x:c>
      <x:c r="E50" s="163" t="n">
        <x:v>9460</x:v>
      </x:c>
      <x:c r="F50" s="163" t="n">
        <x:v>155</x:v>
      </x:c>
      <x:c r="G50" s="163" t="n">
        <x:v>9</x:v>
      </x:c>
      <x:c r="H50" s="163" t="n">
        <x:v>5</x:v>
      </x:c>
      <x:c r="I50" s="163" t="n">
        <x:v>3</x:v>
      </x:c>
      <x:c r="J50" s="163" t="n">
        <x:v>1</x:v>
      </x:c>
      <x:c r="K50" s="163" t="n">
        <x:v>0</x:v>
      </x:c>
      <x:c r="L50" s="164" t="n">
        <x:v>1101</x:v>
      </x:c>
      <x:c r="M50" s="164" t="n">
        <x:v>59483</x:v>
      </x:c>
      <x:c r="N50" s="164" t="n">
        <x:v>0</x:v>
      </x:c>
      <x:c r="O50" s="165" t="n">
        <x:f>IFERROR(F50/E50,0)</x:f>
        <x:v>0.01638477801268499</x:v>
      </x:c>
      <x:c r="P50" s="166" t="n">
        <x:f>IFERROR(L50/F50,0)</x:f>
        <x:v>7.103225806451613</x:v>
      </x:c>
      <x:c r="Q50" s="165" t="n">
        <x:f>IFERROR(G50/F50,0)</x:f>
        <x:v>0.05806451612903226</x:v>
      </x:c>
      <x:c r="R50" s="164" t="n">
        <x:f>IFERROR(L50/G50,0)</x:f>
        <x:v>122.33333333333333</x:v>
      </x:c>
      <x:c r="S50" s="167" t="n">
        <x:f>IFERROR(N50/L50,0)</x:f>
        <x:v>0</x:v>
      </x:c>
      <x:c r="T50" s="165" t="n">
        <x:f>IFERROR(K50/J50,0)</x:f>
        <x:v>0</x:v>
      </x:c>
    </x:row>
    <x:row r="51">
      <x:c r="A51" s="161" t="n">
        <x:v>46023</x:v>
      </x:c>
      <x:c r="B51" s="162" t="str">
        <x:v>Trade Media</x:v>
      </x:c>
      <x:c r="C51" s="162" t="str">
        <x:v>Northeast</x:v>
      </x:c>
      <x:c r="D51" s="162" t="str">
        <x:v>Cartoning Machines</x:v>
      </x:c>
      <x:c r="E51" s="163" t="n">
        <x:v>9185</x:v>
      </x:c>
      <x:c r="F51" s="163" t="n">
        <x:v>129</x:v>
      </x:c>
      <x:c r="G51" s="163" t="n">
        <x:v>7</x:v>
      </x:c>
      <x:c r="H51" s="163" t="n">
        <x:v>4</x:v>
      </x:c>
      <x:c r="I51" s="163" t="n">
        <x:v>2</x:v>
      </x:c>
      <x:c r="J51" s="163" t="n">
        <x:v>1</x:v>
      </x:c>
      <x:c r="K51" s="163" t="n">
        <x:v>0</x:v>
      </x:c>
      <x:c r="L51" s="164" t="n">
        <x:v>916</x:v>
      </x:c>
      <x:c r="M51" s="164" t="n">
        <x:v>100105</x:v>
      </x:c>
      <x:c r="N51" s="164" t="n">
        <x:v>0</x:v>
      </x:c>
      <x:c r="O51" s="165" t="n">
        <x:f>IFERROR(F51/E51,0)</x:f>
        <x:v>0.014044637996733805</x:v>
      </x:c>
      <x:c r="P51" s="166" t="n">
        <x:f>IFERROR(L51/F51,0)</x:f>
        <x:v>7.10077519379845</x:v>
      </x:c>
      <x:c r="Q51" s="165" t="n">
        <x:f>IFERROR(G51/F51,0)</x:f>
        <x:v>0.05426356589147287</x:v>
      </x:c>
      <x:c r="R51" s="164" t="n">
        <x:f>IFERROR(L51/G51,0)</x:f>
        <x:v>130.85714285714286</x:v>
      </x:c>
      <x:c r="S51" s="167" t="n">
        <x:f>IFERROR(N51/L51,0)</x:f>
        <x:v>0</x:v>
      </x:c>
      <x:c r="T51" s="165" t="n">
        <x:f>IFERROR(K51/J51,0)</x:f>
        <x:v>0</x:v>
      </x:c>
    </x:row>
    <x:row r="52">
      <x:c r="A52" s="161" t="n">
        <x:v>46023</x:v>
      </x:c>
      <x:c r="B52" s="162" t="str">
        <x:v>Trade Media</x:v>
      </x:c>
      <x:c r="C52" s="162" t="str">
        <x:v>Northeast</x:v>
      </x:c>
      <x:c r="D52" s="162" t="str">
        <x:v>Labeling Systems</x:v>
      </x:c>
      <x:c r="E52" s="163" t="n">
        <x:v>10120</x:v>
      </x:c>
      <x:c r="F52" s="163" t="n">
        <x:v>158</x:v>
      </x:c>
      <x:c r="G52" s="163" t="n">
        <x:v>9</x:v>
      </x:c>
      <x:c r="H52" s="163" t="n">
        <x:v>6</x:v>
      </x:c>
      <x:c r="I52" s="163" t="n">
        <x:v>3</x:v>
      </x:c>
      <x:c r="J52" s="163" t="n">
        <x:v>2</x:v>
      </x:c>
      <x:c r="K52" s="163" t="n">
        <x:v>0</x:v>
      </x:c>
      <x:c r="L52" s="164" t="n">
        <x:v>1122</x:v>
      </x:c>
      <x:c r="M52" s="164" t="n">
        <x:v>69638</x:v>
      </x:c>
      <x:c r="N52" s="164" t="n">
        <x:v>0</x:v>
      </x:c>
      <x:c r="O52" s="165" t="n">
        <x:f>IFERROR(F52/E52,0)</x:f>
        <x:v>0.015612648221343874</x:v>
      </x:c>
      <x:c r="P52" s="166" t="n">
        <x:f>IFERROR(L52/F52,0)</x:f>
        <x:v>7.10126582278481</x:v>
      </x:c>
      <x:c r="Q52" s="165" t="n">
        <x:f>IFERROR(G52/F52,0)</x:f>
        <x:v>0.056962025316455694</x:v>
      </x:c>
      <x:c r="R52" s="164" t="n">
        <x:f>IFERROR(L52/G52,0)</x:f>
        <x:v>124.66666666666667</x:v>
      </x:c>
      <x:c r="S52" s="167" t="n">
        <x:f>IFERROR(N52/L52,0)</x:f>
        <x:v>0</x:v>
      </x:c>
      <x:c r="T52" s="165" t="n">
        <x:f>IFERROR(K52/J52,0)</x:f>
        <x:v>0</x:v>
      </x:c>
    </x:row>
    <x:row r="53">
      <x:c r="A53" s="161" t="n">
        <x:v>46023</x:v>
      </x:c>
      <x:c r="B53" s="162" t="str">
        <x:v>Trade Media</x:v>
      </x:c>
      <x:c r="C53" s="162" t="str">
        <x:v>Northeast</x:v>
      </x:c>
      <x:c r="D53" s="162" t="str">
        <x:v>Case Packers</x:v>
      </x:c>
      <x:c r="E53" s="163" t="n">
        <x:v>9845</x:v>
      </x:c>
      <x:c r="F53" s="163" t="n">
        <x:v>169</x:v>
      </x:c>
      <x:c r="G53" s="163" t="n">
        <x:v>10</x:v>
      </x:c>
      <x:c r="H53" s="163" t="n">
        <x:v>7</x:v>
      </x:c>
      <x:c r="I53" s="163" t="n">
        <x:v>4</x:v>
      </x:c>
      <x:c r="J53" s="163" t="n">
        <x:v>2</x:v>
      </x:c>
      <x:c r="K53" s="163" t="n">
        <x:v>0</x:v>
      </x:c>
      <x:c r="L53" s="164" t="n">
        <x:v>1201</x:v>
      </x:c>
      <x:c r="M53" s="164" t="n">
        <x:v>162490</x:v>
      </x:c>
      <x:c r="N53" s="164" t="n">
        <x:v>0</x:v>
      </x:c>
      <x:c r="O53" s="165" t="n">
        <x:f>IFERROR(F53/E53,0)</x:f>
        <x:v>0.017166074149314373</x:v>
      </x:c>
      <x:c r="P53" s="166" t="n">
        <x:f>IFERROR(L53/F53,0)</x:f>
        <x:v>7.106508875739645</x:v>
      </x:c>
      <x:c r="Q53" s="165" t="n">
        <x:f>IFERROR(G53/F53,0)</x:f>
        <x:v>0.05917159763313609</x:v>
      </x:c>
      <x:c r="R53" s="164" t="n">
        <x:f>IFERROR(L53/G53,0)</x:f>
        <x:v>120.1</x:v>
      </x:c>
      <x:c r="S53" s="167" t="n">
        <x:f>IFERROR(N53/L53,0)</x:f>
        <x:v>0</x:v>
      </x:c>
      <x:c r="T53" s="165" t="n">
        <x:f>IFERROR(K53/J53,0)</x:f>
        <x:v>0</x:v>
      </x:c>
    </x:row>
    <x:row r="54">
      <x:c r="A54" s="161" t="n">
        <x:v>46023</x:v>
      </x:c>
      <x:c r="B54" s="162" t="str">
        <x:v>Trade Media</x:v>
      </x:c>
      <x:c r="C54" s="162" t="str">
        <x:v>Midwest</x:v>
      </x:c>
      <x:c r="D54" s="162" t="str">
        <x:v>Pouch Fillers</x:v>
      </x:c>
      <x:c r="E54" s="163" t="n">
        <x:v>10065</x:v>
      </x:c>
      <x:c r="F54" s="163" t="n">
        <x:v>149</x:v>
      </x:c>
      <x:c r="G54" s="163" t="n">
        <x:v>8</x:v>
      </x:c>
      <x:c r="H54" s="163" t="n">
        <x:v>5</x:v>
      </x:c>
      <x:c r="I54" s="163" t="n">
        <x:v>3</x:v>
      </x:c>
      <x:c r="J54" s="163" t="n">
        <x:v>1</x:v>
      </x:c>
      <x:c r="K54" s="163" t="n">
        <x:v>0</x:v>
      </x:c>
      <x:c r="L54" s="164" t="n">
        <x:v>1075</x:v>
      </x:c>
      <x:c r="M54" s="164" t="n">
        <x:v>61082</x:v>
      </x:c>
      <x:c r="N54" s="164" t="n">
        <x:v>0</x:v>
      </x:c>
      <x:c r="O54" s="165" t="n">
        <x:f>IFERROR(F54/E54,0)</x:f>
        <x:v>0.014803775459513165</x:v>
      </x:c>
      <x:c r="P54" s="166" t="n">
        <x:f>IFERROR(L54/F54,0)</x:f>
        <x:v>7.214765100671141</x:v>
      </x:c>
      <x:c r="Q54" s="165" t="n">
        <x:f>IFERROR(G54/F54,0)</x:f>
        <x:v>0.053691275167785234</x:v>
      </x:c>
      <x:c r="R54" s="164" t="n">
        <x:f>IFERROR(L54/G54,0)</x:f>
        <x:v>134.375</x:v>
      </x:c>
      <x:c r="S54" s="167" t="n">
        <x:f>IFERROR(N54/L54,0)</x:f>
        <x:v>0</x:v>
      </x:c>
      <x:c r="T54" s="165" t="n">
        <x:f>IFERROR(K54/J54,0)</x:f>
        <x:v>0</x:v>
      </x:c>
    </x:row>
    <x:row r="55">
      <x:c r="A55" s="161" t="n">
        <x:v>46023</x:v>
      </x:c>
      <x:c r="B55" s="162" t="str">
        <x:v>Trade Media</x:v>
      </x:c>
      <x:c r="C55" s="162" t="str">
        <x:v>Midwest</x:v>
      </x:c>
      <x:c r="D55" s="162" t="str">
        <x:v>Cartoning Machines</x:v>
      </x:c>
      <x:c r="E55" s="163" t="n">
        <x:v>9790</x:v>
      </x:c>
      <x:c r="F55" s="163" t="n">
        <x:v>161</x:v>
      </x:c>
      <x:c r="G55" s="163" t="n">
        <x:v>9</x:v>
      </x:c>
      <x:c r="H55" s="163" t="n">
        <x:v>5</x:v>
      </x:c>
      <x:c r="I55" s="163" t="n">
        <x:v>3</x:v>
      </x:c>
      <x:c r="J55" s="163" t="n">
        <x:v>2</x:v>
      </x:c>
      <x:c r="K55" s="163" t="n">
        <x:v>0</x:v>
      </x:c>
      <x:c r="L55" s="164" t="n">
        <x:v>1162</x:v>
      </x:c>
      <x:c r="M55" s="164" t="n">
        <x:v>205592</x:v>
      </x:c>
      <x:c r="N55" s="164" t="n">
        <x:v>0</x:v>
      </x:c>
      <x:c r="O55" s="165" t="n">
        <x:f>IFERROR(F55/E55,0)</x:f>
        <x:v>0.01644535240040858</x:v>
      </x:c>
      <x:c r="P55" s="166" t="n">
        <x:f>IFERROR(L55/F55,0)</x:f>
        <x:v>7.217391304347826</x:v>
      </x:c>
      <x:c r="Q55" s="165" t="n">
        <x:f>IFERROR(G55/F55,0)</x:f>
        <x:v>0.055900621118012424</x:v>
      </x:c>
      <x:c r="R55" s="164" t="n">
        <x:f>IFERROR(L55/G55,0)</x:f>
        <x:v>129.11111111111111</x:v>
      </x:c>
      <x:c r="S55" s="167" t="n">
        <x:f>IFERROR(N55/L55,0)</x:f>
        <x:v>0</x:v>
      </x:c>
      <x:c r="T55" s="165" t="n">
        <x:f>IFERROR(K55/J55,0)</x:f>
        <x:v>0</x:v>
      </x:c>
    </x:row>
    <x:row r="56">
      <x:c r="A56" s="161" t="n">
        <x:v>46023</x:v>
      </x:c>
      <x:c r="B56" s="162" t="str">
        <x:v>Trade Media</x:v>
      </x:c>
      <x:c r="C56" s="162" t="str">
        <x:v>Midwest</x:v>
      </x:c>
      <x:c r="D56" s="162" t="str">
        <x:v>Labeling Systems</x:v>
      </x:c>
      <x:c r="E56" s="163" t="n">
        <x:v>9515</x:v>
      </x:c>
      <x:c r="F56" s="163" t="n">
        <x:v>133</x:v>
      </x:c>
      <x:c r="G56" s="163" t="n">
        <x:v>7</x:v>
      </x:c>
      <x:c r="H56" s="163" t="n">
        <x:v>4</x:v>
      </x:c>
      <x:c r="I56" s="163" t="n">
        <x:v>2</x:v>
      </x:c>
      <x:c r="J56" s="163" t="n">
        <x:v>1</x:v>
      </x:c>
      <x:c r="K56" s="163" t="n">
        <x:v>0</x:v>
      </x:c>
      <x:c r="L56" s="164" t="n">
        <x:v>960</x:v>
      </x:c>
      <x:c r="M56" s="164" t="n">
        <x:v>35755</x:v>
      </x:c>
      <x:c r="N56" s="164" t="n">
        <x:v>0</x:v>
      </x:c>
      <x:c r="O56" s="165" t="n">
        <x:f>IFERROR(F56/E56,0)</x:f>
        <x:v>0.013977929584866001</x:v>
      </x:c>
      <x:c r="P56" s="166" t="n">
        <x:f>IFERROR(L56/F56,0)</x:f>
        <x:v>7.2180451127819545</x:v>
      </x:c>
      <x:c r="Q56" s="165" t="n">
        <x:f>IFERROR(G56/F56,0)</x:f>
        <x:v>0.05263157894736842</x:v>
      </x:c>
      <x:c r="R56" s="164" t="n">
        <x:f>IFERROR(L56/G56,0)</x:f>
        <x:v>137.14285714285714</x:v>
      </x:c>
      <x:c r="S56" s="167" t="n">
        <x:f>IFERROR(N56/L56,0)</x:f>
        <x:v>0</x:v>
      </x:c>
      <x:c r="T56" s="165" t="n">
        <x:f>IFERROR(K56/J56,0)</x:f>
        <x:v>0</x:v>
      </x:c>
    </x:row>
    <x:row r="57">
      <x:c r="A57" s="161" t="n">
        <x:v>46023</x:v>
      </x:c>
      <x:c r="B57" s="162" t="str">
        <x:v>Trade Media</x:v>
      </x:c>
      <x:c r="C57" s="162" t="str">
        <x:v>Midwest</x:v>
      </x:c>
      <x:c r="D57" s="162" t="str">
        <x:v>Case Packers</x:v>
      </x:c>
      <x:c r="E57" s="163" t="n">
        <x:v>10450</x:v>
      </x:c>
      <x:c r="F57" s="163" t="n">
        <x:v>163</x:v>
      </x:c>
      <x:c r="G57" s="163" t="n">
        <x:v>9</x:v>
      </x:c>
      <x:c r="H57" s="163" t="n">
        <x:v>6</x:v>
      </x:c>
      <x:c r="I57" s="163" t="n">
        <x:v>3</x:v>
      </x:c>
      <x:c r="J57" s="163" t="n">
        <x:v>2</x:v>
      </x:c>
      <x:c r="K57" s="163" t="n">
        <x:v>0</x:v>
      </x:c>
      <x:c r="L57" s="164" t="n">
        <x:v>1176</x:v>
      </x:c>
      <x:c r="M57" s="164" t="n">
        <x:v>166858</x:v>
      </x:c>
      <x:c r="N57" s="164" t="n">
        <x:v>0</x:v>
      </x:c>
      <x:c r="O57" s="165" t="n">
        <x:f>IFERROR(F57/E57,0)</x:f>
        <x:v>0.015598086124401915</x:v>
      </x:c>
      <x:c r="P57" s="166" t="n">
        <x:f>IFERROR(L57/F57,0)</x:f>
        <x:v>7.214723926380368</x:v>
      </x:c>
      <x:c r="Q57" s="165" t="n">
        <x:f>IFERROR(G57/F57,0)</x:f>
        <x:v>0.05521472392638037</x:v>
      </x:c>
      <x:c r="R57" s="164" t="n">
        <x:f>IFERROR(L57/G57,0)</x:f>
        <x:v>130.66666666666666</x:v>
      </x:c>
      <x:c r="S57" s="167" t="n">
        <x:f>IFERROR(N57/L57,0)</x:f>
        <x:v>0</x:v>
      </x:c>
      <x:c r="T57" s="165" t="n">
        <x:f>IFERROR(K57/J57,0)</x:f>
        <x:v>0</x:v>
      </x:c>
    </x:row>
    <x:row r="58">
      <x:c r="A58" s="161" t="n">
        <x:v>46023</x:v>
      </x:c>
      <x:c r="B58" s="162" t="str">
        <x:v>Trade Media</x:v>
      </x:c>
      <x:c r="C58" s="162" t="str">
        <x:v>South</x:v>
      </x:c>
      <x:c r="D58" s="162" t="str">
        <x:v>Pouch Fillers</x:v>
      </x:c>
      <x:c r="E58" s="163" t="n">
        <x:v>9460</x:v>
      </x:c>
      <x:c r="F58" s="163" t="n">
        <x:v>163</x:v>
      </x:c>
      <x:c r="G58" s="163" t="n">
        <x:v>9</x:v>
      </x:c>
      <x:c r="H58" s="163" t="n">
        <x:v>5</x:v>
      </x:c>
      <x:c r="I58" s="163" t="n">
        <x:v>3</x:v>
      </x:c>
      <x:c r="J58" s="163" t="n">
        <x:v>1</x:v>
      </x:c>
      <x:c r="K58" s="163" t="n">
        <x:v>0</x:v>
      </x:c>
      <x:c r="L58" s="164" t="n">
        <x:v>1194</x:v>
      </x:c>
      <x:c r="M58" s="164" t="n">
        <x:v>62681</x:v>
      </x:c>
      <x:c r="N58" s="164" t="n">
        <x:v>0</x:v>
      </x:c>
      <x:c r="O58" s="165" t="n">
        <x:f>IFERROR(F58/E58,0)</x:f>
        <x:v>0.01723044397463002</x:v>
      </x:c>
      <x:c r="P58" s="166" t="n">
        <x:f>IFERROR(L58/F58,0)</x:f>
        <x:v>7.325153374233129</x:v>
      </x:c>
      <x:c r="Q58" s="165" t="n">
        <x:f>IFERROR(G58/F58,0)</x:f>
        <x:v>0.05521472392638037</x:v>
      </x:c>
      <x:c r="R58" s="164" t="n">
        <x:f>IFERROR(L58/G58,0)</x:f>
        <x:v>132.66666666666666</x:v>
      </x:c>
      <x:c r="S58" s="167" t="n">
        <x:f>IFERROR(N58/L58,0)</x:f>
        <x:v>0</x:v>
      </x:c>
      <x:c r="T58" s="165" t="n">
        <x:f>IFERROR(K58/J58,0)</x:f>
        <x:v>0</x:v>
      </x:c>
    </x:row>
    <x:row r="59">
      <x:c r="A59" s="161" t="n">
        <x:v>46023</x:v>
      </x:c>
      <x:c r="B59" s="162" t="str">
        <x:v>Trade Media</x:v>
      </x:c>
      <x:c r="C59" s="162" t="str">
        <x:v>South</x:v>
      </x:c>
      <x:c r="D59" s="162" t="str">
        <x:v>Cartoning Machines</x:v>
      </x:c>
      <x:c r="E59" s="163" t="n">
        <x:v>10395</x:v>
      </x:c>
      <x:c r="F59" s="163" t="n">
        <x:v>154</x:v>
      </x:c>
      <x:c r="G59" s="163" t="n">
        <x:v>9</x:v>
      </x:c>
      <x:c r="H59" s="163" t="n">
        <x:v>5</x:v>
      </x:c>
      <x:c r="I59" s="163" t="n">
        <x:v>3</x:v>
      </x:c>
      <x:c r="J59" s="163" t="n">
        <x:v>2</x:v>
      </x:c>
      <x:c r="K59" s="163" t="n">
        <x:v>0</x:v>
      </x:c>
      <x:c r="L59" s="164" t="n">
        <x:v>1128</x:v>
      </x:c>
      <x:c r="M59" s="164" t="n">
        <x:v>210974</x:v>
      </x:c>
      <x:c r="N59" s="164" t="n">
        <x:v>0</x:v>
      </x:c>
      <x:c r="O59" s="165" t="n">
        <x:f>IFERROR(F59/E59,0)</x:f>
        <x:v>0.014814814814814815</x:v>
      </x:c>
      <x:c r="P59" s="166" t="n">
        <x:f>IFERROR(L59/F59,0)</x:f>
        <x:v>7.324675324675325</x:v>
      </x:c>
      <x:c r="Q59" s="165" t="n">
        <x:f>IFERROR(G59/F59,0)</x:f>
        <x:v>0.05844155844155844</x:v>
      </x:c>
      <x:c r="R59" s="164" t="n">
        <x:f>IFERROR(L59/G59,0)</x:f>
        <x:v>125.33333333333333</x:v>
      </x:c>
      <x:c r="S59" s="167" t="n">
        <x:f>IFERROR(N59/L59,0)</x:f>
        <x:v>0</x:v>
      </x:c>
      <x:c r="T59" s="165" t="n">
        <x:f>IFERROR(K59/J59,0)</x:f>
        <x:v>0</x:v>
      </x:c>
    </x:row>
    <x:row r="60">
      <x:c r="A60" s="161" t="n">
        <x:v>46023</x:v>
      </x:c>
      <x:c r="B60" s="162" t="str">
        <x:v>Trade Media</x:v>
      </x:c>
      <x:c r="C60" s="162" t="str">
        <x:v>South</x:v>
      </x:c>
      <x:c r="D60" s="162" t="str">
        <x:v>Labeling Systems</x:v>
      </x:c>
      <x:c r="E60" s="163" t="n">
        <x:v>10120</x:v>
      </x:c>
      <x:c r="F60" s="163" t="n">
        <x:v>166</x:v>
      </x:c>
      <x:c r="G60" s="163" t="n">
        <x:v>9</x:v>
      </x:c>
      <x:c r="H60" s="163" t="n">
        <x:v>6</x:v>
      </x:c>
      <x:c r="I60" s="163" t="n">
        <x:v>4</x:v>
      </x:c>
      <x:c r="J60" s="163" t="n">
        <x:v>2</x:v>
      </x:c>
      <x:c r="K60" s="163" t="n">
        <x:v>0</x:v>
      </x:c>
      <x:c r="L60" s="164" t="n">
        <x:v>1216</x:v>
      </x:c>
      <x:c r="M60" s="164" t="n">
        <x:v>73382</x:v>
      </x:c>
      <x:c r="N60" s="164" t="n">
        <x:v>0</x:v>
      </x:c>
      <x:c r="O60" s="165" t="n">
        <x:f>IFERROR(F60/E60,0)</x:f>
        <x:v>0.016403162055335967</x:v>
      </x:c>
      <x:c r="P60" s="166" t="n">
        <x:f>IFERROR(L60/F60,0)</x:f>
        <x:v>7.325301204819277</x:v>
      </x:c>
      <x:c r="Q60" s="165" t="n">
        <x:f>IFERROR(G60/F60,0)</x:f>
        <x:v>0.05421686746987952</x:v>
      </x:c>
      <x:c r="R60" s="164" t="n">
        <x:f>IFERROR(L60/G60,0)</x:f>
        <x:v>135.11111111111111</x:v>
      </x:c>
      <x:c r="S60" s="167" t="n">
        <x:f>IFERROR(N60/L60,0)</x:f>
        <x:v>0</x:v>
      </x:c>
      <x:c r="T60" s="165" t="n">
        <x:f>IFERROR(K60/J60,0)</x:f>
        <x:v>0</x:v>
      </x:c>
    </x:row>
    <x:row r="61">
      <x:c r="A61" s="161" t="n">
        <x:v>46023</x:v>
      </x:c>
      <x:c r="B61" s="162" t="str">
        <x:v>Trade Media</x:v>
      </x:c>
      <x:c r="C61" s="162" t="str">
        <x:v>South</x:v>
      </x:c>
      <x:c r="D61" s="162" t="str">
        <x:v>Case Packers</x:v>
      </x:c>
      <x:c r="E61" s="163" t="n">
        <x:v>11055</x:v>
      </x:c>
      <x:c r="F61" s="163" t="n">
        <x:v>155</x:v>
      </x:c>
      <x:c r="G61" s="163" t="n">
        <x:v>9</x:v>
      </x:c>
      <x:c r="H61" s="163" t="n">
        <x:v>6</x:v>
      </x:c>
      <x:c r="I61" s="163" t="n">
        <x:v>4</x:v>
      </x:c>
      <x:c r="J61" s="163" t="n">
        <x:v>2</x:v>
      </x:c>
      <x:c r="K61" s="163" t="n">
        <x:v>0</x:v>
      </x:c>
      <x:c r="L61" s="164" t="n">
        <x:v>1136</x:v>
      </x:c>
      <x:c r="M61" s="164" t="n">
        <x:v>171226</x:v>
      </x:c>
      <x:c r="N61" s="164" t="n">
        <x:v>0</x:v>
      </x:c>
      <x:c r="O61" s="165" t="n">
        <x:f>IFERROR(F61/E61,0)</x:f>
        <x:v>0.014020805065581185</x:v>
      </x:c>
      <x:c r="P61" s="166" t="n">
        <x:f>IFERROR(L61/F61,0)</x:f>
        <x:v>7.329032258064516</x:v>
      </x:c>
      <x:c r="Q61" s="165" t="n">
        <x:f>IFERROR(G61/F61,0)</x:f>
        <x:v>0.05806451612903226</x:v>
      </x:c>
      <x:c r="R61" s="164" t="n">
        <x:f>IFERROR(L61/G61,0)</x:f>
        <x:v>126.22222222222223</x:v>
      </x:c>
      <x:c r="S61" s="167" t="n">
        <x:f>IFERROR(N61/L61,0)</x:f>
        <x:v>0</x:v>
      </x:c>
      <x:c r="T61" s="165" t="n">
        <x:f>IFERROR(K61/J61,0)</x:f>
        <x:v>0</x:v>
      </x:c>
    </x:row>
    <x:row r="62">
      <x:c r="A62" s="161" t="n">
        <x:v>46023</x:v>
      </x:c>
      <x:c r="B62" s="162" t="str">
        <x:v>Trade Media</x:v>
      </x:c>
      <x:c r="C62" s="162" t="str">
        <x:v>West</x:v>
      </x:c>
      <x:c r="D62" s="162" t="str">
        <x:v>Pouch Fillers</x:v>
      </x:c>
      <x:c r="E62" s="163" t="n">
        <x:v>10065</x:v>
      </x:c>
      <x:c r="F62" s="163" t="n">
        <x:v>157</x:v>
      </x:c>
      <x:c r="G62" s="163" t="n">
        <x:v>9</x:v>
      </x:c>
      <x:c r="H62" s="163" t="n">
        <x:v>5</x:v>
      </x:c>
      <x:c r="I62" s="163" t="n">
        <x:v>3</x:v>
      </x:c>
      <x:c r="J62" s="163" t="n">
        <x:v>1</x:v>
      </x:c>
      <x:c r="K62" s="163" t="n">
        <x:v>0</x:v>
      </x:c>
      <x:c r="L62" s="164" t="n">
        <x:v>1168</x:v>
      </x:c>
      <x:c r="M62" s="164" t="n">
        <x:v>64280</x:v>
      </x:c>
      <x:c r="N62" s="164" t="n">
        <x:v>0</x:v>
      </x:c>
      <x:c r="O62" s="165" t="n">
        <x:f>IFERROR(F62/E62,0)</x:f>
        <x:v>0.015598609041231993</x:v>
      </x:c>
      <x:c r="P62" s="166" t="n">
        <x:f>IFERROR(L62/F62,0)</x:f>
        <x:v>7.439490445859873</x:v>
      </x:c>
      <x:c r="Q62" s="165" t="n">
        <x:f>IFERROR(G62/F62,0)</x:f>
        <x:v>0.05732484076433121</x:v>
      </x:c>
      <x:c r="R62" s="164" t="n">
        <x:f>IFERROR(L62/G62,0)</x:f>
        <x:v>129.77777777777777</x:v>
      </x:c>
      <x:c r="S62" s="167" t="n">
        <x:f>IFERROR(N62/L62,0)</x:f>
        <x:v>0</x:v>
      </x:c>
      <x:c r="T62" s="165" t="n">
        <x:f>IFERROR(K62/J62,0)</x:f>
        <x:v>0</x:v>
      </x:c>
    </x:row>
    <x:row r="63">
      <x:c r="A63" s="161" t="n">
        <x:v>46023</x:v>
      </x:c>
      <x:c r="B63" s="162" t="str">
        <x:v>Trade Media</x:v>
      </x:c>
      <x:c r="C63" s="162" t="str">
        <x:v>West</x:v>
      </x:c>
      <x:c r="D63" s="162" t="str">
        <x:v>Cartoning Machines</x:v>
      </x:c>
      <x:c r="E63" s="163" t="n">
        <x:v>11000</x:v>
      </x:c>
      <x:c r="F63" s="163" t="n">
        <x:v>189</x:v>
      </x:c>
      <x:c r="G63" s="163" t="n">
        <x:v>11</x:v>
      </x:c>
      <x:c r="H63" s="163" t="n">
        <x:v>7</x:v>
      </x:c>
      <x:c r="I63" s="163" t="n">
        <x:v>4</x:v>
      </x:c>
      <x:c r="J63" s="163" t="n">
        <x:v>2</x:v>
      </x:c>
      <x:c r="K63" s="163" t="n">
        <x:v>0</x:v>
      </x:c>
      <x:c r="L63" s="164" t="n">
        <x:v>1406</x:v>
      </x:c>
      <x:c r="M63" s="164" t="n">
        <x:v>216356</x:v>
      </x:c>
      <x:c r="N63" s="164" t="n">
        <x:v>0</x:v>
      </x:c>
      <x:c r="O63" s="165" t="n">
        <x:f>IFERROR(F63/E63,0)</x:f>
        <x:v>0.017181818181818184</x:v>
      </x:c>
      <x:c r="P63" s="166" t="n">
        <x:f>IFERROR(L63/F63,0)</x:f>
        <x:v>7.439153439153439</x:v>
      </x:c>
      <x:c r="Q63" s="165" t="n">
        <x:f>IFERROR(G63/F63,0)</x:f>
        <x:v>0.0582010582010582</x:v>
      </x:c>
      <x:c r="R63" s="164" t="n">
        <x:f>IFERROR(L63/G63,0)</x:f>
        <x:v>127.81818181818181</x:v>
      </x:c>
      <x:c r="S63" s="167" t="n">
        <x:f>IFERROR(N63/L63,0)</x:f>
        <x:v>0</x:v>
      </x:c>
      <x:c r="T63" s="165" t="n">
        <x:f>IFERROR(K63/J63,0)</x:f>
        <x:v>0</x:v>
      </x:c>
    </x:row>
    <x:row r="64">
      <x:c r="A64" s="161" t="n">
        <x:v>46023</x:v>
      </x:c>
      <x:c r="B64" s="162" t="str">
        <x:v>Trade Media</x:v>
      </x:c>
      <x:c r="C64" s="162" t="str">
        <x:v>West</x:v>
      </x:c>
      <x:c r="D64" s="162" t="str">
        <x:v>Labeling Systems</x:v>
      </x:c>
      <x:c r="E64" s="163" t="n">
        <x:v>10725</x:v>
      </x:c>
      <x:c r="F64" s="163" t="n">
        <x:v>159</x:v>
      </x:c>
      <x:c r="G64" s="163" t="n">
        <x:v>9</x:v>
      </x:c>
      <x:c r="H64" s="163" t="n">
        <x:v>6</x:v>
      </x:c>
      <x:c r="I64" s="163" t="n">
        <x:v>4</x:v>
      </x:c>
      <x:c r="J64" s="163" t="n">
        <x:v>2</x:v>
      </x:c>
      <x:c r="K64" s="163" t="n">
        <x:v>0</x:v>
      </x:c>
      <x:c r="L64" s="164" t="n">
        <x:v>1182</x:v>
      </x:c>
      <x:c r="M64" s="164" t="n">
        <x:v>75254</x:v>
      </x:c>
      <x:c r="N64" s="164" t="n">
        <x:v>0</x:v>
      </x:c>
      <x:c r="O64" s="165" t="n">
        <x:f>IFERROR(F64/E64,0)</x:f>
        <x:v>0.014825174825174826</x:v>
      </x:c>
      <x:c r="P64" s="166" t="n">
        <x:f>IFERROR(L64/F64,0)</x:f>
        <x:v>7.433962264150943</x:v>
      </x:c>
      <x:c r="Q64" s="165" t="n">
        <x:f>IFERROR(G64/F64,0)</x:f>
        <x:v>0.05660377358490566</x:v>
      </x:c>
      <x:c r="R64" s="164" t="n">
        <x:f>IFERROR(L64/G64,0)</x:f>
        <x:v>131.33333333333334</x:v>
      </x:c>
      <x:c r="S64" s="167" t="n">
        <x:f>IFERROR(N64/L64,0)</x:f>
        <x:v>0</x:v>
      </x:c>
      <x:c r="T64" s="165" t="n">
        <x:f>IFERROR(K64/J64,0)</x:f>
        <x:v>0</x:v>
      </x:c>
    </x:row>
    <x:row r="65">
      <x:c r="A65" s="161" t="n">
        <x:v>46023</x:v>
      </x:c>
      <x:c r="B65" s="162" t="str">
        <x:v>Trade Media</x:v>
      </x:c>
      <x:c r="C65" s="162" t="str">
        <x:v>West</x:v>
      </x:c>
      <x:c r="D65" s="162" t="str">
        <x:v>Case Packers</x:v>
      </x:c>
      <x:c r="E65" s="163" t="n">
        <x:v>11660</x:v>
      </x:c>
      <x:c r="F65" s="163" t="n">
        <x:v>191</x:v>
      </x:c>
      <x:c r="G65" s="163" t="n">
        <x:v>11</x:v>
      </x:c>
      <x:c r="H65" s="163" t="n">
        <x:v>7</x:v>
      </x:c>
      <x:c r="I65" s="163" t="n">
        <x:v>4</x:v>
      </x:c>
      <x:c r="J65" s="163" t="n">
        <x:v>2</x:v>
      </x:c>
      <x:c r="K65" s="163" t="n">
        <x:v>0</x:v>
      </x:c>
      <x:c r="L65" s="164" t="n">
        <x:v>1420</x:v>
      </x:c>
      <x:c r="M65" s="164" t="n">
        <x:v>175594</x:v>
      </x:c>
      <x:c r="N65" s="164" t="n">
        <x:v>0</x:v>
      </x:c>
      <x:c r="O65" s="165" t="n">
        <x:f>IFERROR(F65/E65,0)</x:f>
        <x:v>0.016380789022298458</x:v>
      </x:c>
      <x:c r="P65" s="166" t="n">
        <x:f>IFERROR(L65/F65,0)</x:f>
        <x:v>7.43455497382199</x:v>
      </x:c>
      <x:c r="Q65" s="165" t="n">
        <x:f>IFERROR(G65/F65,0)</x:f>
        <x:v>0.05759162303664921</x:v>
      </x:c>
      <x:c r="R65" s="164" t="n">
        <x:f>IFERROR(L65/G65,0)</x:f>
        <x:v>129.0909090909091</x:v>
      </x:c>
      <x:c r="S65" s="167" t="n">
        <x:f>IFERROR(N65/L65,0)</x:f>
        <x:v>0</x:v>
      </x:c>
      <x:c r="T65" s="165" t="n">
        <x:f>IFERROR(K65/J65,0)</x:f>
        <x:v>0</x:v>
      </x:c>
    </x:row>
    <x:row r="66">
      <x:c r="A66" s="161" t="n">
        <x:v>46023</x:v>
      </x:c>
      <x:c r="B66" s="162" t="str">
        <x:v>Retargeting</x:v>
      </x:c>
      <x:c r="C66" s="162" t="str">
        <x:v>Northeast</x:v>
      </x:c>
      <x:c r="D66" s="162" t="str">
        <x:v>Pouch Fillers</x:v>
      </x:c>
      <x:c r="E66" s="163" t="n">
        <x:v>14940</x:v>
      </x:c>
      <x:c r="F66" s="163" t="n">
        <x:v>403</x:v>
      </x:c>
      <x:c r="G66" s="163" t="n">
        <x:v>29</x:v>
      </x:c>
      <x:c r="H66" s="163" t="n">
        <x:v>17</x:v>
      </x:c>
      <x:c r="I66" s="163" t="n">
        <x:v>9</x:v>
      </x:c>
      <x:c r="J66" s="163" t="n">
        <x:v>4</x:v>
      </x:c>
      <x:c r="K66" s="163" t="n">
        <x:v>1</x:v>
      </x:c>
      <x:c r="L66" s="164" t="n">
        <x:v>1857</x:v>
      </x:c>
      <x:c r="M66" s="164" t="n">
        <x:v>237931</x:v>
      </x:c>
      <x:c r="N66" s="164" t="n">
        <x:v>76260</x:v>
      </x:c>
      <x:c r="O66" s="165" t="n">
        <x:f>IFERROR(F66/E66,0)</x:f>
        <x:v>0.026974564926372156</x:v>
      </x:c>
      <x:c r="P66" s="166" t="n">
        <x:f>IFERROR(L66/F66,0)</x:f>
        <x:v>4.607940446650124</x:v>
      </x:c>
      <x:c r="Q66" s="165" t="n">
        <x:f>IFERROR(G66/F66,0)</x:f>
        <x:v>0.07196029776674938</x:v>
      </x:c>
      <x:c r="R66" s="164" t="n">
        <x:f>IFERROR(L66/G66,0)</x:f>
        <x:v>64.03448275862068</x:v>
      </x:c>
      <x:c r="S66" s="167" t="n">
        <x:f>IFERROR(N66/L66,0)</x:f>
        <x:v>41.066235864297255</x:v>
      </x:c>
      <x:c r="T66" s="165" t="n">
        <x:f>IFERROR(K66/J66,0)</x:f>
        <x:v>0.25</x:v>
      </x:c>
    </x:row>
    <x:row r="67">
      <x:c r="A67" s="161" t="n">
        <x:v>46023</x:v>
      </x:c>
      <x:c r="B67" s="162" t="str">
        <x:v>Retargeting</x:v>
      </x:c>
      <x:c r="C67" s="162" t="str">
        <x:v>Northeast</x:v>
      </x:c>
      <x:c r="D67" s="162" t="str">
        <x:v>Cartoning Machines</x:v>
      </x:c>
      <x:c r="E67" s="163" t="n">
        <x:v>14490</x:v>
      </x:c>
      <x:c r="F67" s="163" t="n">
        <x:v>414</x:v>
      </x:c>
      <x:c r="G67" s="163" t="n">
        <x:v>30</x:v>
      </x:c>
      <x:c r="H67" s="163" t="n">
        <x:v>18</x:v>
      </x:c>
      <x:c r="I67" s="163" t="n">
        <x:v>10</x:v>
      </x:c>
      <x:c r="J67" s="163" t="n">
        <x:v>5</x:v>
      </x:c>
      <x:c r="K67" s="163" t="n">
        <x:v>1</x:v>
      </x:c>
      <x:c r="L67" s="164" t="n">
        <x:v>1908</x:v>
      </x:c>
      <x:c r="M67" s="164" t="n">
        <x:v>500526</x:v>
      </x:c>
      <x:c r="N67" s="164" t="n">
        <x:v>128340</x:v>
      </x:c>
      <x:c r="O67" s="165" t="n">
        <x:f>IFERROR(F67/E67,0)</x:f>
        <x:v>0.02857142857142857</x:v>
      </x:c>
      <x:c r="P67" s="166" t="n">
        <x:f>IFERROR(L67/F67,0)</x:f>
        <x:v>4.608695652173913</x:v>
      </x:c>
      <x:c r="Q67" s="165" t="n">
        <x:f>IFERROR(G67/F67,0)</x:f>
        <x:v>0.07246376811594203</x:v>
      </x:c>
      <x:c r="R67" s="164" t="n">
        <x:f>IFERROR(L67/G67,0)</x:f>
        <x:v>63.6</x:v>
      </x:c>
      <x:c r="S67" s="167" t="n">
        <x:f>IFERROR(N67/L67,0)</x:f>
        <x:v>67.26415094339623</x:v>
      </x:c>
      <x:c r="T67" s="165" t="n">
        <x:f>IFERROR(K67/J67,0)</x:f>
        <x:v>0.2</x:v>
      </x:c>
    </x:row>
    <x:row r="68">
      <x:c r="A68" s="161" t="n">
        <x:v>46023</x:v>
      </x:c>
      <x:c r="B68" s="162" t="str">
        <x:v>Retargeting</x:v>
      </x:c>
      <x:c r="C68" s="162" t="str">
        <x:v>Northeast</x:v>
      </x:c>
      <x:c r="D68" s="162" t="str">
        <x:v>Labeling Systems</x:v>
      </x:c>
      <x:c r="E68" s="163" t="n">
        <x:v>16020</x:v>
      </x:c>
      <x:c r="F68" s="163" t="n">
        <x:v>484</x:v>
      </x:c>
      <x:c r="G68" s="163" t="n">
        <x:v>34</x:v>
      </x:c>
      <x:c r="H68" s="163" t="n">
        <x:v>21</x:v>
      </x:c>
      <x:c r="I68" s="163" t="n">
        <x:v>12</x:v>
      </x:c>
      <x:c r="J68" s="163" t="n">
        <x:v>6</x:v>
      </x:c>
      <x:c r="K68" s="163" t="n">
        <x:v>1</x:v>
      </x:c>
      <x:c r="L68" s="164" t="n">
        <x:v>2230</x:v>
      </x:c>
      <x:c r="M68" s="164" t="n">
        <x:v>208915</x:v>
      </x:c>
      <x:c r="N68" s="164" t="n">
        <x:v>44640</x:v>
      </x:c>
      <x:c r="O68" s="165" t="n">
        <x:f>IFERROR(F68/E68,0)</x:f>
        <x:v>0.030212234706616728</x:v>
      </x:c>
      <x:c r="P68" s="166" t="n">
        <x:f>IFERROR(L68/F68,0)</x:f>
        <x:v>4.607438016528926</x:v>
      </x:c>
      <x:c r="Q68" s="165" t="n">
        <x:f>IFERROR(G68/F68,0)</x:f>
        <x:v>0.07024793388429752</x:v>
      </x:c>
      <x:c r="R68" s="164" t="n">
        <x:f>IFERROR(L68/G68,0)</x:f>
        <x:v>65.58823529411765</x:v>
      </x:c>
      <x:c r="S68" s="167" t="n">
        <x:f>IFERROR(N68/L68,0)</x:f>
        <x:v>20.017937219730943</x:v>
      </x:c>
      <x:c r="T68" s="165" t="n">
        <x:f>IFERROR(K68/J68,0)</x:f>
        <x:v>0.16666666666666666</x:v>
      </x:c>
    </x:row>
    <x:row r="69">
      <x:c r="A69" s="161" t="n">
        <x:v>46023</x:v>
      </x:c>
      <x:c r="B69" s="162" t="str">
        <x:v>Retargeting</x:v>
      </x:c>
      <x:c r="C69" s="162" t="str">
        <x:v>Northeast</x:v>
      </x:c>
      <x:c r="D69" s="162" t="str">
        <x:v>Case Packers</x:v>
      </x:c>
      <x:c r="E69" s="163" t="n">
        <x:v>15570</x:v>
      </x:c>
      <x:c r="F69" s="163" t="n">
        <x:v>433</x:v>
      </x:c>
      <x:c r="G69" s="163" t="n">
        <x:v>32</x:v>
      </x:c>
      <x:c r="H69" s="163" t="n">
        <x:v>21</x:v>
      </x:c>
      <x:c r="I69" s="163" t="n">
        <x:v>12</x:v>
      </x:c>
      <x:c r="J69" s="163" t="n">
        <x:v>7</x:v>
      </x:c>
      <x:c r="K69" s="163" t="n">
        <x:v>1</x:v>
      </x:c>
      <x:c r="L69" s="164" t="n">
        <x:v>1995</x:v>
      </x:c>
      <x:c r="M69" s="164" t="n">
        <x:v>568714</x:v>
      </x:c>
      <x:c r="N69" s="164" t="n">
        <x:v>104160</x:v>
      </x:c>
      <x:c r="O69" s="165" t="n">
        <x:f>IFERROR(F69/E69,0)</x:f>
        <x:v>0.027809890815671163</x:v>
      </x:c>
      <x:c r="P69" s="166" t="n">
        <x:f>IFERROR(L69/F69,0)</x:f>
        <x:v>4.607390300230947</x:v>
      </x:c>
      <x:c r="Q69" s="165" t="n">
        <x:f>IFERROR(G69/F69,0)</x:f>
        <x:v>0.07390300230946882</x:v>
      </x:c>
      <x:c r="R69" s="164" t="n">
        <x:f>IFERROR(L69/G69,0)</x:f>
        <x:v>62.34375</x:v>
      </x:c>
      <x:c r="S69" s="167" t="n">
        <x:f>IFERROR(N69/L69,0)</x:f>
        <x:v>52.21052631578947</x:v>
      </x:c>
      <x:c r="T69" s="165" t="n">
        <x:f>IFERROR(K69/J69,0)</x:f>
        <x:v>0.14285714285714285</x:v>
      </x:c>
    </x:row>
    <x:row r="70">
      <x:c r="A70" s="161" t="n">
        <x:v>46023</x:v>
      </x:c>
      <x:c r="B70" s="162" t="str">
        <x:v>Retargeting</x:v>
      </x:c>
      <x:c r="C70" s="162" t="str">
        <x:v>Midwest</x:v>
      </x:c>
      <x:c r="D70" s="162" t="str">
        <x:v>Pouch Fillers</x:v>
      </x:c>
      <x:c r="E70" s="163" t="n">
        <x:v>15930</x:v>
      </x:c>
      <x:c r="F70" s="163" t="n">
        <x:v>468</x:v>
      </x:c>
      <x:c r="G70" s="163" t="n">
        <x:v>33</x:v>
      </x:c>
      <x:c r="H70" s="163" t="n">
        <x:v>19</x:v>
      </x:c>
      <x:c r="I70" s="163" t="n">
        <x:v>11</x:v>
      </x:c>
      <x:c r="J70" s="163" t="n">
        <x:v>5</x:v>
      </x:c>
      <x:c r="K70" s="163" t="n">
        <x:v>1</x:v>
      </x:c>
      <x:c r="L70" s="164" t="n">
        <x:v>2190</x:v>
      </x:c>
      <x:c r="M70" s="164" t="n">
        <x:v>305409</x:v>
      </x:c>
      <x:c r="N70" s="164" t="n">
        <x:v>78310</x:v>
      </x:c>
      <x:c r="O70" s="165" t="n">
        <x:f>IFERROR(F70/E70,0)</x:f>
        <x:v>0.02937853107344633</x:v>
      </x:c>
      <x:c r="P70" s="166" t="n">
        <x:f>IFERROR(L70/F70,0)</x:f>
        <x:v>4.67948717948718</x:v>
      </x:c>
      <x:c r="Q70" s="165" t="n">
        <x:f>IFERROR(G70/F70,0)</x:f>
        <x:v>0.07051282051282051</x:v>
      </x:c>
      <x:c r="R70" s="164" t="n">
        <x:f>IFERROR(L70/G70,0)</x:f>
        <x:v>66.36363636363636</x:v>
      </x:c>
      <x:c r="S70" s="167" t="n">
        <x:f>IFERROR(N70/L70,0)</x:f>
        <x:v>35.757990867579906</x:v>
      </x:c>
      <x:c r="T70" s="165" t="n">
        <x:f>IFERROR(K70/J70,0)</x:f>
        <x:v>0.2</x:v>
      </x:c>
    </x:row>
    <x:row r="71">
      <x:c r="A71" s="161" t="n">
        <x:v>46023</x:v>
      </x:c>
      <x:c r="B71" s="162" t="str">
        <x:v>Retargeting</x:v>
      </x:c>
      <x:c r="C71" s="162" t="str">
        <x:v>Midwest</x:v>
      </x:c>
      <x:c r="D71" s="162" t="str">
        <x:v>Cartoning Machines</x:v>
      </x:c>
      <x:c r="E71" s="163" t="n">
        <x:v>15480</x:v>
      </x:c>
      <x:c r="F71" s="163" t="n">
        <x:v>418</x:v>
      </x:c>
      <x:c r="G71" s="163" t="n">
        <x:v>31</x:v>
      </x:c>
      <x:c r="H71" s="163" t="n">
        <x:v>19</x:v>
      </x:c>
      <x:c r="I71" s="163" t="n">
        <x:v>11</x:v>
      </x:c>
      <x:c r="J71" s="163" t="n">
        <x:v>6</x:v>
      </x:c>
      <x:c r="K71" s="163" t="n">
        <x:v>1</x:v>
      </x:c>
      <x:c r="L71" s="164" t="n">
        <x:v>1956</x:v>
      </x:c>
      <x:c r="M71" s="164" t="n">
        <x:v>616777</x:v>
      </x:c>
      <x:c r="N71" s="164" t="n">
        <x:v>131790</x:v>
      </x:c>
      <x:c r="O71" s="165" t="n">
        <x:f>IFERROR(F71/E71,0)</x:f>
        <x:v>0.027002583979328164</x:v>
      </x:c>
      <x:c r="P71" s="166" t="n">
        <x:f>IFERROR(L71/F71,0)</x:f>
        <x:v>4.679425837320574</x:v>
      </x:c>
      <x:c r="Q71" s="165" t="n">
        <x:f>IFERROR(G71/F71,0)</x:f>
        <x:v>0.07416267942583732</x:v>
      </x:c>
      <x:c r="R71" s="164" t="n">
        <x:f>IFERROR(L71/G71,0)</x:f>
        <x:v>63.096774193548384</x:v>
      </x:c>
      <x:c r="S71" s="167" t="n">
        <x:f>IFERROR(N71/L71,0)</x:f>
        <x:v>67.37730061349693</x:v>
      </x:c>
      <x:c r="T71" s="165" t="n">
        <x:f>IFERROR(K71/J71,0)</x:f>
        <x:v>0.16666666666666666</x:v>
      </x:c>
    </x:row>
    <x:row r="72">
      <x:c r="A72" s="161" t="n">
        <x:v>46023</x:v>
      </x:c>
      <x:c r="B72" s="162" t="str">
        <x:v>Retargeting</x:v>
      </x:c>
      <x:c r="C72" s="162" t="str">
        <x:v>Midwest</x:v>
      </x:c>
      <x:c r="D72" s="162" t="str">
        <x:v>Labeling Systems</x:v>
      </x:c>
      <x:c r="E72" s="163" t="n">
        <x:v>17010</x:v>
      </x:c>
      <x:c r="F72" s="163" t="n">
        <x:v>486</x:v>
      </x:c>
      <x:c r="G72" s="163" t="n">
        <x:v>35</x:v>
      </x:c>
      <x:c r="H72" s="163" t="n">
        <x:v>22</x:v>
      </x:c>
      <x:c r="I72" s="163" t="n">
        <x:v>13</x:v>
      </x:c>
      <x:c r="J72" s="163" t="n">
        <x:v>7</x:v>
      </x:c>
      <x:c r="K72" s="163" t="n">
        <x:v>2</x:v>
      </x:c>
      <x:c r="L72" s="164" t="n">
        <x:v>2274</x:v>
      </x:c>
      <x:c r="M72" s="164" t="n">
        <x:v>250286</x:v>
      </x:c>
      <x:c r="N72" s="164" t="n">
        <x:v>91680</x:v>
      </x:c>
      <x:c r="O72" s="165" t="n">
        <x:f>IFERROR(F72/E72,0)</x:f>
        <x:v>0.02857142857142857</x:v>
      </x:c>
      <x:c r="P72" s="166" t="n">
        <x:f>IFERROR(L72/F72,0)</x:f>
        <x:v>4.679012345679013</x:v>
      </x:c>
      <x:c r="Q72" s="165" t="n">
        <x:f>IFERROR(G72/F72,0)</x:f>
        <x:v>0.0720164609053498</x:v>
      </x:c>
      <x:c r="R72" s="164" t="n">
        <x:f>IFERROR(L72/G72,0)</x:f>
        <x:v>64.97142857142858</x:v>
      </x:c>
      <x:c r="S72" s="167" t="n">
        <x:f>IFERROR(N72/L72,0)</x:f>
        <x:v>40.31662269129288</x:v>
      </x:c>
      <x:c r="T72" s="165" t="n">
        <x:f>IFERROR(K72/J72,0)</x:f>
        <x:v>0.2857142857142857</x:v>
      </x:c>
    </x:row>
    <x:row r="73">
      <x:c r="A73" s="161" t="n">
        <x:v>46023</x:v>
      </x:c>
      <x:c r="B73" s="162" t="str">
        <x:v>Retargeting</x:v>
      </x:c>
      <x:c r="C73" s="162" t="str">
        <x:v>Midwest</x:v>
      </x:c>
      <x:c r="D73" s="162" t="str">
        <x:v>Case Packers</x:v>
      </x:c>
      <x:c r="E73" s="163" t="n">
        <x:v>16560</x:v>
      </x:c>
      <x:c r="F73" s="163" t="n">
        <x:v>500</x:v>
      </x:c>
      <x:c r="G73" s="163" t="n">
        <x:v>37</x:v>
      </x:c>
      <x:c r="H73" s="163" t="n">
        <x:v>24</x:v>
      </x:c>
      <x:c r="I73" s="163" t="n">
        <x:v>14</x:v>
      </x:c>
      <x:c r="J73" s="163" t="n">
        <x:v>8</x:v>
      </x:c>
      <x:c r="K73" s="163" t="n">
        <x:v>2</x:v>
      </x:c>
      <x:c r="L73" s="164" t="n">
        <x:v>2340</x:v>
      </x:c>
      <x:c r="M73" s="164" t="n">
        <x:v>667430</x:v>
      </x:c>
      <x:c r="N73" s="164" t="n">
        <x:v>213920</x:v>
      </x:c>
      <x:c r="O73" s="165" t="n">
        <x:f>IFERROR(F73/E73,0)</x:f>
        <x:v>0.030193236714975844</x:v>
      </x:c>
      <x:c r="P73" s="166" t="n">
        <x:f>IFERROR(L73/F73,0)</x:f>
        <x:v>4.68</x:v>
      </x:c>
      <x:c r="Q73" s="165" t="n">
        <x:f>IFERROR(G73/F73,0)</x:f>
        <x:v>0.074</x:v>
      </x:c>
      <x:c r="R73" s="164" t="n">
        <x:f>IFERROR(L73/G73,0)</x:f>
        <x:v>63.24324324324324</x:v>
      </x:c>
      <x:c r="S73" s="167" t="n">
        <x:f>IFERROR(N73/L73,0)</x:f>
        <x:v>91.41880341880342</x:v>
      </x:c>
      <x:c r="T73" s="165" t="n">
        <x:f>IFERROR(K73/J73,0)</x:f>
        <x:v>0.25</x:v>
      </x:c>
    </x:row>
    <x:row r="74">
      <x:c r="A74" s="161" t="n">
        <x:v>46023</x:v>
      </x:c>
      <x:c r="B74" s="162" t="str">
        <x:v>Retargeting</x:v>
      </x:c>
      <x:c r="C74" s="162" t="str">
        <x:v>South</x:v>
      </x:c>
      <x:c r="D74" s="162" t="str">
        <x:v>Pouch Fillers</x:v>
      </x:c>
      <x:c r="E74" s="163" t="n">
        <x:v>16920</x:v>
      </x:c>
      <x:c r="F74" s="163" t="n">
        <x:v>470</x:v>
      </x:c>
      <x:c r="G74" s="163" t="n">
        <x:v>33</x:v>
      </x:c>
      <x:c r="H74" s="163" t="n">
        <x:v>19</x:v>
      </x:c>
      <x:c r="I74" s="163" t="n">
        <x:v>11</x:v>
      </x:c>
      <x:c r="J74" s="163" t="n">
        <x:v>5</x:v>
      </x:c>
      <x:c r="K74" s="163" t="n">
        <x:v>1</x:v>
      </x:c>
      <x:c r="L74" s="164" t="n">
        <x:v>2233</x:v>
      </x:c>
      <x:c r="M74" s="164" t="n">
        <x:v>313404</x:v>
      </x:c>
      <x:c r="N74" s="164" t="n">
        <x:v>80360</x:v>
      </x:c>
      <x:c r="O74" s="165" t="n">
        <x:f>IFERROR(F74/E74,0)</x:f>
        <x:v>0.027777777777777776</x:v>
      </x:c>
      <x:c r="P74" s="166" t="n">
        <x:f>IFERROR(L74/F74,0)</x:f>
        <x:v>4.751063829787234</x:v>
      </x:c>
      <x:c r="Q74" s="165" t="n">
        <x:f>IFERROR(G74/F74,0)</x:f>
        <x:v>0.07021276595744681</x:v>
      </x:c>
      <x:c r="R74" s="164" t="n">
        <x:f>IFERROR(L74/G74,0)</x:f>
        <x:v>67.66666666666667</x:v>
      </x:c>
      <x:c r="S74" s="167" t="n">
        <x:f>IFERROR(N74/L74,0)</x:f>
        <x:v>35.98746081504702</x:v>
      </x:c>
      <x:c r="T74" s="165" t="n">
        <x:f>IFERROR(K74/J74,0)</x:f>
        <x:v>0.2</x:v>
      </x:c>
    </x:row>
    <x:row r="75">
      <x:c r="A75" s="161" t="n">
        <x:v>46023</x:v>
      </x:c>
      <x:c r="B75" s="162" t="str">
        <x:v>Retargeting</x:v>
      </x:c>
      <x:c r="C75" s="162" t="str">
        <x:v>South</x:v>
      </x:c>
      <x:c r="D75" s="162" t="str">
        <x:v>Cartoning Machines</x:v>
      </x:c>
      <x:c r="E75" s="163" t="n">
        <x:v>16470</x:v>
      </x:c>
      <x:c r="F75" s="163" t="n">
        <x:v>484</x:v>
      </x:c>
      <x:c r="G75" s="163" t="n">
        <x:v>35</x:v>
      </x:c>
      <x:c r="H75" s="163" t="n">
        <x:v>21</x:v>
      </x:c>
      <x:c r="I75" s="163" t="n">
        <x:v>12</x:v>
      </x:c>
      <x:c r="J75" s="163" t="n">
        <x:v>6</x:v>
      </x:c>
      <x:c r="K75" s="163" t="n">
        <x:v>1</x:v>
      </x:c>
      <x:c r="L75" s="164" t="n">
        <x:v>2300</x:v>
      </x:c>
      <x:c r="M75" s="164" t="n">
        <x:v>632923</x:v>
      </x:c>
      <x:c r="N75" s="164" t="n">
        <x:v>135240</x:v>
      </x:c>
      <x:c r="O75" s="165" t="n">
        <x:f>IFERROR(F75/E75,0)</x:f>
        <x:v>0.029386763812993322</x:v>
      </x:c>
      <x:c r="P75" s="166" t="n">
        <x:f>IFERROR(L75/F75,0)</x:f>
        <x:v>4.75206611570248</x:v>
      </x:c>
      <x:c r="Q75" s="165" t="n">
        <x:f>IFERROR(G75/F75,0)</x:f>
        <x:v>0.07231404958677685</x:v>
      </x:c>
      <x:c r="R75" s="164" t="n">
        <x:f>IFERROR(L75/G75,0)</x:f>
        <x:v>65.71428571428571</x:v>
      </x:c>
      <x:c r="S75" s="167" t="n">
        <x:f>IFERROR(N75/L75,0)</x:f>
        <x:v>58.8</x:v>
      </x:c>
      <x:c r="T75" s="165" t="n">
        <x:f>IFERROR(K75/J75,0)</x:f>
        <x:v>0.16666666666666666</x:v>
      </x:c>
    </x:row>
    <x:row r="76">
      <x:c r="A76" s="161" t="n">
        <x:v>46023</x:v>
      </x:c>
      <x:c r="B76" s="162" t="str">
        <x:v>Retargeting</x:v>
      </x:c>
      <x:c r="C76" s="162" t="str">
        <x:v>South</x:v>
      </x:c>
      <x:c r="D76" s="162" t="str">
        <x:v>Labeling Systems</x:v>
      </x:c>
      <x:c r="E76" s="163" t="n">
        <x:v>18000</x:v>
      </x:c>
      <x:c r="F76" s="163" t="n">
        <x:v>486</x:v>
      </x:c>
      <x:c r="G76" s="163" t="n">
        <x:v>35</x:v>
      </x:c>
      <x:c r="H76" s="163" t="n">
        <x:v>22</x:v>
      </x:c>
      <x:c r="I76" s="163" t="n">
        <x:v>13</x:v>
      </x:c>
      <x:c r="J76" s="163" t="n">
        <x:v>7</x:v>
      </x:c>
      <x:c r="K76" s="163" t="n">
        <x:v>2</x:v>
      </x:c>
      <x:c r="L76" s="164" t="n">
        <x:v>2309</x:v>
      </x:c>
      <x:c r="M76" s="164" t="n">
        <x:v>256838</x:v>
      </x:c>
      <x:c r="N76" s="164" t="n">
        <x:v>94080</x:v>
      </x:c>
      <x:c r="O76" s="165" t="n">
        <x:f>IFERROR(F76/E76,0)</x:f>
        <x:v>0.027</x:v>
      </x:c>
      <x:c r="P76" s="166" t="n">
        <x:f>IFERROR(L76/F76,0)</x:f>
        <x:v>4.751028806584362</x:v>
      </x:c>
      <x:c r="Q76" s="165" t="n">
        <x:f>IFERROR(G76/F76,0)</x:f>
        <x:v>0.0720164609053498</x:v>
      </x:c>
      <x:c r="R76" s="164" t="n">
        <x:f>IFERROR(L76/G76,0)</x:f>
        <x:v>65.97142857142858</x:v>
      </x:c>
      <x:c r="S76" s="167" t="n">
        <x:f>IFERROR(N76/L76,0)</x:f>
        <x:v>40.744911216977044</x:v>
      </x:c>
      <x:c r="T76" s="165" t="n">
        <x:f>IFERROR(K76/J76,0)</x:f>
        <x:v>0.2857142857142857</x:v>
      </x:c>
    </x:row>
    <x:row r="77">
      <x:c r="A77" s="161" t="n">
        <x:v>46023</x:v>
      </x:c>
      <x:c r="B77" s="162" t="str">
        <x:v>Retargeting</x:v>
      </x:c>
      <x:c r="C77" s="162" t="str">
        <x:v>South</x:v>
      </x:c>
      <x:c r="D77" s="162" t="str">
        <x:v>Case Packers</x:v>
      </x:c>
      <x:c r="E77" s="163" t="n">
        <x:v>17550</x:v>
      </x:c>
      <x:c r="F77" s="163" t="n">
        <x:v>502</x:v>
      </x:c>
      <x:c r="G77" s="163" t="n">
        <x:v>37</x:v>
      </x:c>
      <x:c r="H77" s="163" t="n">
        <x:v>24</x:v>
      </x:c>
      <x:c r="I77" s="163" t="n">
        <x:v>14</x:v>
      </x:c>
      <x:c r="J77" s="163" t="n">
        <x:v>8</x:v>
      </x:c>
      <x:c r="K77" s="163" t="n">
        <x:v>2</x:v>
      </x:c>
      <x:c r="L77" s="164" t="n">
        <x:v>2386</x:v>
      </x:c>
      <x:c r="M77" s="164" t="n">
        <x:v>684902</x:v>
      </x:c>
      <x:c r="N77" s="164" t="n">
        <x:v>219520</x:v>
      </x:c>
      <x:c r="O77" s="165" t="n">
        <x:f>IFERROR(F77/E77,0)</x:f>
        <x:v>0.028603988603988603</x:v>
      </x:c>
      <x:c r="P77" s="166" t="n">
        <x:f>IFERROR(L77/F77,0)</x:f>
        <x:v>4.752988047808765</x:v>
      </x:c>
      <x:c r="Q77" s="165" t="n">
        <x:f>IFERROR(G77/F77,0)</x:f>
        <x:v>0.07370517928286853</x:v>
      </x:c>
      <x:c r="R77" s="164" t="n">
        <x:f>IFERROR(L77/G77,0)</x:f>
        <x:v>64.48648648648648</x:v>
      </x:c>
      <x:c r="S77" s="167" t="n">
        <x:f>IFERROR(N77/L77,0)</x:f>
        <x:v>92.00335289186924</x:v>
      </x:c>
      <x:c r="T77" s="165" t="n">
        <x:f>IFERROR(K77/J77,0)</x:f>
        <x:v>0.25</x:v>
      </x:c>
    </x:row>
    <x:row r="78">
      <x:c r="A78" s="161" t="n">
        <x:v>46023</x:v>
      </x:c>
      <x:c r="B78" s="162" t="str">
        <x:v>Retargeting</x:v>
      </x:c>
      <x:c r="C78" s="162" t="str">
        <x:v>West</x:v>
      </x:c>
      <x:c r="D78" s="162" t="str">
        <x:v>Pouch Fillers</x:v>
      </x:c>
      <x:c r="E78" s="163" t="n">
        <x:v>15930</x:v>
      </x:c>
      <x:c r="F78" s="163" t="n">
        <x:v>481</x:v>
      </x:c>
      <x:c r="G78" s="163" t="n">
        <x:v>34</x:v>
      </x:c>
      <x:c r="H78" s="163" t="n">
        <x:v>20</x:v>
      </x:c>
      <x:c r="I78" s="163" t="n">
        <x:v>12</x:v>
      </x:c>
      <x:c r="J78" s="163" t="n">
        <x:v>6</x:v>
      </x:c>
      <x:c r="K78" s="163" t="n">
        <x:v>1</x:v>
      </x:c>
      <x:c r="L78" s="164" t="n">
        <x:v>2320</x:v>
      </x:c>
      <x:c r="M78" s="164" t="n">
        <x:v>385679</x:v>
      </x:c>
      <x:c r="N78" s="164" t="n">
        <x:v>82410</x:v>
      </x:c>
      <x:c r="O78" s="165" t="n">
        <x:f>IFERROR(F78/E78,0)</x:f>
        <x:v>0.03019460138104206</x:v>
      </x:c>
      <x:c r="P78" s="166" t="n">
        <x:f>IFERROR(L78/F78,0)</x:f>
        <x:v>4.8232848232848236</x:v>
      </x:c>
      <x:c r="Q78" s="165" t="n">
        <x:f>IFERROR(G78/F78,0)</x:f>
        <x:v>0.07068607068607069</x:v>
      </x:c>
      <x:c r="R78" s="164" t="n">
        <x:f>IFERROR(L78/G78,0)</x:f>
        <x:v>68.23529411764706</x:v>
      </x:c>
      <x:c r="S78" s="167" t="n">
        <x:f>IFERROR(N78/L78,0)</x:f>
        <x:v>35.52155172413793</x:v>
      </x:c>
      <x:c r="T78" s="165" t="n">
        <x:f>IFERROR(K78/J78,0)</x:f>
        <x:v>0.16666666666666666</x:v>
      </x:c>
    </x:row>
    <x:row r="79">
      <x:c r="A79" s="161" t="n">
        <x:v>46023</x:v>
      </x:c>
      <x:c r="B79" s="162" t="str">
        <x:v>Retargeting</x:v>
      </x:c>
      <x:c r="C79" s="162" t="str">
        <x:v>West</x:v>
      </x:c>
      <x:c r="D79" s="162" t="str">
        <x:v>Cartoning Machines</x:v>
      </x:c>
      <x:c r="E79" s="163" t="n">
        <x:v>17460</x:v>
      </x:c>
      <x:c r="F79" s="163" t="n">
        <x:v>485</x:v>
      </x:c>
      <x:c r="G79" s="163" t="n">
        <x:v>35</x:v>
      </x:c>
      <x:c r="H79" s="163" t="n">
        <x:v>21</x:v>
      </x:c>
      <x:c r="I79" s="163" t="n">
        <x:v>13</x:v>
      </x:c>
      <x:c r="J79" s="163" t="n">
        <x:v>7</x:v>
      </x:c>
      <x:c r="K79" s="163" t="n">
        <x:v>2</x:v>
      </x:c>
      <x:c r="L79" s="164" t="n">
        <x:v>2340</x:v>
      </x:c>
      <x:c r="M79" s="164" t="n">
        <x:v>757247</x:v>
      </x:c>
      <x:c r="N79" s="164" t="n">
        <x:v>277380</x:v>
      </x:c>
      <x:c r="O79" s="165" t="n">
        <x:f>IFERROR(F79/E79,0)</x:f>
        <x:v>0.027777777777777776</x:v>
      </x:c>
      <x:c r="P79" s="166" t="n">
        <x:f>IFERROR(L79/F79,0)</x:f>
        <x:v>4.824742268041237</x:v>
      </x:c>
      <x:c r="Q79" s="165" t="n">
        <x:f>IFERROR(G79/F79,0)</x:f>
        <x:v>0.07216494845360824</x:v>
      </x:c>
      <x:c r="R79" s="164" t="n">
        <x:f>IFERROR(L79/G79,0)</x:f>
        <x:v>66.85714285714286</x:v>
      </x:c>
      <x:c r="S79" s="167" t="n">
        <x:f>IFERROR(N79/L79,0)</x:f>
        <x:v>118.53846153846153</x:v>
      </x:c>
      <x:c r="T79" s="165" t="n">
        <x:f>IFERROR(K79/J79,0)</x:f>
        <x:v>0.2857142857142857</x:v>
      </x:c>
    </x:row>
    <x:row r="80">
      <x:c r="A80" s="161" t="n">
        <x:v>46023</x:v>
      </x:c>
      <x:c r="B80" s="162" t="str">
        <x:v>Retargeting</x:v>
      </x:c>
      <x:c r="C80" s="162" t="str">
        <x:v>West</x:v>
      </x:c>
      <x:c r="D80" s="162" t="str">
        <x:v>Labeling Systems</x:v>
      </x:c>
      <x:c r="E80" s="163" t="n">
        <x:v>17010</x:v>
      </x:c>
      <x:c r="F80" s="163" t="n">
        <x:v>500</x:v>
      </x:c>
      <x:c r="G80" s="163" t="n">
        <x:v>36</x:v>
      </x:c>
      <x:c r="H80" s="163" t="n">
        <x:v>23</x:v>
      </x:c>
      <x:c r="I80" s="163" t="n">
        <x:v>14</x:v>
      </x:c>
      <x:c r="J80" s="163" t="n">
        <x:v>8</x:v>
      </x:c>
      <x:c r="K80" s="163" t="n">
        <x:v>2</x:v>
      </x:c>
      <x:c r="L80" s="164" t="n">
        <x:v>2412</x:v>
      </x:c>
      <x:c r="M80" s="164" t="n">
        <x:v>301018</x:v>
      </x:c>
      <x:c r="N80" s="164" t="n">
        <x:v>96480</x:v>
      </x:c>
      <x:c r="O80" s="165" t="n">
        <x:f>IFERROR(F80/E80,0)</x:f>
        <x:v>0.029394473838918283</x:v>
      </x:c>
      <x:c r="P80" s="166" t="n">
        <x:f>IFERROR(L80/F80,0)</x:f>
        <x:v>4.824</x:v>
      </x:c>
      <x:c r="Q80" s="165" t="n">
        <x:f>IFERROR(G80/F80,0)</x:f>
        <x:v>0.072</x:v>
      </x:c>
      <x:c r="R80" s="164" t="n">
        <x:f>IFERROR(L80/G80,0)</x:f>
        <x:v>67</x:v>
      </x:c>
      <x:c r="S80" s="167" t="n">
        <x:f>IFERROR(N80/L80,0)</x:f>
        <x:v>40</x:v>
      </x:c>
      <x:c r="T80" s="165" t="n">
        <x:f>IFERROR(K80/J80,0)</x:f>
        <x:v>0.25</x:v>
      </x:c>
    </x:row>
    <x:row r="81">
      <x:c r="A81" s="161" t="n">
        <x:v>46023</x:v>
      </x:c>
      <x:c r="B81" s="162" t="str">
        <x:v>Retargeting</x:v>
      </x:c>
      <x:c r="C81" s="162" t="str">
        <x:v>West</x:v>
      </x:c>
      <x:c r="D81" s="162" t="str">
        <x:v>Case Packers</x:v>
      </x:c>
      <x:c r="E81" s="163" t="n">
        <x:v>18540</x:v>
      </x:c>
      <x:c r="F81" s="163" t="n">
        <x:v>501</x:v>
      </x:c>
      <x:c r="G81" s="163" t="n">
        <x:v>37</x:v>
      </x:c>
      <x:c r="H81" s="163" t="n">
        <x:v>24</x:v>
      </x:c>
      <x:c r="I81" s="163" t="n">
        <x:v>15</x:v>
      </x:c>
      <x:c r="J81" s="163" t="n">
        <x:v>8</x:v>
      </x:c>
      <x:c r="K81" s="163" t="n">
        <x:v>2</x:v>
      </x:c>
      <x:c r="L81" s="164" t="n">
        <x:v>2417</x:v>
      </x:c>
      <x:c r="M81" s="164" t="n">
        <x:v>702374</x:v>
      </x:c>
      <x:c r="N81" s="164" t="n">
        <x:v>225120</x:v>
      </x:c>
      <x:c r="O81" s="165" t="n">
        <x:f>IFERROR(F81/E81,0)</x:f>
        <x:v>0.02702265372168285</x:v>
      </x:c>
      <x:c r="P81" s="166" t="n">
        <x:f>IFERROR(L81/F81,0)</x:f>
        <x:v>4.824351297405189</x:v>
      </x:c>
      <x:c r="Q81" s="165" t="n">
        <x:f>IFERROR(G81/F81,0)</x:f>
        <x:v>0.07385229540918163</x:v>
      </x:c>
      <x:c r="R81" s="164" t="n">
        <x:f>IFERROR(L81/G81,0)</x:f>
        <x:v>65.32432432432432</x:v>
      </x:c>
      <x:c r="S81" s="167" t="n">
        <x:f>IFERROR(N81/L81,0)</x:f>
        <x:v>93.14025651634257</x:v>
      </x:c>
      <x:c r="T81" s="165" t="n">
        <x:f>IFERROR(K81/J81,0)</x:f>
        <x:v>0.25</x:v>
      </x:c>
    </x:row>
    <x:row r="82">
      <x:c r="A82" s="161" t="n">
        <x:v>46054</x:v>
      </x:c>
      <x:c r="B82" s="162" t="str">
        <x:v>Google Search</x:v>
      </x:c>
      <x:c r="C82" s="162" t="str">
        <x:v>Northeast</x:v>
      </x:c>
      <x:c r="D82" s="162" t="str">
        <x:v>Pouch Fillers</x:v>
      </x:c>
      <x:c r="E82" s="163" t="n">
        <x:v>20640</x:v>
      </x:c>
      <x:c r="F82" s="163" t="n">
        <x:v>807</x:v>
      </x:c>
      <x:c r="G82" s="163" t="n">
        <x:v>52</x:v>
      </x:c>
      <x:c r="H82" s="163" t="n">
        <x:v>31</x:v>
      </x:c>
      <x:c r="I82" s="163" t="n">
        <x:v>17</x:v>
      </x:c>
      <x:c r="J82" s="163" t="n">
        <x:v>8</x:v>
      </x:c>
      <x:c r="K82" s="163" t="n">
        <x:v>2</x:v>
      </x:c>
      <x:c r="L82" s="164" t="n">
        <x:v>5378</x:v>
      </x:c>
      <x:c r="M82" s="164" t="n">
        <x:v>488064</x:v>
      </x:c>
      <x:c r="N82" s="164" t="n">
        <x:v>152520</x:v>
      </x:c>
      <x:c r="O82" s="165" t="n">
        <x:f>IFERROR(F82/E82,0)</x:f>
        <x:v>0.03909883720930232</x:v>
      </x:c>
      <x:c r="P82" s="166" t="n">
        <x:f>IFERROR(L82/F82,0)</x:f>
        <x:v>6.664188351920694</x:v>
      </x:c>
      <x:c r="Q82" s="165" t="n">
        <x:f>IFERROR(G82/F82,0)</x:f>
        <x:v>0.0644361833952912</x:v>
      </x:c>
      <x:c r="R82" s="164" t="n">
        <x:f>IFERROR(L82/G82,0)</x:f>
        <x:v>103.42307692307692</x:v>
      </x:c>
      <x:c r="S82" s="167" t="n">
        <x:f>IFERROR(N82/L82,0)</x:f>
        <x:v>28.35998512458163</x:v>
      </x:c>
      <x:c r="T82" s="165" t="n">
        <x:f>IFERROR(K82/J82,0)</x:f>
        <x:v>0.25</x:v>
      </x:c>
    </x:row>
    <x:row r="83">
      <x:c r="A83" s="161" t="n">
        <x:v>46054</x:v>
      </x:c>
      <x:c r="B83" s="162" t="str">
        <x:v>Google Search</x:v>
      </x:c>
      <x:c r="C83" s="162" t="str">
        <x:v>Northeast</x:v>
      </x:c>
      <x:c r="D83" s="162" t="str">
        <x:v>Cartoning Machines</x:v>
      </x:c>
      <x:c r="E83" s="163" t="n">
        <x:v>22680</x:v>
      </x:c>
      <x:c r="F83" s="163" t="n">
        <x:v>923</x:v>
      </x:c>
      <x:c r="G83" s="163" t="n">
        <x:v>61</x:v>
      </x:c>
      <x:c r="H83" s="163" t="n">
        <x:v>38</x:v>
      </x:c>
      <x:c r="I83" s="163" t="n">
        <x:v>21</x:v>
      </x:c>
      <x:c r="J83" s="163" t="n">
        <x:v>11</x:v>
      </x:c>
      <x:c r="K83" s="163" t="n">
        <x:v>3</x:v>
      </x:c>
      <x:c r="L83" s="164" t="n">
        <x:v>6151</x:v>
      </x:c>
      <x:c r="M83" s="164" t="n">
        <x:v>1129392</x:v>
      </x:c>
      <x:c r="N83" s="164" t="n">
        <x:v>385020</x:v>
      </x:c>
      <x:c r="O83" s="165" t="n">
        <x:f>IFERROR(F83/E83,0)</x:f>
        <x:v>0.040696649029982365</x:v>
      </x:c>
      <x:c r="P83" s="166" t="n">
        <x:f>IFERROR(L83/F83,0)</x:f>
        <x:v>6.6641386782231855</x:v>
      </x:c>
      <x:c r="Q83" s="165" t="n">
        <x:f>IFERROR(G83/F83,0)</x:f>
        <x:v>0.06608884073672806</x:v>
      </x:c>
      <x:c r="R83" s="164" t="n">
        <x:f>IFERROR(L83/G83,0)</x:f>
        <x:v>100.8360655737705</x:v>
      </x:c>
      <x:c r="S83" s="167" t="n">
        <x:f>IFERROR(N83/L83,0)</x:f>
        <x:v>62.59470004877256</x:v>
      </x:c>
      <x:c r="T83" s="165" t="n">
        <x:f>IFERROR(K83/J83,0)</x:f>
        <x:v>0.2727272727272727</x:v>
      </x:c>
    </x:row>
    <x:row r="84">
      <x:c r="A84" s="161" t="n">
        <x:v>46054</x:v>
      </x:c>
      <x:c r="B84" s="162" t="str">
        <x:v>Google Search</x:v>
      </x:c>
      <x:c r="C84" s="162" t="str">
        <x:v>Northeast</x:v>
      </x:c>
      <x:c r="D84" s="162" t="str">
        <x:v>Labeling Systems</x:v>
      </x:c>
      <x:c r="E84" s="163" t="n">
        <x:v>22080</x:v>
      </x:c>
      <x:c r="F84" s="163" t="n">
        <x:v>846</x:v>
      </x:c>
      <x:c r="G84" s="163" t="n">
        <x:v>54</x:v>
      </x:c>
      <x:c r="H84" s="163" t="n">
        <x:v>35</x:v>
      </x:c>
      <x:c r="I84" s="163" t="n">
        <x:v>19</x:v>
      </x:c>
      <x:c r="J84" s="163" t="n">
        <x:v>10</x:v>
      </x:c>
      <x:c r="K84" s="163" t="n">
        <x:v>2</x:v>
      </x:c>
      <x:c r="L84" s="164" t="n">
        <x:v>5638</x:v>
      </x:c>
      <x:c r="M84" s="164" t="n">
        <x:v>357120</x:v>
      </x:c>
      <x:c r="N84" s="164" t="n">
        <x:v>89280</x:v>
      </x:c>
      <x:c r="O84" s="165" t="n">
        <x:f>IFERROR(F84/E84,0)</x:f>
        <x:v>0.03831521739130435</x:v>
      </x:c>
      <x:c r="P84" s="166" t="n">
        <x:f>IFERROR(L84/F84,0)</x:f>
        <x:v>6.664302600472813</x:v>
      </x:c>
      <x:c r="Q84" s="165" t="n">
        <x:f>IFERROR(G84/F84,0)</x:f>
        <x:v>0.06382978723404255</x:v>
      </x:c>
      <x:c r="R84" s="164" t="n">
        <x:f>IFERROR(L84/G84,0)</x:f>
        <x:v>104.4074074074074</x:v>
      </x:c>
      <x:c r="S84" s="167" t="n">
        <x:f>IFERROR(N84/L84,0)</x:f>
        <x:v>15.835402625044342</x:v>
      </x:c>
      <x:c r="T84" s="165" t="n">
        <x:f>IFERROR(K84/J84,0)</x:f>
        <x:v>0.2</x:v>
      </x:c>
    </x:row>
    <x:row r="85">
      <x:c r="A85" s="161" t="n">
        <x:v>46054</x:v>
      </x:c>
      <x:c r="B85" s="162" t="str">
        <x:v>Google Search</x:v>
      </x:c>
      <x:c r="C85" s="162" t="str">
        <x:v>Northeast</x:v>
      </x:c>
      <x:c r="D85" s="162" t="str">
        <x:v>Case Packers</x:v>
      </x:c>
      <x:c r="E85" s="163" t="n">
        <x:v>24120</x:v>
      </x:c>
      <x:c r="F85" s="163" t="n">
        <x:v>962</x:v>
      </x:c>
      <x:c r="G85" s="163" t="n">
        <x:v>63</x:v>
      </x:c>
      <x:c r="H85" s="163" t="n">
        <x:v>42</x:v>
      </x:c>
      <x:c r="I85" s="163" t="n">
        <x:v>23</x:v>
      </x:c>
      <x:c r="J85" s="163" t="n">
        <x:v>13</x:v>
      </x:c>
      <x:c r="K85" s="163" t="n">
        <x:v>3</x:v>
      </x:c>
      <x:c r="L85" s="164" t="n">
        <x:v>6411</x:v>
      </x:c>
      <x:c r="M85" s="164" t="n">
        <x:v>1083264</x:v>
      </x:c>
      <x:c r="N85" s="164" t="n">
        <x:v>312480</x:v>
      </x:c>
      <x:c r="O85" s="165" t="n">
        <x:f>IFERROR(F85/E85,0)</x:f>
        <x:v>0.03988391376451078</x:v>
      </x:c>
      <x:c r="P85" s="166" t="n">
        <x:f>IFERROR(L85/F85,0)</x:f>
        <x:v>6.664241164241164</x:v>
      </x:c>
      <x:c r="Q85" s="165" t="n">
        <x:f>IFERROR(G85/F85,0)</x:f>
        <x:v>0.06548856548856549</x:v>
      </x:c>
      <x:c r="R85" s="164" t="n">
        <x:f>IFERROR(L85/G85,0)</x:f>
        <x:v>101.76190476190476</x:v>
      </x:c>
      <x:c r="S85" s="167" t="n">
        <x:f>IFERROR(N85/L85,0)</x:f>
        <x:v>48.74122601778194</x:v>
      </x:c>
      <x:c r="T85" s="165" t="n">
        <x:f>IFERROR(K85/J85,0)</x:f>
        <x:v>0.23076923076923078</x:v>
      </x:c>
    </x:row>
    <x:row r="86">
      <x:c r="A86" s="161" t="n">
        <x:v>46054</x:v>
      </x:c>
      <x:c r="B86" s="162" t="str">
        <x:v>Google Search</x:v>
      </x:c>
      <x:c r="C86" s="162" t="str">
        <x:v>Midwest</x:v>
      </x:c>
      <x:c r="D86" s="162" t="str">
        <x:v>Pouch Fillers</x:v>
      </x:c>
      <x:c r="E86" s="163" t="n">
        <x:v>21960</x:v>
      </x:c>
      <x:c r="F86" s="163" t="n">
        <x:v>824</x:v>
      </x:c>
      <x:c r="G86" s="163" t="n">
        <x:v>53</x:v>
      </x:c>
      <x:c r="H86" s="163" t="n">
        <x:v>31</x:v>
      </x:c>
      <x:c r="I86" s="163" t="n">
        <x:v>18</x:v>
      </x:c>
      <x:c r="J86" s="163" t="n">
        <x:v>9</x:v>
      </x:c>
      <x:c r="K86" s="163" t="n">
        <x:v>2</x:v>
      </x:c>
      <x:c r="L86" s="164" t="n">
        <x:v>5575</x:v>
      </x:c>
      <x:c r="M86" s="164" t="n">
        <x:v>563832</x:v>
      </x:c>
      <x:c r="N86" s="164" t="n">
        <x:v>156620</x:v>
      </x:c>
      <x:c r="O86" s="165" t="n">
        <x:f>IFERROR(F86/E86,0)</x:f>
        <x:v>0.03752276867030965</x:v>
      </x:c>
      <x:c r="P86" s="166" t="n">
        <x:f>IFERROR(L86/F86,0)</x:f>
        <x:v>6.765776699029126</x:v>
      </x:c>
      <x:c r="Q86" s="165" t="n">
        <x:f>IFERROR(G86/F86,0)</x:f>
        <x:v>0.06432038834951456</x:v>
      </x:c>
      <x:c r="R86" s="164" t="n">
        <x:f>IFERROR(L86/G86,0)</x:f>
        <x:v>105.18867924528301</x:v>
      </x:c>
      <x:c r="S86" s="167" t="n">
        <x:f>IFERROR(N86/L86,0)</x:f>
        <x:v>28.093273542600897</x:v>
      </x:c>
      <x:c r="T86" s="165" t="n">
        <x:f>IFERROR(K86/J86,0)</x:f>
        <x:v>0.2222222222222222</x:v>
      </x:c>
    </x:row>
    <x:row r="87">
      <x:c r="A87" s="161" t="n">
        <x:v>46054</x:v>
      </x:c>
      <x:c r="B87" s="162" t="str">
        <x:v>Google Search</x:v>
      </x:c>
      <x:c r="C87" s="162" t="str">
        <x:v>Midwest</x:v>
      </x:c>
      <x:c r="D87" s="162" t="str">
        <x:v>Cartoning Machines</x:v>
      </x:c>
      <x:c r="E87" s="163" t="n">
        <x:v>24000</x:v>
      </x:c>
      <x:c r="F87" s="163" t="n">
        <x:v>938</x:v>
      </x:c>
      <x:c r="G87" s="163" t="n">
        <x:v>62</x:v>
      </x:c>
      <x:c r="H87" s="163" t="n">
        <x:v>38</x:v>
      </x:c>
      <x:c r="I87" s="163" t="n">
        <x:v>22</x:v>
      </x:c>
      <x:c r="J87" s="163" t="n">
        <x:v>11</x:v>
      </x:c>
      <x:c r="K87" s="163" t="n">
        <x:v>3</x:v>
      </x:c>
      <x:c r="L87" s="164" t="n">
        <x:v>6347</x:v>
      </x:c>
      <x:c r="M87" s="164" t="n">
        <x:v>1159752</x:v>
      </x:c>
      <x:c r="N87" s="164" t="n">
        <x:v>395370</x:v>
      </x:c>
      <x:c r="O87" s="165" t="n">
        <x:f>IFERROR(F87/E87,0)</x:f>
        <x:v>0.03908333333333333</x:v>
      </x:c>
      <x:c r="P87" s="166" t="n">
        <x:f>IFERROR(L87/F87,0)</x:f>
        <x:v>6.766524520255864</x:v>
      </x:c>
      <x:c r="Q87" s="165" t="n">
        <x:f>IFERROR(G87/F87,0)</x:f>
        <x:v>0.06609808102345416</x:v>
      </x:c>
      <x:c r="R87" s="164" t="n">
        <x:f>IFERROR(L87/G87,0)</x:f>
        <x:v>102.37096774193549</x:v>
      </x:c>
      <x:c r="S87" s="167" t="n">
        <x:f>IFERROR(N87/L87,0)</x:f>
        <x:v>62.29242161651174</x:v>
      </x:c>
      <x:c r="T87" s="165" t="n">
        <x:f>IFERROR(K87/J87,0)</x:f>
        <x:v>0.2727272727272727</x:v>
      </x:c>
    </x:row>
    <x:row r="88">
      <x:c r="A88" s="161" t="n">
        <x:v>46054</x:v>
      </x:c>
      <x:c r="B88" s="162" t="str">
        <x:v>Google Search</x:v>
      </x:c>
      <x:c r="C88" s="162" t="str">
        <x:v>Midwest</x:v>
      </x:c>
      <x:c r="D88" s="162" t="str">
        <x:v>Labeling Systems</x:v>
      </x:c>
      <x:c r="E88" s="163" t="n">
        <x:v>23400</x:v>
      </x:c>
      <x:c r="F88" s="163" t="n">
        <x:v>952</x:v>
      </x:c>
      <x:c r="G88" s="163" t="n">
        <x:v>61</x:v>
      </x:c>
      <x:c r="H88" s="163" t="n">
        <x:v>39</x:v>
      </x:c>
      <x:c r="I88" s="163" t="n">
        <x:v>22</x:v>
      </x:c>
      <x:c r="J88" s="163" t="n">
        <x:v>12</x:v>
      </x:c>
      <x:c r="K88" s="163" t="n">
        <x:v>3</x:v>
      </x:c>
      <x:c r="L88" s="164" t="n">
        <x:v>6441</x:v>
      </x:c>
      <x:c r="M88" s="164" t="n">
        <x:v>440064</x:v>
      </x:c>
      <x:c r="N88" s="164" t="n">
        <x:v>137520</x:v>
      </x:c>
      <x:c r="O88" s="165" t="n">
        <x:f>IFERROR(F88/E88,0)</x:f>
        <x:v>0.040683760683760686</x:v>
      </x:c>
      <x:c r="P88" s="166" t="n">
        <x:f>IFERROR(L88/F88,0)</x:f>
        <x:v>6.765756302521009</x:v>
      </x:c>
      <x:c r="Q88" s="165" t="n">
        <x:f>IFERROR(G88/F88,0)</x:f>
        <x:v>0.06407563025210083</x:v>
      </x:c>
      <x:c r="R88" s="164" t="n">
        <x:f>IFERROR(L88/G88,0)</x:f>
        <x:v>105.59016393442623</x:v>
      </x:c>
      <x:c r="S88" s="167" t="n">
        <x:f>IFERROR(N88/L88,0)</x:f>
        <x:v>21.35072193758733</x:v>
      </x:c>
      <x:c r="T88" s="165" t="n">
        <x:f>IFERROR(K88/J88,0)</x:f>
        <x:v>0.25</x:v>
      </x:c>
    </x:row>
    <x:row r="89">
      <x:c r="A89" s="161" t="n">
        <x:v>46054</x:v>
      </x:c>
      <x:c r="B89" s="162" t="str">
        <x:v>Google Search</x:v>
      </x:c>
      <x:c r="C89" s="162" t="str">
        <x:v>Midwest</x:v>
      </x:c>
      <x:c r="D89" s="162" t="str">
        <x:v>Case Packers</x:v>
      </x:c>
      <x:c r="E89" s="163" t="n">
        <x:v>22800</x:v>
      </x:c>
      <x:c r="F89" s="163" t="n">
        <x:v>873</x:v>
      </x:c>
      <x:c r="G89" s="163" t="n">
        <x:v>58</x:v>
      </x:c>
      <x:c r="H89" s="163" t="n">
        <x:v>39</x:v>
      </x:c>
      <x:c r="I89" s="163" t="n">
        <x:v>22</x:v>
      </x:c>
      <x:c r="J89" s="163" t="n">
        <x:v>12</x:v>
      </x:c>
      <x:c r="K89" s="163" t="n">
        <x:v>3</x:v>
      </x:c>
      <x:c r="L89" s="164" t="n">
        <x:v>5907</x:v>
      </x:c>
      <x:c r="M89" s="164" t="n">
        <x:v>1026816</x:v>
      </x:c>
      <x:c r="N89" s="164" t="n">
        <x:v>320880</x:v>
      </x:c>
      <x:c r="O89" s="165" t="n">
        <x:f>IFERROR(F89/E89,0)</x:f>
        <x:v>0.038289473684210526</x:v>
      </x:c>
      <x:c r="P89" s="166" t="n">
        <x:f>IFERROR(L89/F89,0)</x:f>
        <x:v>6.766323024054983</x:v>
      </x:c>
      <x:c r="Q89" s="165" t="n">
        <x:f>IFERROR(G89/F89,0)</x:f>
        <x:v>0.06643757159221077</x:v>
      </x:c>
      <x:c r="R89" s="164" t="n">
        <x:f>IFERROR(L89/G89,0)</x:f>
        <x:v>101.84482758620689</x:v>
      </x:c>
      <x:c r="S89" s="167" t="n">
        <x:f>IFERROR(N89/L89,0)</x:f>
        <x:v>54.32199085830371</x:v>
      </x:c>
      <x:c r="T89" s="165" t="n">
        <x:f>IFERROR(K89/J89,0)</x:f>
        <x:v>0.25</x:v>
      </x:c>
    </x:row>
    <x:row r="90">
      <x:c r="A90" s="161" t="n">
        <x:v>46054</x:v>
      </x:c>
      <x:c r="B90" s="162" t="str">
        <x:v>Google Search</x:v>
      </x:c>
      <x:c r="C90" s="162" t="str">
        <x:v>South</x:v>
      </x:c>
      <x:c r="D90" s="162" t="str">
        <x:v>Pouch Fillers</x:v>
      </x:c>
      <x:c r="E90" s="163" t="n">
        <x:v>23280</x:v>
      </x:c>
      <x:c r="F90" s="163" t="n">
        <x:v>929</x:v>
      </x:c>
      <x:c r="G90" s="163" t="n">
        <x:v>59</x:v>
      </x:c>
      <x:c r="H90" s="163" t="n">
        <x:v>35</x:v>
      </x:c>
      <x:c r="I90" s="163" t="n">
        <x:v>21</x:v>
      </x:c>
      <x:c r="J90" s="163" t="n">
        <x:v>10</x:v>
      </x:c>
      <x:c r="K90" s="163" t="n">
        <x:v>3</x:v>
      </x:c>
      <x:c r="L90" s="164" t="n">
        <x:v>6380</x:v>
      </x:c>
      <x:c r="M90" s="164" t="n">
        <x:v>642880</x:v>
      </x:c>
      <x:c r="N90" s="164" t="n">
        <x:v>241080</x:v>
      </x:c>
      <x:c r="O90" s="165" t="n">
        <x:f>IFERROR(F90/E90,0)</x:f>
        <x:v>0.03990549828178694</x:v>
      </x:c>
      <x:c r="P90" s="166" t="n">
        <x:f>IFERROR(L90/F90,0)</x:f>
        <x:v>6.867599569429494</x:v>
      </x:c>
      <x:c r="Q90" s="165" t="n">
        <x:f>IFERROR(G90/F90,0)</x:f>
        <x:v>0.06350914962325081</x:v>
      </x:c>
      <x:c r="R90" s="164" t="n">
        <x:f>IFERROR(L90/G90,0)</x:f>
        <x:v>108.13559322033899</x:v>
      </x:c>
      <x:c r="S90" s="167" t="n">
        <x:f>IFERROR(N90/L90,0)</x:f>
        <x:v>37.78683385579937</x:v>
      </x:c>
      <x:c r="T90" s="165" t="n">
        <x:f>IFERROR(K90/J90,0)</x:f>
        <x:v>0.3</x:v>
      </x:c>
    </x:row>
    <x:row r="91">
      <x:c r="A91" s="161" t="n">
        <x:v>46054</x:v>
      </x:c>
      <x:c r="B91" s="162" t="str">
        <x:v>Google Search</x:v>
      </x:c>
      <x:c r="C91" s="162" t="str">
        <x:v>South</x:v>
      </x:c>
      <x:c r="D91" s="162" t="str">
        <x:v>Cartoning Machines</x:v>
      </x:c>
      <x:c r="E91" s="163" t="n">
        <x:v>22680</x:v>
      </x:c>
      <x:c r="F91" s="163" t="n">
        <x:v>851</x:v>
      </x:c>
      <x:c r="G91" s="163" t="n">
        <x:v>56</x:v>
      </x:c>
      <x:c r="H91" s="163" t="n">
        <x:v>34</x:v>
      </x:c>
      <x:c r="I91" s="163" t="n">
        <x:v>20</x:v>
      </x:c>
      <x:c r="J91" s="163" t="n">
        <x:v>10</x:v>
      </x:c>
      <x:c r="K91" s="163" t="n">
        <x:v>3</x:v>
      </x:c>
      <x:c r="L91" s="164" t="n">
        <x:v>5845</x:v>
      </x:c>
      <x:c r="M91" s="164" t="n">
        <x:v>1081920</x:v>
      </x:c>
      <x:c r="N91" s="164" t="n">
        <x:v>405720</x:v>
      </x:c>
      <x:c r="O91" s="165" t="n">
        <x:f>IFERROR(F91/E91,0)</x:f>
        <x:v>0.03752204585537919</x:v>
      </x:c>
      <x:c r="P91" s="166" t="n">
        <x:f>IFERROR(L91/F91,0)</x:f>
        <x:v>6.868390129259694</x:v>
      </x:c>
      <x:c r="Q91" s="165" t="n">
        <x:f>IFERROR(G91/F91,0)</x:f>
        <x:v>0.06580493537015276</x:v>
      </x:c>
      <x:c r="R91" s="164" t="n">
        <x:f>IFERROR(L91/G91,0)</x:f>
        <x:v>104.375</x:v>
      </x:c>
      <x:c r="S91" s="167" t="n">
        <x:f>IFERROR(N91/L91,0)</x:f>
        <x:v>69.41317365269461</x:v>
      </x:c>
      <x:c r="T91" s="165" t="n">
        <x:f>IFERROR(K91/J91,0)</x:f>
        <x:v>0.3</x:v>
      </x:c>
    </x:row>
    <x:row r="92">
      <x:c r="A92" s="161" t="n">
        <x:v>46054</x:v>
      </x:c>
      <x:c r="B92" s="162" t="str">
        <x:v>Google Search</x:v>
      </x:c>
      <x:c r="C92" s="162" t="str">
        <x:v>South</x:v>
      </x:c>
      <x:c r="D92" s="162" t="str">
        <x:v>Labeling Systems</x:v>
      </x:c>
      <x:c r="E92" s="163" t="n">
        <x:v>24720</x:v>
      </x:c>
      <x:c r="F92" s="163" t="n">
        <x:v>967</x:v>
      </x:c>
      <x:c r="G92" s="163" t="n">
        <x:v>62</x:v>
      </x:c>
      <x:c r="H92" s="163" t="n">
        <x:v>40</x:v>
      </x:c>
      <x:c r="I92" s="163" t="n">
        <x:v>24</x:v>
      </x:c>
      <x:c r="J92" s="163" t="n">
        <x:v>13</x:v>
      </x:c>
      <x:c r="K92" s="163" t="n">
        <x:v>3</x:v>
      </x:c>
      <x:c r="L92" s="164" t="n">
        <x:v>6641</x:v>
      </x:c>
      <x:c r="M92" s="164" t="n">
        <x:v>489216</x:v>
      </x:c>
      <x:c r="N92" s="164" t="n">
        <x:v>141120</x:v>
      </x:c>
      <x:c r="O92" s="165" t="n">
        <x:f>IFERROR(F92/E92,0)</x:f>
        <x:v>0.03911812297734628</x:v>
      </x:c>
      <x:c r="P92" s="166" t="n">
        <x:f>IFERROR(L92/F92,0)</x:f>
        <x:v>6.867631851085832</x:v>
      </x:c>
      <x:c r="Q92" s="165" t="n">
        <x:f>IFERROR(G92/F92,0)</x:f>
        <x:v>0.0641158221302999</x:v>
      </x:c>
      <x:c r="R92" s="164" t="n">
        <x:f>IFERROR(L92/G92,0)</x:f>
        <x:v>107.11290322580645</x:v>
      </x:c>
      <x:c r="S92" s="167" t="n">
        <x:f>IFERROR(N92/L92,0)</x:f>
        <x:v>21.24981177533504</x:v>
      </x:c>
      <x:c r="T92" s="165" t="n">
        <x:f>IFERROR(K92/J92,0)</x:f>
        <x:v>0.23076923076923078</x:v>
      </x:c>
    </x:row>
    <x:row r="93">
      <x:c r="A93" s="161" t="n">
        <x:v>46054</x:v>
      </x:c>
      <x:c r="B93" s="162" t="str">
        <x:v>Google Search</x:v>
      </x:c>
      <x:c r="C93" s="162" t="str">
        <x:v>South</x:v>
      </x:c>
      <x:c r="D93" s="162" t="str">
        <x:v>Case Packers</x:v>
      </x:c>
      <x:c r="E93" s="163" t="n">
        <x:v>24120</x:v>
      </x:c>
      <x:c r="F93" s="163" t="n">
        <x:v>982</x:v>
      </x:c>
      <x:c r="G93" s="163" t="n">
        <x:v>65</x:v>
      </x:c>
      <x:c r="H93" s="163" t="n">
        <x:v>43</x:v>
      </x:c>
      <x:c r="I93" s="163" t="n">
        <x:v>25</x:v>
      </x:c>
      <x:c r="J93" s="163" t="n">
        <x:v>14</x:v>
      </x:c>
      <x:c r="K93" s="163" t="n">
        <x:v>4</x:v>
      </x:c>
      <x:c r="L93" s="164" t="n">
        <x:v>6744</x:v>
      </x:c>
      <x:c r="M93" s="164" t="n">
        <x:v>1229312</x:v>
      </x:c>
      <x:c r="N93" s="164" t="n">
        <x:v>439040</x:v>
      </x:c>
      <x:c r="O93" s="165" t="n">
        <x:f>IFERROR(F93/E93,0)</x:f>
        <x:v>0.04071310116086235</x:v>
      </x:c>
      <x:c r="P93" s="166" t="n">
        <x:f>IFERROR(L93/F93,0)</x:f>
        <x:v>6.867617107942974</x:v>
      </x:c>
      <x:c r="Q93" s="165" t="n">
        <x:f>IFERROR(G93/F93,0)</x:f>
        <x:v>0.06619144602851323</x:v>
      </x:c>
      <x:c r="R93" s="164" t="n">
        <x:f>IFERROR(L93/G93,0)</x:f>
        <x:v>103.75384615384615</x:v>
      </x:c>
      <x:c r="S93" s="167" t="n">
        <x:f>IFERROR(N93/L93,0)</x:f>
        <x:v>65.10083036773428</x:v>
      </x:c>
      <x:c r="T93" s="165" t="n">
        <x:f>IFERROR(K93/J93,0)</x:f>
        <x:v>0.2857142857142857</x:v>
      </x:c>
    </x:row>
    <x:row r="94">
      <x:c r="A94" s="161" t="n">
        <x:v>46054</x:v>
      </x:c>
      <x:c r="B94" s="162" t="str">
        <x:v>Google Search</x:v>
      </x:c>
      <x:c r="C94" s="162" t="str">
        <x:v>West</x:v>
      </x:c>
      <x:c r="D94" s="162" t="str">
        <x:v>Pouch Fillers</x:v>
      </x:c>
      <x:c r="E94" s="163" t="n">
        <x:v>24600</x:v>
      </x:c>
      <x:c r="F94" s="163" t="n">
        <x:v>942</x:v>
      </x:c>
      <x:c r="G94" s="163" t="n">
        <x:v>60</x:v>
      </x:c>
      <x:c r="H94" s="163" t="n">
        <x:v>35</x:v>
      </x:c>
      <x:c r="I94" s="163" t="n">
        <x:v>21</x:v>
      </x:c>
      <x:c r="J94" s="163" t="n">
        <x:v>10</x:v>
      </x:c>
      <x:c r="K94" s="163" t="n">
        <x:v>3</x:v>
      </x:c>
      <x:c r="L94" s="164" t="n">
        <x:v>6566</x:v>
      </x:c>
      <x:c r="M94" s="164" t="n">
        <x:v>659280</x:v>
      </x:c>
      <x:c r="N94" s="164" t="n">
        <x:v>247230</x:v>
      </x:c>
      <x:c r="O94" s="165" t="n">
        <x:f>IFERROR(F94/E94,0)</x:f>
        <x:v>0.03829268292682927</x:v>
      </x:c>
      <x:c r="P94" s="166" t="n">
        <x:f>IFERROR(L94/F94,0)</x:f>
        <x:v>6.970276008492569</x:v>
      </x:c>
      <x:c r="Q94" s="165" t="n">
        <x:f>IFERROR(G94/F94,0)</x:f>
        <x:v>0.06369426751592357</x:v>
      </x:c>
      <x:c r="R94" s="164" t="n">
        <x:f>IFERROR(L94/G94,0)</x:f>
        <x:v>109.43333333333334</x:v>
      </x:c>
      <x:c r="S94" s="167" t="n">
        <x:f>IFERROR(N94/L94,0)</x:f>
        <x:v>37.6530612244898</x:v>
      </x:c>
      <x:c r="T94" s="165" t="n">
        <x:f>IFERROR(K94/J94,0)</x:f>
        <x:v>0.3</x:v>
      </x:c>
    </x:row>
    <x:row r="95">
      <x:c r="A95" s="161" t="n">
        <x:v>46054</x:v>
      </x:c>
      <x:c r="B95" s="162" t="str">
        <x:v>Google Search</x:v>
      </x:c>
      <x:c r="C95" s="162" t="str">
        <x:v>West</x:v>
      </x:c>
      <x:c r="D95" s="162" t="str">
        <x:v>Cartoning Machines</x:v>
      </x:c>
      <x:c r="E95" s="163" t="n">
        <x:v>24000</x:v>
      </x:c>
      <x:c r="F95" s="163" t="n">
        <x:v>958</x:v>
      </x:c>
      <x:c r="G95" s="163" t="n">
        <x:v>63</x:v>
      </x:c>
      <x:c r="H95" s="163" t="n">
        <x:v>39</x:v>
      </x:c>
      <x:c r="I95" s="163" t="n">
        <x:v>24</x:v>
      </x:c>
      <x:c r="J95" s="163" t="n">
        <x:v>12</x:v>
      </x:c>
      <x:c r="K95" s="163" t="n">
        <x:v>3</x:v>
      </x:c>
      <x:c r="L95" s="164" t="n">
        <x:v>6677</x:v>
      </x:c>
      <x:c r="M95" s="164" t="n">
        <x:v>1331424</x:v>
      </x:c>
      <x:c r="N95" s="164" t="n">
        <x:v>416070</x:v>
      </x:c>
      <x:c r="O95" s="165" t="n">
        <x:f>IFERROR(F95/E95,0)</x:f>
        <x:v>0.03991666666666667</x:v>
      </x:c>
      <x:c r="P95" s="166" t="n">
        <x:f>IFERROR(L95/F95,0)</x:f>
        <x:v>6.969728601252609</x:v>
      </x:c>
      <x:c r="Q95" s="165" t="n">
        <x:f>IFERROR(G95/F95,0)</x:f>
        <x:v>0.06576200417536535</x:v>
      </x:c>
      <x:c r="R95" s="164" t="n">
        <x:f>IFERROR(L95/G95,0)</x:f>
        <x:v>105.98412698412699</x:v>
      </x:c>
      <x:c r="S95" s="167" t="n">
        <x:f>IFERROR(N95/L95,0)</x:f>
        <x:v>62.313913434177024</x:v>
      </x:c>
      <x:c r="T95" s="165" t="n">
        <x:f>IFERROR(K95/J95,0)</x:f>
        <x:v>0.25</x:v>
      </x:c>
    </x:row>
    <x:row r="96">
      <x:c r="A96" s="161" t="n">
        <x:v>46054</x:v>
      </x:c>
      <x:c r="B96" s="162" t="str">
        <x:v>Google Search</x:v>
      </x:c>
      <x:c r="C96" s="162" t="str">
        <x:v>West</x:v>
      </x:c>
      <x:c r="D96" s="162" t="str">
        <x:v>Labeling Systems</x:v>
      </x:c>
      <x:c r="E96" s="163" t="n">
        <x:v>26040</x:v>
      </x:c>
      <x:c r="F96" s="163" t="n">
        <x:v>977</x:v>
      </x:c>
      <x:c r="G96" s="163" t="n">
        <x:v>63</x:v>
      </x:c>
      <x:c r="H96" s="163" t="n">
        <x:v>40</x:v>
      </x:c>
      <x:c r="I96" s="163" t="n">
        <x:v>24</x:v>
      </x:c>
      <x:c r="J96" s="163" t="n">
        <x:v>13</x:v>
      </x:c>
      <x:c r="K96" s="163" t="n">
        <x:v>4</x:v>
      </x:c>
      <x:c r="L96" s="164" t="n">
        <x:v>6810</x:v>
      </x:c>
      <x:c r="M96" s="164" t="n">
        <x:v>501696</x:v>
      </x:c>
      <x:c r="N96" s="164" t="n">
        <x:v>192960</x:v>
      </x:c>
      <x:c r="O96" s="165" t="n">
        <x:f>IFERROR(F96/E96,0)</x:f>
        <x:v>0.03751920122887865</x:v>
      </x:c>
      <x:c r="P96" s="166" t="n">
        <x:f>IFERROR(L96/F96,0)</x:f>
        <x:v>6.9703172978505625</x:v>
      </x:c>
      <x:c r="Q96" s="165" t="n">
        <x:f>IFERROR(G96/F96,0)</x:f>
        <x:v>0.06448311156601842</x:v>
      </x:c>
      <x:c r="R96" s="164" t="n">
        <x:f>IFERROR(L96/G96,0)</x:f>
        <x:v>108.0952380952381</x:v>
      </x:c>
      <x:c r="S96" s="167" t="n">
        <x:f>IFERROR(N96/L96,0)</x:f>
        <x:v>28.334801762114537</x:v>
      </x:c>
      <x:c r="T96" s="165" t="n">
        <x:f>IFERROR(K96/J96,0)</x:f>
        <x:v>0.3076923076923077</x:v>
      </x:c>
    </x:row>
    <x:row r="97">
      <x:c r="A97" s="161" t="n">
        <x:v>46054</x:v>
      </x:c>
      <x:c r="B97" s="162" t="str">
        <x:v>Google Search</x:v>
      </x:c>
      <x:c r="C97" s="162" t="str">
        <x:v>West</x:v>
      </x:c>
      <x:c r="D97" s="162" t="str">
        <x:v>Case Packers</x:v>
      </x:c>
      <x:c r="E97" s="163" t="n">
        <x:v>25440</x:v>
      </x:c>
      <x:c r="F97" s="163" t="n">
        <x:v>995</x:v>
      </x:c>
      <x:c r="G97" s="163" t="n">
        <x:v>66</x:v>
      </x:c>
      <x:c r="H97" s="163" t="n">
        <x:v>44</x:v>
      </x:c>
      <x:c r="I97" s="163" t="n">
        <x:v>27</x:v>
      </x:c>
      <x:c r="J97" s="163" t="n">
        <x:v>15</x:v>
      </x:c>
      <x:c r="K97" s="163" t="n">
        <x:v>4</x:v>
      </x:c>
      <x:c r="L97" s="164" t="n">
        <x:v>6935</x:v>
      </x:c>
      <x:c r="M97" s="164" t="n">
        <x:v>1350720</x:v>
      </x:c>
      <x:c r="N97" s="164" t="n">
        <x:v>450240</x:v>
      </x:c>
      <x:c r="O97" s="165" t="n">
        <x:f>IFERROR(F97/E97,0)</x:f>
        <x:v>0.039111635220125784</x:v>
      </x:c>
      <x:c r="P97" s="166" t="n">
        <x:f>IFERROR(L97/F97,0)</x:f>
        <x:v>6.969849246231155</x:v>
      </x:c>
      <x:c r="Q97" s="165" t="n">
        <x:f>IFERROR(G97/F97,0)</x:f>
        <x:v>0.06633165829145729</x:v>
      </x:c>
      <x:c r="R97" s="164" t="n">
        <x:f>IFERROR(L97/G97,0)</x:f>
        <x:v>105.07575757575758</x:v>
      </x:c>
      <x:c r="S97" s="167" t="n">
        <x:f>IFERROR(N97/L97,0)</x:f>
        <x:v>64.92285508291276</x:v>
      </x:c>
      <x:c r="T97" s="165" t="n">
        <x:f>IFERROR(K97/J97,0)</x:f>
        <x:v>0.26666666666666666</x:v>
      </x:c>
    </x:row>
    <x:row r="98">
      <x:c r="A98" s="161" t="n">
        <x:v>46054</x:v>
      </x:c>
      <x:c r="B98" s="162" t="str">
        <x:v>LinkedIn</x:v>
      </x:c>
      <x:c r="C98" s="162" t="str">
        <x:v>Northeast</x:v>
      </x:c>
      <x:c r="D98" s="162" t="str">
        <x:v>Pouch Fillers</x:v>
      </x:c>
      <x:c r="E98" s="163" t="n">
        <x:v>14100</x:v>
      </x:c>
      <x:c r="F98" s="163" t="n">
        <x:v>320</x:v>
      </x:c>
      <x:c r="G98" s="163" t="n">
        <x:v>26</x:v>
      </x:c>
      <x:c r="H98" s="163" t="n">
        <x:v>15</x:v>
      </x:c>
      <x:c r="I98" s="163" t="n">
        <x:v>8</x:v>
      </x:c>
      <x:c r="J98" s="163" t="n">
        <x:v>4</x:v>
      </x:c>
      <x:c r="K98" s="163" t="n">
        <x:v>1</x:v>
      </x:c>
      <x:c r="L98" s="164" t="n">
        <x:v>3011</x:v>
      </x:c>
      <x:c r="M98" s="164" t="n">
        <x:v>244032</x:v>
      </x:c>
      <x:c r="N98" s="164" t="n">
        <x:v>76260</x:v>
      </x:c>
      <x:c r="O98" s="165" t="n">
        <x:f>IFERROR(F98/E98,0)</x:f>
        <x:v>0.02269503546099291</x:v>
      </x:c>
      <x:c r="P98" s="166" t="n">
        <x:f>IFERROR(L98/F98,0)</x:f>
        <x:v>9.409375</x:v>
      </x:c>
      <x:c r="Q98" s="165" t="n">
        <x:f>IFERROR(G98/F98,0)</x:f>
        <x:v>0.08125</x:v>
      </x:c>
      <x:c r="R98" s="164" t="n">
        <x:f>IFERROR(L98/G98,0)</x:f>
        <x:v>115.8076923076923</x:v>
      </x:c>
      <x:c r="S98" s="167" t="n">
        <x:f>IFERROR(N98/L98,0)</x:f>
        <x:v>25.32713384257722</x:v>
      </x:c>
      <x:c r="T98" s="165" t="n">
        <x:f>IFERROR(K98/J98,0)</x:f>
        <x:v>0.25</x:v>
      </x:c>
    </x:row>
    <x:row r="99">
      <x:c r="A99" s="161" t="n">
        <x:v>46054</x:v>
      </x:c>
      <x:c r="B99" s="162" t="str">
        <x:v>LinkedIn</x:v>
      </x:c>
      <x:c r="C99" s="162" t="str">
        <x:v>Northeast</x:v>
      </x:c>
      <x:c r="D99" s="162" t="str">
        <x:v>Cartoning Machines</x:v>
      </x:c>
      <x:c r="E99" s="163" t="n">
        <x:v>13725</x:v>
      </x:c>
      <x:c r="F99" s="163" t="n">
        <x:v>279</x:v>
      </x:c>
      <x:c r="G99" s="163" t="n">
        <x:v>23</x:v>
      </x:c>
      <x:c r="H99" s="163" t="n">
        <x:v>14</x:v>
      </x:c>
      <x:c r="I99" s="163" t="n">
        <x:v>8</x:v>
      </x:c>
      <x:c r="J99" s="163" t="n">
        <x:v>4</x:v>
      </x:c>
      <x:c r="K99" s="163" t="n">
        <x:v>1</x:v>
      </x:c>
      <x:c r="L99" s="164" t="n">
        <x:v>2625</x:v>
      </x:c>
      <x:c r="M99" s="164" t="n">
        <x:v>410688</x:v>
      </x:c>
      <x:c r="N99" s="164" t="n">
        <x:v>128340</x:v>
      </x:c>
      <x:c r="O99" s="165" t="n">
        <x:f>IFERROR(F99/E99,0)</x:f>
        <x:v>0.020327868852459016</x:v>
      </x:c>
      <x:c r="P99" s="166" t="n">
        <x:f>IFERROR(L99/F99,0)</x:f>
        <x:v>9.408602150537634</x:v>
      </x:c>
      <x:c r="Q99" s="165" t="n">
        <x:f>IFERROR(G99/F99,0)</x:f>
        <x:v>0.08243727598566308</x:v>
      </x:c>
      <x:c r="R99" s="164" t="n">
        <x:f>IFERROR(L99/G99,0)</x:f>
        <x:v>114.1304347826087</x:v>
      </x:c>
      <x:c r="S99" s="167" t="n">
        <x:f>IFERROR(N99/L99,0)</x:f>
        <x:v>48.89142857142857</x:v>
      </x:c>
      <x:c r="T99" s="165" t="n">
        <x:f>IFERROR(K99/J99,0)</x:f>
        <x:v>0.25</x:v>
      </x:c>
    </x:row>
    <x:row r="100">
      <x:c r="A100" s="161" t="n">
        <x:v>46054</x:v>
      </x:c>
      <x:c r="B100" s="162" t="str">
        <x:v>LinkedIn</x:v>
      </x:c>
      <x:c r="C100" s="162" t="str">
        <x:v>Northeast</x:v>
      </x:c>
      <x:c r="D100" s="162" t="str">
        <x:v>Labeling Systems</x:v>
      </x:c>
      <x:c r="E100" s="163" t="n">
        <x:v>13350</x:v>
      </x:c>
      <x:c r="F100" s="163" t="n">
        <x:v>292</x:v>
      </x:c>
      <x:c r="G100" s="163" t="n">
        <x:v>24</x:v>
      </x:c>
      <x:c r="H100" s="163" t="n">
        <x:v>15</x:v>
      </x:c>
      <x:c r="I100" s="163" t="n">
        <x:v>8</x:v>
      </x:c>
      <x:c r="J100" s="163" t="n">
        <x:v>4</x:v>
      </x:c>
      <x:c r="K100" s="163" t="n">
        <x:v>1</x:v>
      </x:c>
      <x:c r="L100" s="164" t="n">
        <x:v>2747</x:v>
      </x:c>
      <x:c r="M100" s="164" t="n">
        <x:v>142848</x:v>
      </x:c>
      <x:c r="N100" s="164" t="n">
        <x:v>44640</x:v>
      </x:c>
      <x:c r="O100" s="165" t="n">
        <x:f>IFERROR(F100/E100,0)</x:f>
        <x:v>0.021872659176029964</x:v>
      </x:c>
      <x:c r="P100" s="166" t="n">
        <x:f>IFERROR(L100/F100,0)</x:f>
        <x:v>9.407534246575343</x:v>
      </x:c>
      <x:c r="Q100" s="165" t="n">
        <x:f>IFERROR(G100/F100,0)</x:f>
        <x:v>0.0821917808219178</x:v>
      </x:c>
      <x:c r="R100" s="164" t="n">
        <x:f>IFERROR(L100/G100,0)</x:f>
        <x:v>114.45833333333333</x:v>
      </x:c>
      <x:c r="S100" s="167" t="n">
        <x:f>IFERROR(N100/L100,0)</x:f>
        <x:v>16.25045504186385</x:v>
      </x:c>
      <x:c r="T100" s="165" t="n">
        <x:f>IFERROR(K100/J100,0)</x:f>
        <x:v>0.25</x:v>
      </x:c>
    </x:row>
    <x:row r="101">
      <x:c r="A101" s="161" t="n">
        <x:v>46054</x:v>
      </x:c>
      <x:c r="B101" s="162" t="str">
        <x:v>LinkedIn</x:v>
      </x:c>
      <x:c r="C101" s="162" t="str">
        <x:v>Northeast</x:v>
      </x:c>
      <x:c r="D101" s="162" t="str">
        <x:v>Case Packers</x:v>
      </x:c>
      <x:c r="E101" s="163" t="n">
        <x:v>14625</x:v>
      </x:c>
      <x:c r="F101" s="163" t="n">
        <x:v>285</x:v>
      </x:c>
      <x:c r="G101" s="163" t="n">
        <x:v>24</x:v>
      </x:c>
      <x:c r="H101" s="163" t="n">
        <x:v>16</x:v>
      </x:c>
      <x:c r="I101" s="163" t="n">
        <x:v>9</x:v>
      </x:c>
      <x:c r="J101" s="163" t="n">
        <x:v>5</x:v>
      </x:c>
      <x:c r="K101" s="163" t="n">
        <x:v>1</x:v>
      </x:c>
      <x:c r="L101" s="164" t="n">
        <x:v>2681</x:v>
      </x:c>
      <x:c r="M101" s="164" t="n">
        <x:v>416640</x:v>
      </x:c>
      <x:c r="N101" s="164" t="n">
        <x:v>104160</x:v>
      </x:c>
      <x:c r="O101" s="165" t="n">
        <x:f>IFERROR(F101/E101,0)</x:f>
        <x:v>0.019487179487179488</x:v>
      </x:c>
      <x:c r="P101" s="166" t="n">
        <x:f>IFERROR(L101/F101,0)</x:f>
        <x:v>9.407017543859649</x:v>
      </x:c>
      <x:c r="Q101" s="165" t="n">
        <x:f>IFERROR(G101/F101,0)</x:f>
        <x:v>0.08421052631578947</x:v>
      </x:c>
      <x:c r="R101" s="164" t="n">
        <x:f>IFERROR(L101/G101,0)</x:f>
        <x:v>111.70833333333333</x:v>
      </x:c>
      <x:c r="S101" s="167" t="n">
        <x:f>IFERROR(N101/L101,0)</x:f>
        <x:v>38.85117493472585</x:v>
      </x:c>
      <x:c r="T101" s="165" t="n">
        <x:f>IFERROR(K101/J101,0)</x:f>
        <x:v>0.2</x:v>
      </x:c>
    </x:row>
    <x:row r="102">
      <x:c r="A102" s="161" t="n">
        <x:v>46054</x:v>
      </x:c>
      <x:c r="B102" s="162" t="str">
        <x:v>LinkedIn</x:v>
      </x:c>
      <x:c r="C102" s="162" t="str">
        <x:v>Midwest</x:v>
      </x:c>
      <x:c r="D102" s="162" t="str">
        <x:v>Pouch Fillers</x:v>
      </x:c>
      <x:c r="E102" s="163" t="n">
        <x:v>13275</x:v>
      </x:c>
      <x:c r="F102" s="163" t="n">
        <x:v>280</x:v>
      </x:c>
      <x:c r="G102" s="163" t="n">
        <x:v>23</x:v>
      </x:c>
      <x:c r="H102" s="163" t="n">
        <x:v>14</x:v>
      </x:c>
      <x:c r="I102" s="163" t="n">
        <x:v>8</x:v>
      </x:c>
      <x:c r="J102" s="163" t="n">
        <x:v>4</x:v>
      </x:c>
      <x:c r="K102" s="163" t="n">
        <x:v>1</x:v>
      </x:c>
      <x:c r="L102" s="164" t="n">
        <x:v>2675</x:v>
      </x:c>
      <x:c r="M102" s="164" t="n">
        <x:v>250592</x:v>
      </x:c>
      <x:c r="N102" s="164" t="n">
        <x:v>78310</x:v>
      </x:c>
      <x:c r="O102" s="165" t="n">
        <x:f>IFERROR(F102/E102,0)</x:f>
        <x:v>0.021092278719397364</x:v>
      </x:c>
      <x:c r="P102" s="166" t="n">
        <x:f>IFERROR(L102/F102,0)</x:f>
        <x:v>9.553571428571429</x:v>
      </x:c>
      <x:c r="Q102" s="165" t="n">
        <x:f>IFERROR(G102/F102,0)</x:f>
        <x:v>0.08214285714285714</x:v>
      </x:c>
      <x:c r="R102" s="164" t="n">
        <x:f>IFERROR(L102/G102,0)</x:f>
        <x:v>116.30434782608695</x:v>
      </x:c>
      <x:c r="S102" s="167" t="n">
        <x:f>IFERROR(N102/L102,0)</x:f>
        <x:v>29.274766355140187</x:v>
      </x:c>
      <x:c r="T102" s="165" t="n">
        <x:f>IFERROR(K102/J102,0)</x:f>
        <x:v>0.25</x:v>
      </x:c>
    </x:row>
    <x:row r="103">
      <x:c r="A103" s="161" t="n">
        <x:v>46054</x:v>
      </x:c>
      <x:c r="B103" s="162" t="str">
        <x:v>LinkedIn</x:v>
      </x:c>
      <x:c r="C103" s="162" t="str">
        <x:v>Midwest</x:v>
      </x:c>
      <x:c r="D103" s="162" t="str">
        <x:v>Cartoning Machines</x:v>
      </x:c>
      <x:c r="E103" s="163" t="n">
        <x:v>14550</x:v>
      </x:c>
      <x:c r="F103" s="163" t="n">
        <x:v>330</x:v>
      </x:c>
      <x:c r="G103" s="163" t="n">
        <x:v>27</x:v>
      </x:c>
      <x:c r="H103" s="163" t="n">
        <x:v>17</x:v>
      </x:c>
      <x:c r="I103" s="163" t="n">
        <x:v>10</x:v>
      </x:c>
      <x:c r="J103" s="163" t="n">
        <x:v>5</x:v>
      </x:c>
      <x:c r="K103" s="163" t="n">
        <x:v>1</x:v>
      </x:c>
      <x:c r="L103" s="164" t="n">
        <x:v>3152</x:v>
      </x:c>
      <x:c r="M103" s="164" t="n">
        <x:v>527160</x:v>
      </x:c>
      <x:c r="N103" s="164" t="n">
        <x:v>131790</x:v>
      </x:c>
      <x:c r="O103" s="165" t="n">
        <x:f>IFERROR(F103/E103,0)</x:f>
        <x:v>0.02268041237113402</x:v>
      </x:c>
      <x:c r="P103" s="166" t="n">
        <x:f>IFERROR(L103/F103,0)</x:f>
        <x:v>9.55151515151515</x:v>
      </x:c>
      <x:c r="Q103" s="165" t="n">
        <x:f>IFERROR(G103/F103,0)</x:f>
        <x:v>0.08181818181818182</x:v>
      </x:c>
      <x:c r="R103" s="164" t="n">
        <x:f>IFERROR(L103/G103,0)</x:f>
        <x:v>116.74074074074075</x:v>
      </x:c>
      <x:c r="S103" s="167" t="n">
        <x:f>IFERROR(N103/L103,0)</x:f>
        <x:v>41.81154822335025</x:v>
      </x:c>
      <x:c r="T103" s="165" t="n">
        <x:f>IFERROR(K103/J103,0)</x:f>
        <x:v>0.2</x:v>
      </x:c>
    </x:row>
    <x:row r="104">
      <x:c r="A104" s="161" t="n">
        <x:v>46054</x:v>
      </x:c>
      <x:c r="B104" s="162" t="str">
        <x:v>LinkedIn</x:v>
      </x:c>
      <x:c r="C104" s="162" t="str">
        <x:v>Midwest</x:v>
      </x:c>
      <x:c r="D104" s="162" t="str">
        <x:v>Labeling Systems</x:v>
      </x:c>
      <x:c r="E104" s="163" t="n">
        <x:v>14175</x:v>
      </x:c>
      <x:c r="F104" s="163" t="n">
        <x:v>288</x:v>
      </x:c>
      <x:c r="G104" s="163" t="n">
        <x:v>23</x:v>
      </x:c>
      <x:c r="H104" s="163" t="n">
        <x:v>15</x:v>
      </x:c>
      <x:c r="I104" s="163" t="n">
        <x:v>9</x:v>
      </x:c>
      <x:c r="J104" s="163" t="n">
        <x:v>5</x:v>
      </x:c>
      <x:c r="K104" s="163" t="n">
        <x:v>1</x:v>
      </x:c>
      <x:c r="L104" s="164" t="n">
        <x:v>2751</x:v>
      </x:c>
      <x:c r="M104" s="164" t="n">
        <x:v>183360</x:v>
      </x:c>
      <x:c r="N104" s="164" t="n">
        <x:v>45840</x:v>
      </x:c>
      <x:c r="O104" s="165" t="n">
        <x:f>IFERROR(F104/E104,0)</x:f>
        <x:v>0.020317460317460317</x:v>
      </x:c>
      <x:c r="P104" s="166" t="n">
        <x:f>IFERROR(L104/F104,0)</x:f>
        <x:v>9.552083333333334</x:v>
      </x:c>
      <x:c r="Q104" s="165" t="n">
        <x:f>IFERROR(G104/F104,0)</x:f>
        <x:v>0.0798611111111111</x:v>
      </x:c>
      <x:c r="R104" s="164" t="n">
        <x:f>IFERROR(L104/G104,0)</x:f>
        <x:v>119.6086956521739</x:v>
      </x:c>
      <x:c r="S104" s="167" t="n">
        <x:f>IFERROR(N104/L104,0)</x:f>
        <x:v>16.663031624863684</x:v>
      </x:c>
      <x:c r="T104" s="165" t="n">
        <x:f>IFERROR(K104/J104,0)</x:f>
        <x:v>0.2</x:v>
      </x:c>
    </x:row>
    <x:row r="105">
      <x:c r="A105" s="161" t="n">
        <x:v>46054</x:v>
      </x:c>
      <x:c r="B105" s="162" t="str">
        <x:v>LinkedIn</x:v>
      </x:c>
      <x:c r="C105" s="162" t="str">
        <x:v>Midwest</x:v>
      </x:c>
      <x:c r="D105" s="162" t="str">
        <x:v>Case Packers</x:v>
      </x:c>
      <x:c r="E105" s="163" t="n">
        <x:v>15450</x:v>
      </x:c>
      <x:c r="F105" s="163" t="n">
        <x:v>338</x:v>
      </x:c>
      <x:c r="G105" s="163" t="n">
        <x:v>28</x:v>
      </x:c>
      <x:c r="H105" s="163" t="n">
        <x:v>19</x:v>
      </x:c>
      <x:c r="I105" s="163" t="n">
        <x:v>11</x:v>
      </x:c>
      <x:c r="J105" s="163" t="n">
        <x:v>6</x:v>
      </x:c>
      <x:c r="K105" s="163" t="n">
        <x:v>1</x:v>
      </x:c>
      <x:c r="L105" s="164" t="n">
        <x:v>3229</x:v>
      </x:c>
      <x:c r="M105" s="164" t="n">
        <x:v>513408</x:v>
      </x:c>
      <x:c r="N105" s="164" t="n">
        <x:v>106960</x:v>
      </x:c>
      <x:c r="O105" s="165" t="n">
        <x:f>IFERROR(F105/E105,0)</x:f>
        <x:v>0.021877022653721684</x:v>
      </x:c>
      <x:c r="P105" s="166" t="n">
        <x:f>IFERROR(L105/F105,0)</x:f>
        <x:v>9.553254437869823</x:v>
      </x:c>
      <x:c r="Q105" s="165" t="n">
        <x:f>IFERROR(G105/F105,0)</x:f>
        <x:v>0.08284023668639054</x:v>
      </x:c>
      <x:c r="R105" s="164" t="n">
        <x:f>IFERROR(L105/G105,0)</x:f>
        <x:v>115.32142857142857</x:v>
      </x:c>
      <x:c r="S105" s="167" t="n">
        <x:f>IFERROR(N105/L105,0)</x:f>
        <x:v>33.124806441622795</x:v>
      </x:c>
      <x:c r="T105" s="165" t="n">
        <x:f>IFERROR(K105/J105,0)</x:f>
        <x:v>0.16666666666666666</x:v>
      </x:c>
    </x:row>
    <x:row r="106">
      <x:c r="A106" s="161" t="n">
        <x:v>46054</x:v>
      </x:c>
      <x:c r="B106" s="162" t="str">
        <x:v>LinkedIn</x:v>
      </x:c>
      <x:c r="C106" s="162" t="str">
        <x:v>South</x:v>
      </x:c>
      <x:c r="D106" s="162" t="str">
        <x:v>Pouch Fillers</x:v>
      </x:c>
      <x:c r="E106" s="163" t="n">
        <x:v>14100</x:v>
      </x:c>
      <x:c r="F106" s="163" t="n">
        <x:v>275</x:v>
      </x:c>
      <x:c r="G106" s="163" t="n">
        <x:v>22</x:v>
      </x:c>
      <x:c r="H106" s="163" t="n">
        <x:v>13</x:v>
      </x:c>
      <x:c r="I106" s="163" t="n">
        <x:v>8</x:v>
      </x:c>
      <x:c r="J106" s="163" t="n">
        <x:v>4</x:v>
      </x:c>
      <x:c r="K106" s="163" t="n">
        <x:v>1</x:v>
      </x:c>
      <x:c r="L106" s="164" t="n">
        <x:v>2666</x:v>
      </x:c>
      <x:c r="M106" s="164" t="n">
        <x:v>257152</x:v>
      </x:c>
      <x:c r="N106" s="164" t="n">
        <x:v>80360</x:v>
      </x:c>
      <x:c r="O106" s="165" t="n">
        <x:f>IFERROR(F106/E106,0)</x:f>
        <x:v>0.01950354609929078</x:v>
      </x:c>
      <x:c r="P106" s="166" t="n">
        <x:f>IFERROR(L106/F106,0)</x:f>
        <x:v>9.694545454545455</x:v>
      </x:c>
      <x:c r="Q106" s="165" t="n">
        <x:f>IFERROR(G106/F106,0)</x:f>
        <x:v>0.08</x:v>
      </x:c>
      <x:c r="R106" s="164" t="n">
        <x:f>IFERROR(L106/G106,0)</x:f>
        <x:v>121.18181818181819</x:v>
      </x:c>
      <x:c r="S106" s="167" t="n">
        <x:f>IFERROR(N106/L106,0)</x:f>
        <x:v>30.142535633908476</x:v>
      </x:c>
      <x:c r="T106" s="165" t="n">
        <x:f>IFERROR(K106/J106,0)</x:f>
        <x:v>0.25</x:v>
      </x:c>
    </x:row>
    <x:row r="107">
      <x:c r="A107" s="161" t="n">
        <x:v>46054</x:v>
      </x:c>
      <x:c r="B107" s="162" t="str">
        <x:v>LinkedIn</x:v>
      </x:c>
      <x:c r="C107" s="162" t="str">
        <x:v>South</x:v>
      </x:c>
      <x:c r="D107" s="162" t="str">
        <x:v>Cartoning Machines</x:v>
      </x:c>
      <x:c r="E107" s="163" t="n">
        <x:v>15375</x:v>
      </x:c>
      <x:c r="F107" s="163" t="n">
        <x:v>324</x:v>
      </x:c>
      <x:c r="G107" s="163" t="n">
        <x:v>27</x:v>
      </x:c>
      <x:c r="H107" s="163" t="n">
        <x:v>17</x:v>
      </x:c>
      <x:c r="I107" s="163" t="n">
        <x:v>10</x:v>
      </x:c>
      <x:c r="J107" s="163" t="n">
        <x:v>5</x:v>
      </x:c>
      <x:c r="K107" s="163" t="n">
        <x:v>1</x:v>
      </x:c>
      <x:c r="L107" s="164" t="n">
        <x:v>3142</x:v>
      </x:c>
      <x:c r="M107" s="164" t="n">
        <x:v>540960</x:v>
      </x:c>
      <x:c r="N107" s="164" t="n">
        <x:v>135240</x:v>
      </x:c>
      <x:c r="O107" s="165" t="n">
        <x:f>IFERROR(F107/E107,0)</x:f>
        <x:v>0.02107317073170732</x:v>
      </x:c>
      <x:c r="P107" s="166" t="n">
        <x:f>IFERROR(L107/F107,0)</x:f>
        <x:v>9.697530864197532</x:v>
      </x:c>
      <x:c r="Q107" s="165" t="n">
        <x:f>IFERROR(G107/F107,0)</x:f>
        <x:v>0.08333333333333333</x:v>
      </x:c>
      <x:c r="R107" s="164" t="n">
        <x:f>IFERROR(L107/G107,0)</x:f>
        <x:v>116.37037037037037</x:v>
      </x:c>
      <x:c r="S107" s="167" t="n">
        <x:f>IFERROR(N107/L107,0)</x:f>
        <x:v>43.0426479949077</x:v>
      </x:c>
      <x:c r="T107" s="165" t="n">
        <x:f>IFERROR(K107/J107,0)</x:f>
        <x:v>0.2</x:v>
      </x:c>
    </x:row>
    <x:row r="108">
      <x:c r="A108" s="161" t="n">
        <x:v>46054</x:v>
      </x:c>
      <x:c r="B108" s="162" t="str">
        <x:v>LinkedIn</x:v>
      </x:c>
      <x:c r="C108" s="162" t="str">
        <x:v>South</x:v>
      </x:c>
      <x:c r="D108" s="162" t="str">
        <x:v>Labeling Systems</x:v>
      </x:c>
      <x:c r="E108" s="163" t="n">
        <x:v>15000</x:v>
      </x:c>
      <x:c r="F108" s="163" t="n">
        <x:v>341</x:v>
      </x:c>
      <x:c r="G108" s="163" t="n">
        <x:v>28</x:v>
      </x:c>
      <x:c r="H108" s="163" t="n">
        <x:v>18</x:v>
      </x:c>
      <x:c r="I108" s="163" t="n">
        <x:v>11</x:v>
      </x:c>
      <x:c r="J108" s="163" t="n">
        <x:v>6</x:v>
      </x:c>
      <x:c r="K108" s="163" t="n">
        <x:v>2</x:v>
      </x:c>
      <x:c r="L108" s="164" t="n">
        <x:v>3306</x:v>
      </x:c>
      <x:c r="M108" s="164" t="n">
        <x:v>225792</x:v>
      </x:c>
      <x:c r="N108" s="164" t="n">
        <x:v>94080</x:v>
      </x:c>
      <x:c r="O108" s="165" t="n">
        <x:f>IFERROR(F108/E108,0)</x:f>
        <x:v>0.022733333333333335</x:v>
      </x:c>
      <x:c r="P108" s="166" t="n">
        <x:f>IFERROR(L108/F108,0)</x:f>
        <x:v>9.695014662756599</x:v>
      </x:c>
      <x:c r="Q108" s="165" t="n">
        <x:f>IFERROR(G108/F108,0)</x:f>
        <x:v>0.08211143695014662</x:v>
      </x:c>
      <x:c r="R108" s="164" t="n">
        <x:f>IFERROR(L108/G108,0)</x:f>
        <x:v>118.07142857142857</x:v>
      </x:c>
      <x:c r="S108" s="167" t="n">
        <x:f>IFERROR(N108/L108,0)</x:f>
        <x:v>28.457350272232304</x:v>
      </x:c>
      <x:c r="T108" s="165" t="n">
        <x:f>IFERROR(K108/J108,0)</x:f>
        <x:v>0.3333333333333333</x:v>
      </x:c>
    </x:row>
    <x:row r="109">
      <x:c r="A109" s="161" t="n">
        <x:v>46054</x:v>
      </x:c>
      <x:c r="B109" s="162" t="str">
        <x:v>LinkedIn</x:v>
      </x:c>
      <x:c r="C109" s="162" t="str">
        <x:v>South</x:v>
      </x:c>
      <x:c r="D109" s="162" t="str">
        <x:v>Case Packers</x:v>
      </x:c>
      <x:c r="E109" s="163" t="n">
        <x:v>16275</x:v>
      </x:c>
      <x:c r="F109" s="163" t="n">
        <x:v>330</x:v>
      </x:c>
      <x:c r="G109" s="163" t="n">
        <x:v>27</x:v>
      </x:c>
      <x:c r="H109" s="163" t="n">
        <x:v>18</x:v>
      </x:c>
      <x:c r="I109" s="163" t="n">
        <x:v>11</x:v>
      </x:c>
      <x:c r="J109" s="163" t="n">
        <x:v>6</x:v>
      </x:c>
      <x:c r="K109" s="163" t="n">
        <x:v>2</x:v>
      </x:c>
      <x:c r="L109" s="164" t="n">
        <x:v>3200</x:v>
      </x:c>
      <x:c r="M109" s="164" t="n">
        <x:v>526848</x:v>
      </x:c>
      <x:c r="N109" s="164" t="n">
        <x:v>219520</x:v>
      </x:c>
      <x:c r="O109" s="165" t="n">
        <x:f>IFERROR(F109/E109,0)</x:f>
        <x:v>0.020276497695852536</x:v>
      </x:c>
      <x:c r="P109" s="166" t="n">
        <x:f>IFERROR(L109/F109,0)</x:f>
        <x:v>9.696969696969697</x:v>
      </x:c>
      <x:c r="Q109" s="165" t="n">
        <x:f>IFERROR(G109/F109,0)</x:f>
        <x:v>0.08181818181818182</x:v>
      </x:c>
      <x:c r="R109" s="164" t="n">
        <x:f>IFERROR(L109/G109,0)</x:f>
        <x:v>118.51851851851852</x:v>
      </x:c>
      <x:c r="S109" s="167" t="n">
        <x:f>IFERROR(N109/L109,0)</x:f>
        <x:v>68.6</x:v>
      </x:c>
      <x:c r="T109" s="165" t="n">
        <x:f>IFERROR(K109/J109,0)</x:f>
        <x:v>0.3333333333333333</x:v>
      </x:c>
    </x:row>
    <x:row r="110">
      <x:c r="A110" s="161" t="n">
        <x:v>46054</x:v>
      </x:c>
      <x:c r="B110" s="162" t="str">
        <x:v>LinkedIn</x:v>
      </x:c>
      <x:c r="C110" s="162" t="str">
        <x:v>West</x:v>
      </x:c>
      <x:c r="D110" s="162" t="str">
        <x:v>Pouch Fillers</x:v>
      </x:c>
      <x:c r="E110" s="163" t="n">
        <x:v>14925</x:v>
      </x:c>
      <x:c r="F110" s="163" t="n">
        <x:v>327</x:v>
      </x:c>
      <x:c r="G110" s="163" t="n">
        <x:v>26</x:v>
      </x:c>
      <x:c r="H110" s="163" t="n">
        <x:v>15</x:v>
      </x:c>
      <x:c r="I110" s="163" t="n">
        <x:v>9</x:v>
      </x:c>
      <x:c r="J110" s="163" t="n">
        <x:v>4</x:v>
      </x:c>
      <x:c r="K110" s="163" t="n">
        <x:v>1</x:v>
      </x:c>
      <x:c r="L110" s="164" t="n">
        <x:v>3218</x:v>
      </x:c>
      <x:c r="M110" s="164" t="n">
        <x:v>263712</x:v>
      </x:c>
      <x:c r="N110" s="164" t="n">
        <x:v>82410</x:v>
      </x:c>
      <x:c r="O110" s="165" t="n">
        <x:f>IFERROR(F110/E110,0)</x:f>
        <x:v>0.02190954773869347</x:v>
      </x:c>
      <x:c r="P110" s="166" t="n">
        <x:f>IFERROR(L110/F110,0)</x:f>
        <x:v>9.84097859327217</x:v>
      </x:c>
      <x:c r="Q110" s="165" t="n">
        <x:f>IFERROR(G110/F110,0)</x:f>
        <x:v>0.07951070336391437</x:v>
      </x:c>
      <x:c r="R110" s="164" t="n">
        <x:f>IFERROR(L110/G110,0)</x:f>
        <x:v>123.76923076923077</x:v>
      </x:c>
      <x:c r="S110" s="167" t="n">
        <x:f>IFERROR(N110/L110,0)</x:f>
        <x:v>25.609073958980733</x:v>
      </x:c>
      <x:c r="T110" s="165" t="n">
        <x:f>IFERROR(K110/J110,0)</x:f>
        <x:v>0.25</x:v>
      </x:c>
    </x:row>
    <x:row r="111">
      <x:c r="A111" s="161" t="n">
        <x:v>46054</x:v>
      </x:c>
      <x:c r="B111" s="162" t="str">
        <x:v>LinkedIn</x:v>
      </x:c>
      <x:c r="C111" s="162" t="str">
        <x:v>West</x:v>
      </x:c>
      <x:c r="D111" s="162" t="str">
        <x:v>Cartoning Machines</x:v>
      </x:c>
      <x:c r="E111" s="163" t="n">
        <x:v>14550</x:v>
      </x:c>
      <x:c r="F111" s="163" t="n">
        <x:v>284</x:v>
      </x:c>
      <x:c r="G111" s="163" t="n">
        <x:v>24</x:v>
      </x:c>
      <x:c r="H111" s="163" t="n">
        <x:v>15</x:v>
      </x:c>
      <x:c r="I111" s="163" t="n">
        <x:v>9</x:v>
      </x:c>
      <x:c r="J111" s="163" t="n">
        <x:v>5</x:v>
      </x:c>
      <x:c r="K111" s="163" t="n">
        <x:v>1</x:v>
      </x:c>
      <x:c r="L111" s="164" t="n">
        <x:v>2795</x:v>
      </x:c>
      <x:c r="M111" s="164" t="n">
        <x:v>554760</x:v>
      </x:c>
      <x:c r="N111" s="164" t="n">
        <x:v>138690</x:v>
      </x:c>
      <x:c r="O111" s="165" t="n">
        <x:f>IFERROR(F111/E111,0)</x:f>
        <x:v>0.019518900343642613</x:v>
      </x:c>
      <x:c r="P111" s="166" t="n">
        <x:f>IFERROR(L111/F111,0)</x:f>
        <x:v>9.841549295774648</x:v>
      </x:c>
      <x:c r="Q111" s="165" t="n">
        <x:f>IFERROR(G111/F111,0)</x:f>
        <x:v>0.08450704225352113</x:v>
      </x:c>
      <x:c r="R111" s="164" t="n">
        <x:f>IFERROR(L111/G111,0)</x:f>
        <x:v>116.45833333333333</x:v>
      </x:c>
      <x:c r="S111" s="167" t="n">
        <x:f>IFERROR(N111/L111,0)</x:f>
        <x:v>49.620751341681576</x:v>
      </x:c>
      <x:c r="T111" s="165" t="n">
        <x:f>IFERROR(K111/J111,0)</x:f>
        <x:v>0.2</x:v>
      </x:c>
    </x:row>
    <x:row r="112">
      <x:c r="A112" s="161" t="n">
        <x:v>46054</x:v>
      </x:c>
      <x:c r="B112" s="162" t="str">
        <x:v>LinkedIn</x:v>
      </x:c>
      <x:c r="C112" s="162" t="str">
        <x:v>West</x:v>
      </x:c>
      <x:c r="D112" s="162" t="str">
        <x:v>Labeling Systems</x:v>
      </x:c>
      <x:c r="E112" s="163" t="n">
        <x:v>15825</x:v>
      </x:c>
      <x:c r="F112" s="163" t="n">
        <x:v>334</x:v>
      </x:c>
      <x:c r="G112" s="163" t="n">
        <x:v>27</x:v>
      </x:c>
      <x:c r="H112" s="163" t="n">
        <x:v>17</x:v>
      </x:c>
      <x:c r="I112" s="163" t="n">
        <x:v>10</x:v>
      </x:c>
      <x:c r="J112" s="163" t="n">
        <x:v>5</x:v>
      </x:c>
      <x:c r="K112" s="163" t="n">
        <x:v>1</x:v>
      </x:c>
      <x:c r="L112" s="164" t="n">
        <x:v>3287</x:v>
      </x:c>
      <x:c r="M112" s="164" t="n">
        <x:v>192960</x:v>
      </x:c>
      <x:c r="N112" s="164" t="n">
        <x:v>48240</x:v>
      </x:c>
      <x:c r="O112" s="165" t="n">
        <x:f>IFERROR(F112/E112,0)</x:f>
        <x:v>0.021105845181674566</x:v>
      </x:c>
      <x:c r="P112" s="166" t="n">
        <x:f>IFERROR(L112/F112,0)</x:f>
        <x:v>9.841317365269461</x:v>
      </x:c>
      <x:c r="Q112" s="165" t="n">
        <x:f>IFERROR(G112/F112,0)</x:f>
        <x:v>0.08083832335329341</x:v>
      </x:c>
      <x:c r="R112" s="164" t="n">
        <x:f>IFERROR(L112/G112,0)</x:f>
        <x:v>121.74074074074075</x:v>
      </x:c>
      <x:c r="S112" s="167" t="n">
        <x:f>IFERROR(N112/L112,0)</x:f>
        <x:v>14.675996349254639</x:v>
      </x:c>
      <x:c r="T112" s="165" t="n">
        <x:f>IFERROR(K112/J112,0)</x:f>
        <x:v>0.2</x:v>
      </x:c>
    </x:row>
    <x:row r="113">
      <x:c r="A113" s="161" t="n">
        <x:v>46054</x:v>
      </x:c>
      <x:c r="B113" s="162" t="str">
        <x:v>LinkedIn</x:v>
      </x:c>
      <x:c r="C113" s="162" t="str">
        <x:v>West</x:v>
      </x:c>
      <x:c r="D113" s="162" t="str">
        <x:v>Case Packers</x:v>
      </x:c>
      <x:c r="E113" s="163" t="n">
        <x:v>15450</x:v>
      </x:c>
      <x:c r="F113" s="163" t="n">
        <x:v>351</x:v>
      </x:c>
      <x:c r="G113" s="163" t="n">
        <x:v>29</x:v>
      </x:c>
      <x:c r="H113" s="163" t="n">
        <x:v>19</x:v>
      </x:c>
      <x:c r="I113" s="163" t="n">
        <x:v>12</x:v>
      </x:c>
      <x:c r="J113" s="163" t="n">
        <x:v>7</x:v>
      </x:c>
      <x:c r="K113" s="163" t="n">
        <x:v>2</x:v>
      </x:c>
      <x:c r="L113" s="164" t="n">
        <x:v>3454</x:v>
      </x:c>
      <x:c r="M113" s="164" t="n">
        <x:v>630336</x:v>
      </x:c>
      <x:c r="N113" s="164" t="n">
        <x:v>225120</x:v>
      </x:c>
      <x:c r="O113" s="165" t="n">
        <x:f>IFERROR(F113/E113,0)</x:f>
        <x:v>0.022718446601941746</x:v>
      </x:c>
      <x:c r="P113" s="166" t="n">
        <x:f>IFERROR(L113/F113,0)</x:f>
        <x:v>9.84045584045584</x:v>
      </x:c>
      <x:c r="Q113" s="165" t="n">
        <x:f>IFERROR(G113/F113,0)</x:f>
        <x:v>0.08262108262108261</x:v>
      </x:c>
      <x:c r="R113" s="164" t="n">
        <x:f>IFERROR(L113/G113,0)</x:f>
        <x:v>119.10344827586206</x:v>
      </x:c>
      <x:c r="S113" s="167" t="n">
        <x:f>IFERROR(N113/L113,0)</x:f>
        <x:v>65.17660683265778</x:v>
      </x:c>
      <x:c r="T113" s="165" t="n">
        <x:f>IFERROR(K113/J113,0)</x:f>
        <x:v>0.2857142857142857</x:v>
      </x:c>
    </x:row>
    <x:row r="114">
      <x:c r="A114" s="161" t="n">
        <x:v>46054</x:v>
      </x:c>
      <x:c r="B114" s="162" t="str">
        <x:v>Email</x:v>
      </x:c>
      <x:c r="C114" s="162" t="str">
        <x:v>Northeast</x:v>
      </x:c>
      <x:c r="D114" s="162" t="str">
        <x:v>Pouch Fillers</x:v>
      </x:c>
      <x:c r="E114" s="163" t="n">
        <x:v>8190</x:v>
      </x:c>
      <x:c r="F114" s="163" t="n">
        <x:v>445</x:v>
      </x:c>
      <x:c r="G114" s="163" t="n">
        <x:v>43</x:v>
      </x:c>
      <x:c r="H114" s="163" t="n">
        <x:v>25</x:v>
      </x:c>
      <x:c r="I114" s="163" t="n">
        <x:v>14</x:v>
      </x:c>
      <x:c r="J114" s="163" t="n">
        <x:v>7</x:v>
      </x:c>
      <x:c r="K114" s="163" t="n">
        <x:v>2</x:v>
      </x:c>
      <x:c r="L114" s="164" t="n">
        <x:v>829</x:v>
      </x:c>
      <x:c r="M114" s="164" t="n">
        <x:v>427056</x:v>
      </x:c>
      <x:c r="N114" s="164" t="n">
        <x:v>152520</x:v>
      </x:c>
      <x:c r="O114" s="165" t="n">
        <x:f>IFERROR(F114/E114,0)</x:f>
        <x:v>0.054334554334554336</x:v>
      </x:c>
      <x:c r="P114" s="166" t="n">
        <x:f>IFERROR(L114/F114,0)</x:f>
        <x:v>1.8629213483146068</x:v>
      </x:c>
      <x:c r="Q114" s="165" t="n">
        <x:f>IFERROR(G114/F114,0)</x:f>
        <x:v>0.09662921348314607</x:v>
      </x:c>
      <x:c r="R114" s="164" t="n">
        <x:f>IFERROR(L114/G114,0)</x:f>
        <x:v>19.27906976744186</x:v>
      </x:c>
      <x:c r="S114" s="167" t="n">
        <x:f>IFERROR(N114/L114,0)</x:f>
        <x:v>183.9806996381182</x:v>
      </x:c>
      <x:c r="T114" s="165" t="n">
        <x:f>IFERROR(K114/J114,0)</x:f>
        <x:v>0.2857142857142857</x:v>
      </x:c>
    </x:row>
    <x:row r="115">
      <x:c r="A115" s="161" t="n">
        <x:v>46054</x:v>
      </x:c>
      <x:c r="B115" s="162" t="str">
        <x:v>Email</x:v>
      </x:c>
      <x:c r="C115" s="162" t="str">
        <x:v>Northeast</x:v>
      </x:c>
      <x:c r="D115" s="162" t="str">
        <x:v>Cartoning Machines</x:v>
      </x:c>
      <x:c r="E115" s="163" t="n">
        <x:v>7965</x:v>
      </x:c>
      <x:c r="F115" s="163" t="n">
        <x:v>445</x:v>
      </x:c>
      <x:c r="G115" s="163" t="n">
        <x:v>44</x:v>
      </x:c>
      <x:c r="H115" s="163" t="n">
        <x:v>27</x:v>
      </x:c>
      <x:c r="I115" s="163" t="n">
        <x:v>15</x:v>
      </x:c>
      <x:c r="J115" s="163" t="n">
        <x:v>8</x:v>
      </x:c>
      <x:c r="K115" s="163" t="n">
        <x:v>2</x:v>
      </x:c>
      <x:c r="L115" s="164" t="n">
        <x:v>829</x:v>
      </x:c>
      <x:c r="M115" s="164" t="n">
        <x:v>821376</x:v>
      </x:c>
      <x:c r="N115" s="164" t="n">
        <x:v>256680</x:v>
      </x:c>
      <x:c r="O115" s="165" t="n">
        <x:f>IFERROR(F115/E115,0)</x:f>
        <x:v>0.05586942875078468</x:v>
      </x:c>
      <x:c r="P115" s="166" t="n">
        <x:f>IFERROR(L115/F115,0)</x:f>
        <x:v>1.8629213483146068</x:v>
      </x:c>
      <x:c r="Q115" s="165" t="n">
        <x:f>IFERROR(G115/F115,0)</x:f>
        <x:v>0.09887640449438202</x:v>
      </x:c>
      <x:c r="R115" s="164" t="n">
        <x:f>IFERROR(L115/G115,0)</x:f>
        <x:v>18.84090909090909</x:v>
      </x:c>
      <x:c r="S115" s="167" t="n">
        <x:f>IFERROR(N115/L115,0)</x:f>
        <x:v>309.62605548854043</x:v>
      </x:c>
      <x:c r="T115" s="165" t="n">
        <x:f>IFERROR(K115/J115,0)</x:f>
        <x:v>0.25</x:v>
      </x:c>
    </x:row>
    <x:row r="116">
      <x:c r="A116" s="161" t="n">
        <x:v>46054</x:v>
      </x:c>
      <x:c r="B116" s="162" t="str">
        <x:v>Email</x:v>
      </x:c>
      <x:c r="C116" s="162" t="str">
        <x:v>Northeast</x:v>
      </x:c>
      <x:c r="D116" s="162" t="str">
        <x:v>Labeling Systems</x:v>
      </x:c>
      <x:c r="E116" s="163" t="n">
        <x:v>8730</x:v>
      </x:c>
      <x:c r="F116" s="163" t="n">
        <x:v>467</x:v>
      </x:c>
      <x:c r="G116" s="163" t="n">
        <x:v>45</x:v>
      </x:c>
      <x:c r="H116" s="163" t="n">
        <x:v>29</x:v>
      </x:c>
      <x:c r="I116" s="163" t="n">
        <x:v>16</x:v>
      </x:c>
      <x:c r="J116" s="163" t="n">
        <x:v>9</x:v>
      </x:c>
      <x:c r="K116" s="163" t="n">
        <x:v>2</x:v>
      </x:c>
      <x:c r="L116" s="164" t="n">
        <x:v>870</x:v>
      </x:c>
      <x:c r="M116" s="164" t="n">
        <x:v>321408</x:v>
      </x:c>
      <x:c r="N116" s="164" t="n">
        <x:v>89280</x:v>
      </x:c>
      <x:c r="O116" s="165" t="n">
        <x:f>IFERROR(F116/E116,0)</x:f>
        <x:v>0.05349369988545246</x:v>
      </x:c>
      <x:c r="P116" s="166" t="n">
        <x:f>IFERROR(L116/F116,0)</x:f>
        <x:v>1.8629550321199144</x:v>
      </x:c>
      <x:c r="Q116" s="165" t="n">
        <x:f>IFERROR(G116/F116,0)</x:f>
        <x:v>0.09635974304068523</x:v>
      </x:c>
      <x:c r="R116" s="164" t="n">
        <x:f>IFERROR(L116/G116,0)</x:f>
        <x:v>19.333333333333332</x:v>
      </x:c>
      <x:c r="S116" s="167" t="n">
        <x:f>IFERROR(N116/L116,0)</x:f>
        <x:v>102.62068965517241</x:v>
      </x:c>
      <x:c r="T116" s="165" t="n">
        <x:f>IFERROR(K116/J116,0)</x:f>
        <x:v>0.2222222222222222</x:v>
      </x:c>
    </x:row>
    <x:row r="117">
      <x:c r="A117" s="161" t="n">
        <x:v>46054</x:v>
      </x:c>
      <x:c r="B117" s="162" t="str">
        <x:v>Email</x:v>
      </x:c>
      <x:c r="C117" s="162" t="str">
        <x:v>Northeast</x:v>
      </x:c>
      <x:c r="D117" s="162" t="str">
        <x:v>Case Packers</x:v>
      </x:c>
      <x:c r="E117" s="163" t="n">
        <x:v>8505</x:v>
      </x:c>
      <x:c r="F117" s="163" t="n">
        <x:v>469</x:v>
      </x:c>
      <x:c r="G117" s="163" t="n">
        <x:v>46</x:v>
      </x:c>
      <x:c r="H117" s="163" t="n">
        <x:v>31</x:v>
      </x:c>
      <x:c r="I117" s="163" t="n">
        <x:v>17</x:v>
      </x:c>
      <x:c r="J117" s="163" t="n">
        <x:v>10</x:v>
      </x:c>
      <x:c r="K117" s="163" t="n">
        <x:v>2</x:v>
      </x:c>
      <x:c r="L117" s="164" t="n">
        <x:v>873</x:v>
      </x:c>
      <x:c r="M117" s="164" t="n">
        <x:v>833280</x:v>
      </x:c>
      <x:c r="N117" s="164" t="n">
        <x:v>208320</x:v>
      </x:c>
      <x:c r="O117" s="165" t="n">
        <x:f>IFERROR(F117/E117,0)</x:f>
        <x:v>0.0551440329218107</x:v>
      </x:c>
      <x:c r="P117" s="166" t="n">
        <x:f>IFERROR(L117/F117,0)</x:f>
        <x:v>1.861407249466951</x:v>
      </x:c>
      <x:c r="Q117" s="165" t="n">
        <x:f>IFERROR(G117/F117,0)</x:f>
        <x:v>0.09808102345415778</x:v>
      </x:c>
      <x:c r="R117" s="164" t="n">
        <x:f>IFERROR(L117/G117,0)</x:f>
        <x:v>18.97826086956522</x:v>
      </x:c>
      <x:c r="S117" s="167" t="n">
        <x:f>IFERROR(N117/L117,0)</x:f>
        <x:v>238.6254295532646</x:v>
      </x:c>
      <x:c r="T117" s="165" t="n">
        <x:f>IFERROR(K117/J117,0)</x:f>
        <x:v>0.2</x:v>
      </x:c>
    </x:row>
    <x:row r="118">
      <x:c r="A118" s="161" t="n">
        <x:v>46054</x:v>
      </x:c>
      <x:c r="B118" s="162" t="str">
        <x:v>Email</x:v>
      </x:c>
      <x:c r="C118" s="162" t="str">
        <x:v>Midwest</x:v>
      </x:c>
      <x:c r="D118" s="162" t="str">
        <x:v>Pouch Fillers</x:v>
      </x:c>
      <x:c r="E118" s="163" t="n">
        <x:v>8685</x:v>
      </x:c>
      <x:c r="F118" s="163" t="n">
        <x:v>492</x:v>
      </x:c>
      <x:c r="G118" s="163" t="n">
        <x:v>47</x:v>
      </x:c>
      <x:c r="H118" s="163" t="n">
        <x:v>28</x:v>
      </x:c>
      <x:c r="I118" s="163" t="n">
        <x:v>16</x:v>
      </x:c>
      <x:c r="J118" s="163" t="n">
        <x:v>8</x:v>
      </x:c>
      <x:c r="K118" s="163" t="n">
        <x:v>2</x:v>
      </x:c>
      <x:c r="L118" s="164" t="n">
        <x:v>930</x:v>
      </x:c>
      <x:c r="M118" s="164" t="n">
        <x:v>501184</x:v>
      </x:c>
      <x:c r="N118" s="164" t="n">
        <x:v>156620</x:v>
      </x:c>
      <x:c r="O118" s="165" t="n">
        <x:f>IFERROR(F118/E118,0)</x:f>
        <x:v>0.056649395509499136</x:v>
      </x:c>
      <x:c r="P118" s="166" t="n">
        <x:f>IFERROR(L118/F118,0)</x:f>
        <x:v>1.8902439024390243</x:v>
      </x:c>
      <x:c r="Q118" s="165" t="n">
        <x:f>IFERROR(G118/F118,0)</x:f>
        <x:v>0.09552845528455285</x:v>
      </x:c>
      <x:c r="R118" s="164" t="n">
        <x:f>IFERROR(L118/G118,0)</x:f>
        <x:v>19.78723404255319</x:v>
      </x:c>
      <x:c r="S118" s="167" t="n">
        <x:f>IFERROR(N118/L118,0)</x:f>
        <x:v>168.40860215053763</x:v>
      </x:c>
      <x:c r="T118" s="165" t="n">
        <x:f>IFERROR(K118/J118,0)</x:f>
        <x:v>0.25</x:v>
      </x:c>
    </x:row>
    <x:row r="119">
      <x:c r="A119" s="161" t="n">
        <x:v>46054</x:v>
      </x:c>
      <x:c r="B119" s="162" t="str">
        <x:v>Email</x:v>
      </x:c>
      <x:c r="C119" s="162" t="str">
        <x:v>Midwest</x:v>
      </x:c>
      <x:c r="D119" s="162" t="str">
        <x:v>Cartoning Machines</x:v>
      </x:c>
      <x:c r="E119" s="163" t="n">
        <x:v>8460</x:v>
      </x:c>
      <x:c r="F119" s="163" t="n">
        <x:v>459</x:v>
      </x:c>
      <x:c r="G119" s="163" t="n">
        <x:v>45</x:v>
      </x:c>
      <x:c r="H119" s="163" t="n">
        <x:v>28</x:v>
      </x:c>
      <x:c r="I119" s="163" t="n">
        <x:v>16</x:v>
      </x:c>
      <x:c r="J119" s="163" t="n">
        <x:v>8</x:v>
      </x:c>
      <x:c r="K119" s="163" t="n">
        <x:v>2</x:v>
      </x:c>
      <x:c r="L119" s="164" t="n">
        <x:v>868</x:v>
      </x:c>
      <x:c r="M119" s="164" t="n">
        <x:v>843456</x:v>
      </x:c>
      <x:c r="N119" s="164" t="n">
        <x:v>263580</x:v>
      </x:c>
      <x:c r="O119" s="165" t="n">
        <x:f>IFERROR(F119/E119,0)</x:f>
        <x:v>0.05425531914893617</x:v>
      </x:c>
      <x:c r="P119" s="166" t="n">
        <x:f>IFERROR(L119/F119,0)</x:f>
        <x:v>1.8910675381263617</x:v>
      </x:c>
      <x:c r="Q119" s="165" t="n">
        <x:f>IFERROR(G119/F119,0)</x:f>
        <x:v>0.09803921568627451</x:v>
      </x:c>
      <x:c r="R119" s="164" t="n">
        <x:f>IFERROR(L119/G119,0)</x:f>
        <x:v>19.288888888888888</x:v>
      </x:c>
      <x:c r="S119" s="167" t="n">
        <x:f>IFERROR(N119/L119,0)</x:f>
        <x:v>303.66359447004606</x:v>
      </x:c>
      <x:c r="T119" s="165" t="n">
        <x:f>IFERROR(K119/J119,0)</x:f>
        <x:v>0.25</x:v>
      </x:c>
    </x:row>
    <x:row r="120">
      <x:c r="A120" s="161" t="n">
        <x:v>46054</x:v>
      </x:c>
      <x:c r="B120" s="162" t="str">
        <x:v>Email</x:v>
      </x:c>
      <x:c r="C120" s="162" t="str">
        <x:v>Midwest</x:v>
      </x:c>
      <x:c r="D120" s="162" t="str">
        <x:v>Labeling Systems</x:v>
      </x:c>
      <x:c r="E120" s="163" t="n">
        <x:v>9225</x:v>
      </x:c>
      <x:c r="F120" s="163" t="n">
        <x:v>516</x:v>
      </x:c>
      <x:c r="G120" s="163" t="n">
        <x:v>50</x:v>
      </x:c>
      <x:c r="H120" s="163" t="n">
        <x:v>32</x:v>
      </x:c>
      <x:c r="I120" s="163" t="n">
        <x:v>18</x:v>
      </x:c>
      <x:c r="J120" s="163" t="n">
        <x:v>10</x:v>
      </x:c>
      <x:c r="K120" s="163" t="n">
        <x:v>2</x:v>
      </x:c>
      <x:c r="L120" s="164" t="n">
        <x:v>975</x:v>
      </x:c>
      <x:c r="M120" s="164" t="n">
        <x:v>366720</x:v>
      </x:c>
      <x:c r="N120" s="164" t="n">
        <x:v>91680</x:v>
      </x:c>
      <x:c r="O120" s="165" t="n">
        <x:f>IFERROR(F120/E120,0)</x:f>
        <x:v>0.0559349593495935</x:v>
      </x:c>
      <x:c r="P120" s="166" t="n">
        <x:f>IFERROR(L120/F120,0)</x:f>
        <x:v>1.8895348837209303</x:v>
      </x:c>
      <x:c r="Q120" s="165" t="n">
        <x:f>IFERROR(G120/F120,0)</x:f>
        <x:v>0.09689922480620156</x:v>
      </x:c>
      <x:c r="R120" s="164" t="n">
        <x:f>IFERROR(L120/G120,0)</x:f>
        <x:v>19.5</x:v>
      </x:c>
      <x:c r="S120" s="167" t="n">
        <x:f>IFERROR(N120/L120,0)</x:f>
        <x:v>94.03076923076924</x:v>
      </x:c>
      <x:c r="T120" s="165" t="n">
        <x:f>IFERROR(K120/J120,0)</x:f>
        <x:v>0.2</x:v>
      </x:c>
    </x:row>
    <x:row r="121">
      <x:c r="A121" s="161" t="n">
        <x:v>46054</x:v>
      </x:c>
      <x:c r="B121" s="162" t="str">
        <x:v>Email</x:v>
      </x:c>
      <x:c r="C121" s="162" t="str">
        <x:v>Midwest</x:v>
      </x:c>
      <x:c r="D121" s="162" t="str">
        <x:v>Case Packers</x:v>
      </x:c>
      <x:c r="E121" s="163" t="n">
        <x:v>9000</x:v>
      </x:c>
      <x:c r="F121" s="163" t="n">
        <x:v>482</x:v>
      </x:c>
      <x:c r="G121" s="163" t="n">
        <x:v>47</x:v>
      </x:c>
      <x:c r="H121" s="163" t="n">
        <x:v>31</x:v>
      </x:c>
      <x:c r="I121" s="163" t="n">
        <x:v>18</x:v>
      </x:c>
      <x:c r="J121" s="163" t="n">
        <x:v>10</x:v>
      </x:c>
      <x:c r="K121" s="163" t="n">
        <x:v>2</x:v>
      </x:c>
      <x:c r="L121" s="164" t="n">
        <x:v>911</x:v>
      </x:c>
      <x:c r="M121" s="164" t="n">
        <x:v>855680</x:v>
      </x:c>
      <x:c r="N121" s="164" t="n">
        <x:v>213920</x:v>
      </x:c>
      <x:c r="O121" s="165" t="n">
        <x:f>IFERROR(F121/E121,0)</x:f>
        <x:v>0.05355555555555556</x:v>
      </x:c>
      <x:c r="P121" s="166" t="n">
        <x:f>IFERROR(L121/F121,0)</x:f>
        <x:v>1.8900414937759336</x:v>
      </x:c>
      <x:c r="Q121" s="165" t="n">
        <x:f>IFERROR(G121/F121,0)</x:f>
        <x:v>0.0975103734439834</x:v>
      </x:c>
      <x:c r="R121" s="164" t="n">
        <x:f>IFERROR(L121/G121,0)</x:f>
        <x:v>19.382978723404257</x:v>
      </x:c>
      <x:c r="S121" s="167" t="n">
        <x:f>IFERROR(N121/L121,0)</x:f>
        <x:v>234.81888035126235</x:v>
      </x:c>
      <x:c r="T121" s="165" t="n">
        <x:f>IFERROR(K121/J121,0)</x:f>
        <x:v>0.2</x:v>
      </x:c>
    </x:row>
    <x:row r="122">
      <x:c r="A122" s="161" t="n">
        <x:v>46054</x:v>
      </x:c>
      <x:c r="B122" s="162" t="str">
        <x:v>Email</x:v>
      </x:c>
      <x:c r="C122" s="162" t="str">
        <x:v>South</x:v>
      </x:c>
      <x:c r="D122" s="162" t="str">
        <x:v>Pouch Fillers</x:v>
      </x:c>
      <x:c r="E122" s="163" t="n">
        <x:v>8190</x:v>
      </x:c>
      <x:c r="F122" s="163" t="n">
        <x:v>451</x:v>
      </x:c>
      <x:c r="G122" s="163" t="n">
        <x:v>43</x:v>
      </x:c>
      <x:c r="H122" s="163" t="n">
        <x:v>25</x:v>
      </x:c>
      <x:c r="I122" s="163" t="n">
        <x:v>15</x:v>
      </x:c>
      <x:c r="J122" s="163" t="n">
        <x:v>7</x:v>
      </x:c>
      <x:c r="K122" s="163" t="n">
        <x:v>2</x:v>
      </x:c>
      <x:c r="L122" s="164" t="n">
        <x:v>865</x:v>
      </x:c>
      <x:c r="M122" s="164" t="n">
        <x:v>450016</x:v>
      </x:c>
      <x:c r="N122" s="164" t="n">
        <x:v>160720</x:v>
      </x:c>
      <x:c r="O122" s="165" t="n">
        <x:f>IFERROR(F122/E122,0)</x:f>
        <x:v>0.055067155067155066</x:v>
      </x:c>
      <x:c r="P122" s="166" t="n">
        <x:f>IFERROR(L122/F122,0)</x:f>
        <x:v>1.917960088691796</x:v>
      </x:c>
      <x:c r="Q122" s="165" t="n">
        <x:f>IFERROR(G122/F122,0)</x:f>
        <x:v>0.09534368070953436</x:v>
      </x:c>
      <x:c r="R122" s="164" t="n">
        <x:f>IFERROR(L122/G122,0)</x:f>
        <x:v>20.11627906976744</x:v>
      </x:c>
      <x:c r="S122" s="167" t="n">
        <x:f>IFERROR(N122/L122,0)</x:f>
        <x:v>185.80346820809248</x:v>
      </x:c>
      <x:c r="T122" s="165" t="n">
        <x:f>IFERROR(K122/J122,0)</x:f>
        <x:v>0.2857142857142857</x:v>
      </x:c>
    </x:row>
    <x:row r="123">
      <x:c r="A123" s="161" t="n">
        <x:v>46054</x:v>
      </x:c>
      <x:c r="B123" s="162" t="str">
        <x:v>Email</x:v>
      </x:c>
      <x:c r="C123" s="162" t="str">
        <x:v>South</x:v>
      </x:c>
      <x:c r="D123" s="162" t="str">
        <x:v>Cartoning Machines</x:v>
      </x:c>
      <x:c r="E123" s="163" t="n">
        <x:v>8955</x:v>
      </x:c>
      <x:c r="F123" s="163" t="n">
        <x:v>508</x:v>
      </x:c>
      <x:c r="G123" s="163" t="n">
        <x:v>50</x:v>
      </x:c>
      <x:c r="H123" s="163" t="n">
        <x:v>31</x:v>
      </x:c>
      <x:c r="I123" s="163" t="n">
        <x:v>18</x:v>
      </x:c>
      <x:c r="J123" s="163" t="n">
        <x:v>9</x:v>
      </x:c>
      <x:c r="K123" s="163" t="n">
        <x:v>2</x:v>
      </x:c>
      <x:c r="L123" s="164" t="n">
        <x:v>975</x:v>
      </x:c>
      <x:c r="M123" s="164" t="n">
        <x:v>973728</x:v>
      </x:c>
      <x:c r="N123" s="164" t="n">
        <x:v>270480</x:v>
      </x:c>
      <x:c r="O123" s="165" t="n">
        <x:f>IFERROR(F123/E123,0)</x:f>
        <x:v>0.056728084868788387</x:v>
      </x:c>
      <x:c r="P123" s="166" t="n">
        <x:f>IFERROR(L123/F123,0)</x:f>
        <x:v>1.919291338582677</x:v>
      </x:c>
      <x:c r="Q123" s="165" t="n">
        <x:f>IFERROR(G123/F123,0)</x:f>
        <x:v>0.0984251968503937</x:v>
      </x:c>
      <x:c r="R123" s="164" t="n">
        <x:f>IFERROR(L123/G123,0)</x:f>
        <x:v>19.5</x:v>
      </x:c>
      <x:c r="S123" s="167" t="n">
        <x:f>IFERROR(N123/L123,0)</x:f>
        <x:v>277.4153846153846</x:v>
      </x:c>
      <x:c r="T123" s="165" t="n">
        <x:f>IFERROR(K123/J123,0)</x:f>
        <x:v>0.2222222222222222</x:v>
      </x:c>
    </x:row>
    <x:row r="124">
      <x:c r="A124" s="161" t="n">
        <x:v>46054</x:v>
      </x:c>
      <x:c r="B124" s="162" t="str">
        <x:v>Email</x:v>
      </x:c>
      <x:c r="C124" s="162" t="str">
        <x:v>South</x:v>
      </x:c>
      <x:c r="D124" s="162" t="str">
        <x:v>Labeling Systems</x:v>
      </x:c>
      <x:c r="E124" s="163" t="n">
        <x:v>8730</x:v>
      </x:c>
      <x:c r="F124" s="163" t="n">
        <x:v>474</x:v>
      </x:c>
      <x:c r="G124" s="163" t="n">
        <x:v>46</x:v>
      </x:c>
      <x:c r="H124" s="163" t="n">
        <x:v>29</x:v>
      </x:c>
      <x:c r="I124" s="163" t="n">
        <x:v>17</x:v>
      </x:c>
      <x:c r="J124" s="163" t="n">
        <x:v>9</x:v>
      </x:c>
      <x:c r="K124" s="163" t="n">
        <x:v>2</x:v>
      </x:c>
      <x:c r="L124" s="164" t="n">
        <x:v>910</x:v>
      </x:c>
      <x:c r="M124" s="164" t="n">
        <x:v>338688</x:v>
      </x:c>
      <x:c r="N124" s="164" t="n">
        <x:v>94080</x:v>
      </x:c>
      <x:c r="O124" s="165" t="n">
        <x:f>IFERROR(F124/E124,0)</x:f>
        <x:v>0.05429553264604811</x:v>
      </x:c>
      <x:c r="P124" s="166" t="n">
        <x:f>IFERROR(L124/F124,0)</x:f>
        <x:v>1.919831223628692</x:v>
      </x:c>
      <x:c r="Q124" s="165" t="n">
        <x:f>IFERROR(G124/F124,0)</x:f>
        <x:v>0.0970464135021097</x:v>
      </x:c>
      <x:c r="R124" s="164" t="n">
        <x:f>IFERROR(L124/G124,0)</x:f>
        <x:v>19.782608695652176</x:v>
      </x:c>
      <x:c r="S124" s="167" t="n">
        <x:f>IFERROR(N124/L124,0)</x:f>
        <x:v>103.38461538461539</x:v>
      </x:c>
      <x:c r="T124" s="165" t="n">
        <x:f>IFERROR(K124/J124,0)</x:f>
        <x:v>0.2222222222222222</x:v>
      </x:c>
    </x:row>
    <x:row r="125">
      <x:c r="A125" s="161" t="n">
        <x:v>46054</x:v>
      </x:c>
      <x:c r="B125" s="162" t="str">
        <x:v>Email</x:v>
      </x:c>
      <x:c r="C125" s="162" t="str">
        <x:v>South</x:v>
      </x:c>
      <x:c r="D125" s="162" t="str">
        <x:v>Case Packers</x:v>
      </x:c>
      <x:c r="E125" s="163" t="n">
        <x:v>9495</x:v>
      </x:c>
      <x:c r="F125" s="163" t="n">
        <x:v>531</x:v>
      </x:c>
      <x:c r="G125" s="163" t="n">
        <x:v>52</x:v>
      </x:c>
      <x:c r="H125" s="163" t="n">
        <x:v>35</x:v>
      </x:c>
      <x:c r="I125" s="163" t="n">
        <x:v>21</x:v>
      </x:c>
      <x:c r="J125" s="163" t="n">
        <x:v>12</x:v>
      </x:c>
      <x:c r="K125" s="163" t="n">
        <x:v>3</x:v>
      </x:c>
      <x:c r="L125" s="164" t="n">
        <x:v>1019</x:v>
      </x:c>
      <x:c r="M125" s="164" t="n">
        <x:v>1053696</x:v>
      </x:c>
      <x:c r="N125" s="164" t="n">
        <x:v>329280</x:v>
      </x:c>
      <x:c r="O125" s="165" t="n">
        <x:f>IFERROR(F125/E125,0)</x:f>
        <x:v>0.055924170616113746</x:v>
      </x:c>
      <x:c r="P125" s="166" t="n">
        <x:f>IFERROR(L125/F125,0)</x:f>
        <x:v>1.9190207156308852</x:v>
      </x:c>
      <x:c r="Q125" s="165" t="n">
        <x:f>IFERROR(G125/F125,0)</x:f>
        <x:v>0.09792843691148775</x:v>
      </x:c>
      <x:c r="R125" s="164" t="n">
        <x:f>IFERROR(L125/G125,0)</x:f>
        <x:v>19.596153846153847</x:v>
      </x:c>
      <x:c r="S125" s="167" t="n">
        <x:f>IFERROR(N125/L125,0)</x:f>
        <x:v>323.1403336604514</x:v>
      </x:c>
      <x:c r="T125" s="165" t="n">
        <x:f>IFERROR(K125/J125,0)</x:f>
        <x:v>0.25</x:v>
      </x:c>
    </x:row>
    <x:row r="126">
      <x:c r="A126" s="161" t="n">
        <x:v>46054</x:v>
      </x:c>
      <x:c r="B126" s="162" t="str">
        <x:v>Email</x:v>
      </x:c>
      <x:c r="C126" s="162" t="str">
        <x:v>West</x:v>
      </x:c>
      <x:c r="D126" s="162" t="str">
        <x:v>Pouch Fillers</x:v>
      </x:c>
      <x:c r="E126" s="163" t="n">
        <x:v>8685</x:v>
      </x:c>
      <x:c r="F126" s="163" t="n">
        <x:v>465</x:v>
      </x:c>
      <x:c r="G126" s="163" t="n">
        <x:v>45</x:v>
      </x:c>
      <x:c r="H126" s="163" t="n">
        <x:v>27</x:v>
      </x:c>
      <x:c r="I126" s="163" t="n">
        <x:v>16</x:v>
      </x:c>
      <x:c r="J126" s="163" t="n">
        <x:v>8</x:v>
      </x:c>
      <x:c r="K126" s="163" t="n">
        <x:v>2</x:v>
      </x:c>
      <x:c r="L126" s="164" t="n">
        <x:v>906</x:v>
      </x:c>
      <x:c r="M126" s="164" t="n">
        <x:v>527424</x:v>
      </x:c>
      <x:c r="N126" s="164" t="n">
        <x:v>164820</x:v>
      </x:c>
      <x:c r="O126" s="165" t="n">
        <x:f>IFERROR(F126/E126,0)</x:f>
        <x:v>0.0535405872193437</x:v>
      </x:c>
      <x:c r="P126" s="166" t="n">
        <x:f>IFERROR(L126/F126,0)</x:f>
        <x:v>1.9483870967741936</x:v>
      </x:c>
      <x:c r="Q126" s="165" t="n">
        <x:f>IFERROR(G126/F126,0)</x:f>
        <x:v>0.0967741935483871</x:v>
      </x:c>
      <x:c r="R126" s="164" t="n">
        <x:f>IFERROR(L126/G126,0)</x:f>
        <x:v>20.133333333333333</x:v>
      </x:c>
      <x:c r="S126" s="167" t="n">
        <x:f>IFERROR(N126/L126,0)</x:f>
        <x:v>181.9205298013245</x:v>
      </x:c>
      <x:c r="T126" s="165" t="n">
        <x:f>IFERROR(K126/J126,0)</x:f>
        <x:v>0.25</x:v>
      </x:c>
    </x:row>
    <x:row r="127">
      <x:c r="A127" s="161" t="n">
        <x:v>46054</x:v>
      </x:c>
      <x:c r="B127" s="162" t="str">
        <x:v>Email</x:v>
      </x:c>
      <x:c r="C127" s="162" t="str">
        <x:v>West</x:v>
      </x:c>
      <x:c r="D127" s="162" t="str">
        <x:v>Cartoning Machines</x:v>
      </x:c>
      <x:c r="E127" s="163" t="n">
        <x:v>9450</x:v>
      </x:c>
      <x:c r="F127" s="163" t="n">
        <x:v>521</x:v>
      </x:c>
      <x:c r="G127" s="163" t="n">
        <x:v>51</x:v>
      </x:c>
      <x:c r="H127" s="163" t="n">
        <x:v>31</x:v>
      </x:c>
      <x:c r="I127" s="163" t="n">
        <x:v>19</x:v>
      </x:c>
      <x:c r="J127" s="163" t="n">
        <x:v>10</x:v>
      </x:c>
      <x:c r="K127" s="163" t="n">
        <x:v>3</x:v>
      </x:c>
      <x:c r="L127" s="164" t="n">
        <x:v>1015</x:v>
      </x:c>
      <x:c r="M127" s="164" t="n">
        <x:v>1109520</x:v>
      </x:c>
      <x:c r="N127" s="164" t="n">
        <x:v>416070</x:v>
      </x:c>
      <x:c r="O127" s="165" t="n">
        <x:f>IFERROR(F127/E127,0)</x:f>
        <x:v>0.05513227513227513</x:v>
      </x:c>
      <x:c r="P127" s="166" t="n">
        <x:f>IFERROR(L127/F127,0)</x:f>
        <x:v>1.948176583493282</x:v>
      </x:c>
      <x:c r="Q127" s="165" t="n">
        <x:f>IFERROR(G127/F127,0)</x:f>
        <x:v>0.09788867562380038</x:v>
      </x:c>
      <x:c r="R127" s="164" t="n">
        <x:f>IFERROR(L127/G127,0)</x:f>
        <x:v>19.901960784313726</x:v>
      </x:c>
      <x:c r="S127" s="167" t="n">
        <x:f>IFERROR(N127/L127,0)</x:f>
        <x:v>409.92118226600985</x:v>
      </x:c>
      <x:c r="T127" s="165" t="n">
        <x:f>IFERROR(K127/J127,0)</x:f>
        <x:v>0.3</x:v>
      </x:c>
    </x:row>
    <x:row r="128">
      <x:c r="A128" s="161" t="n">
        <x:v>46054</x:v>
      </x:c>
      <x:c r="B128" s="162" t="str">
        <x:v>Email</x:v>
      </x:c>
      <x:c r="C128" s="162" t="str">
        <x:v>West</x:v>
      </x:c>
      <x:c r="D128" s="162" t="str">
        <x:v>Labeling Systems</x:v>
      </x:c>
      <x:c r="E128" s="163" t="n">
        <x:v>9225</x:v>
      </x:c>
      <x:c r="F128" s="163" t="n">
        <x:v>523</x:v>
      </x:c>
      <x:c r="G128" s="163" t="n">
        <x:v>50</x:v>
      </x:c>
      <x:c r="H128" s="163" t="n">
        <x:v>32</x:v>
      </x:c>
      <x:c r="I128" s="163" t="n">
        <x:v>20</x:v>
      </x:c>
      <x:c r="J128" s="163" t="n">
        <x:v>11</x:v>
      </x:c>
      <x:c r="K128" s="163" t="n">
        <x:v>3</x:v>
      </x:c>
      <x:c r="L128" s="164" t="n">
        <x:v>1019</x:v>
      </x:c>
      <x:c r="M128" s="164" t="n">
        <x:v>424512</x:v>
      </x:c>
      <x:c r="N128" s="164" t="n">
        <x:v>144720</x:v>
      </x:c>
      <x:c r="O128" s="165" t="n">
        <x:f>IFERROR(F128/E128,0)</x:f>
        <x:v>0.05669376693766938</x:v>
      </x:c>
      <x:c r="P128" s="166" t="n">
        <x:f>IFERROR(L128/F128,0)</x:f>
        <x:v>1.9483747609942639</x:v>
      </x:c>
      <x:c r="Q128" s="165" t="n">
        <x:f>IFERROR(G128/F128,0)</x:f>
        <x:v>0.09560229445506692</x:v>
      </x:c>
      <x:c r="R128" s="164" t="n">
        <x:f>IFERROR(L128/G128,0)</x:f>
        <x:v>20.38</x:v>
      </x:c>
      <x:c r="S128" s="167" t="n">
        <x:f>IFERROR(N128/L128,0)</x:f>
        <x:v>142.0215897939156</x:v>
      </x:c>
      <x:c r="T128" s="165" t="n">
        <x:f>IFERROR(K128/J128,0)</x:f>
        <x:v>0.2727272727272727</x:v>
      </x:c>
    </x:row>
    <x:row r="129">
      <x:c r="A129" s="161" t="n">
        <x:v>46054</x:v>
      </x:c>
      <x:c r="B129" s="162" t="str">
        <x:v>Email</x:v>
      </x:c>
      <x:c r="C129" s="162" t="str">
        <x:v>West</x:v>
      </x:c>
      <x:c r="D129" s="162" t="str">
        <x:v>Case Packers</x:v>
      </x:c>
      <x:c r="E129" s="163" t="n">
        <x:v>9990</x:v>
      </x:c>
      <x:c r="F129" s="163" t="n">
        <x:v>542</x:v>
      </x:c>
      <x:c r="G129" s="163" t="n">
        <x:v>53</x:v>
      </x:c>
      <x:c r="H129" s="163" t="n">
        <x:v>35</x:v>
      </x:c>
      <x:c r="I129" s="163" t="n">
        <x:v>21</x:v>
      </x:c>
      <x:c r="J129" s="163" t="n">
        <x:v>12</x:v>
      </x:c>
      <x:c r="K129" s="163" t="n">
        <x:v>3</x:v>
      </x:c>
      <x:c r="L129" s="164" t="n">
        <x:v>1056</x:v>
      </x:c>
      <x:c r="M129" s="164" t="n">
        <x:v>1080576</x:v>
      </x:c>
      <x:c r="N129" s="164" t="n">
        <x:v>337680</x:v>
      </x:c>
      <x:c r="O129" s="165" t="n">
        <x:f>IFERROR(F129/E129,0)</x:f>
        <x:v>0.05425425425425425</x:v>
      </x:c>
      <x:c r="P129" s="166" t="n">
        <x:f>IFERROR(L129/F129,0)</x:f>
        <x:v>1.948339483394834</x:v>
      </x:c>
      <x:c r="Q129" s="165" t="n">
        <x:f>IFERROR(G129/F129,0)</x:f>
        <x:v>0.09778597785977859</x:v>
      </x:c>
      <x:c r="R129" s="164" t="n">
        <x:f>IFERROR(L129/G129,0)</x:f>
        <x:v>19.92452830188679</x:v>
      </x:c>
      <x:c r="S129" s="167" t="n">
        <x:f>IFERROR(N129/L129,0)</x:f>
        <x:v>319.77272727272725</x:v>
      </x:c>
      <x:c r="T129" s="165" t="n">
        <x:f>IFERROR(K129/J129,0)</x:f>
        <x:v>0.25</x:v>
      </x:c>
    </x:row>
    <x:row r="130">
      <x:c r="A130" s="161" t="n">
        <x:v>46054</x:v>
      </x:c>
      <x:c r="B130" s="162" t="str">
        <x:v>Trade Media</x:v>
      </x:c>
      <x:c r="C130" s="162" t="str">
        <x:v>Northeast</x:v>
      </x:c>
      <x:c r="D130" s="162" t="str">
        <x:v>Pouch Fillers</x:v>
      </x:c>
      <x:c r="E130" s="163" t="n">
        <x:v>9680</x:v>
      </x:c>
      <x:c r="F130" s="163" t="n">
        <x:v>173</x:v>
      </x:c>
      <x:c r="G130" s="163" t="n">
        <x:v>10</x:v>
      </x:c>
      <x:c r="H130" s="163" t="n">
        <x:v>6</x:v>
      </x:c>
      <x:c r="I130" s="163" t="n">
        <x:v>3</x:v>
      </x:c>
      <x:c r="J130" s="163" t="n">
        <x:v>1</x:v>
      </x:c>
      <x:c r="K130" s="163" t="n">
        <x:v>0</x:v>
      </x:c>
      <x:c r="L130" s="164" t="n">
        <x:v>1255</x:v>
      </x:c>
      <x:c r="M130" s="164" t="n">
        <x:v>61008</x:v>
      </x:c>
      <x:c r="N130" s="164" t="n">
        <x:v>0</x:v>
      </x:c>
      <x:c r="O130" s="165" t="n">
        <x:f>IFERROR(F130/E130,0)</x:f>
        <x:v>0.017871900826446283</x:v>
      </x:c>
      <x:c r="P130" s="166" t="n">
        <x:f>IFERROR(L130/F130,0)</x:f>
        <x:v>7.254335260115607</x:v>
      </x:c>
      <x:c r="Q130" s="165" t="n">
        <x:f>IFERROR(G130/F130,0)</x:f>
        <x:v>0.057803468208092484</x:v>
      </x:c>
      <x:c r="R130" s="164" t="n">
        <x:f>IFERROR(L130/G130,0)</x:f>
        <x:v>125.5</x:v>
      </x:c>
      <x:c r="S130" s="167" t="n">
        <x:f>IFERROR(N130/L130,0)</x:f>
        <x:v>0</x:v>
      </x:c>
      <x:c r="T130" s="165" t="n">
        <x:f>IFERROR(K130/J130,0)</x:f>
        <x:v>0</x:v>
      </x:c>
    </x:row>
    <x:row r="131">
      <x:c r="A131" s="161" t="n">
        <x:v>46054</x:v>
      </x:c>
      <x:c r="B131" s="162" t="str">
        <x:v>Trade Media</x:v>
      </x:c>
      <x:c r="C131" s="162" t="str">
        <x:v>Northeast</x:v>
      </x:c>
      <x:c r="D131" s="162" t="str">
        <x:v>Cartoning Machines</x:v>
      </x:c>
      <x:c r="E131" s="163" t="n">
        <x:v>10615</x:v>
      </x:c>
      <x:c r="F131" s="163" t="n">
        <x:v>165</x:v>
      </x:c>
      <x:c r="G131" s="163" t="n">
        <x:v>10</x:v>
      </x:c>
      <x:c r="H131" s="163" t="n">
        <x:v>6</x:v>
      </x:c>
      <x:c r="I131" s="163" t="n">
        <x:v>3</x:v>
      </x:c>
      <x:c r="J131" s="163" t="n">
        <x:v>2</x:v>
      </x:c>
      <x:c r="K131" s="163" t="n">
        <x:v>0</x:v>
      </x:c>
      <x:c r="L131" s="164" t="n">
        <x:v>1197</x:v>
      </x:c>
      <x:c r="M131" s="164" t="n">
        <x:v>205344</x:v>
      </x:c>
      <x:c r="N131" s="164" t="n">
        <x:v>0</x:v>
      </x:c>
      <x:c r="O131" s="165" t="n">
        <x:f>IFERROR(F131/E131,0)</x:f>
        <x:v>0.015544041450777202</x:v>
      </x:c>
      <x:c r="P131" s="166" t="n">
        <x:f>IFERROR(L131/F131,0)</x:f>
        <x:v>7.254545454545455</x:v>
      </x:c>
      <x:c r="Q131" s="165" t="n">
        <x:f>IFERROR(G131/F131,0)</x:f>
        <x:v>0.06060606060606061</x:v>
      </x:c>
      <x:c r="R131" s="164" t="n">
        <x:f>IFERROR(L131/G131,0)</x:f>
        <x:v>119.7</x:v>
      </x:c>
      <x:c r="S131" s="167" t="n">
        <x:f>IFERROR(N131/L131,0)</x:f>
        <x:v>0</x:v>
      </x:c>
      <x:c r="T131" s="165" t="n">
        <x:f>IFERROR(K131/J131,0)</x:f>
        <x:v>0</x:v>
      </x:c>
    </x:row>
    <x:row r="132">
      <x:c r="A132" s="161" t="n">
        <x:v>46054</x:v>
      </x:c>
      <x:c r="B132" s="162" t="str">
        <x:v>Trade Media</x:v>
      </x:c>
      <x:c r="C132" s="162" t="str">
        <x:v>Northeast</x:v>
      </x:c>
      <x:c r="D132" s="162" t="str">
        <x:v>Labeling Systems</x:v>
      </x:c>
      <x:c r="E132" s="163" t="n">
        <x:v>10340</x:v>
      </x:c>
      <x:c r="F132" s="163" t="n">
        <x:v>177</x:v>
      </x:c>
      <x:c r="G132" s="163" t="n">
        <x:v>10</x:v>
      </x:c>
      <x:c r="H132" s="163" t="n">
        <x:v>6</x:v>
      </x:c>
      <x:c r="I132" s="163" t="n">
        <x:v>3</x:v>
      </x:c>
      <x:c r="J132" s="163" t="n">
        <x:v>2</x:v>
      </x:c>
      <x:c r="K132" s="163" t="n">
        <x:v>0</x:v>
      </x:c>
      <x:c r="L132" s="164" t="n">
        <x:v>1284</x:v>
      </x:c>
      <x:c r="M132" s="164" t="n">
        <x:v>71424</x:v>
      </x:c>
      <x:c r="N132" s="164" t="n">
        <x:v>0</x:v>
      </x:c>
      <x:c r="O132" s="165" t="n">
        <x:f>IFERROR(F132/E132,0)</x:f>
        <x:v>0.01711798839458414</x:v>
      </x:c>
      <x:c r="P132" s="166" t="n">
        <x:f>IFERROR(L132/F132,0)</x:f>
        <x:v>7.254237288135593</x:v>
      </x:c>
      <x:c r="Q132" s="165" t="n">
        <x:f>IFERROR(G132/F132,0)</x:f>
        <x:v>0.05649717514124294</x:v>
      </x:c>
      <x:c r="R132" s="164" t="n">
        <x:f>IFERROR(L132/G132,0)</x:f>
        <x:v>128.4</x:v>
      </x:c>
      <x:c r="S132" s="167" t="n">
        <x:f>IFERROR(N132/L132,0)</x:f>
        <x:v>0</x:v>
      </x:c>
      <x:c r="T132" s="165" t="n">
        <x:f>IFERROR(K132/J132,0)</x:f>
        <x:v>0</x:v>
      </x:c>
    </x:row>
    <x:row r="133">
      <x:c r="A133" s="161" t="n">
        <x:v>46054</x:v>
      </x:c>
      <x:c r="B133" s="162" t="str">
        <x:v>Trade Media</x:v>
      </x:c>
      <x:c r="C133" s="162" t="str">
        <x:v>Northeast</x:v>
      </x:c>
      <x:c r="D133" s="162" t="str">
        <x:v>Case Packers</x:v>
      </x:c>
      <x:c r="E133" s="163" t="n">
        <x:v>10065</x:v>
      </x:c>
      <x:c r="F133" s="163" t="n">
        <x:v>188</x:v>
      </x:c>
      <x:c r="G133" s="163" t="n">
        <x:v>11</x:v>
      </x:c>
      <x:c r="H133" s="163" t="n">
        <x:v>7</x:v>
      </x:c>
      <x:c r="I133" s="163" t="n">
        <x:v>4</x:v>
      </x:c>
      <x:c r="J133" s="163" t="n">
        <x:v>2</x:v>
      </x:c>
      <x:c r="K133" s="163" t="n">
        <x:v>0</x:v>
      </x:c>
      <x:c r="L133" s="164" t="n">
        <x:v>1363</x:v>
      </x:c>
      <x:c r="M133" s="164" t="n">
        <x:v>166656</x:v>
      </x:c>
      <x:c r="N133" s="164" t="n">
        <x:v>0</x:v>
      </x:c>
      <x:c r="O133" s="165" t="n">
        <x:f>IFERROR(F133/E133,0)</x:f>
        <x:v>0.01867858917039245</x:v>
      </x:c>
      <x:c r="P133" s="166" t="n">
        <x:f>IFERROR(L133/F133,0)</x:f>
        <x:v>7.25</x:v>
      </x:c>
      <x:c r="Q133" s="165" t="n">
        <x:f>IFERROR(G133/F133,0)</x:f>
        <x:v>0.05851063829787234</x:v>
      </x:c>
      <x:c r="R133" s="164" t="n">
        <x:f>IFERROR(L133/G133,0)</x:f>
        <x:v>123.9090909090909</x:v>
      </x:c>
      <x:c r="S133" s="167" t="n">
        <x:f>IFERROR(N133/L133,0)</x:f>
        <x:v>0</x:v>
      </x:c>
      <x:c r="T133" s="165" t="n">
        <x:f>IFERROR(K133/J133,0)</x:f>
        <x:v>0</x:v>
      </x:c>
    </x:row>
    <x:row r="134">
      <x:c r="A134" s="161" t="n">
        <x:v>46054</x:v>
      </x:c>
      <x:c r="B134" s="162" t="str">
        <x:v>Trade Media</x:v>
      </x:c>
      <x:c r="C134" s="162" t="str">
        <x:v>Midwest</x:v>
      </x:c>
      <x:c r="D134" s="162" t="str">
        <x:v>Pouch Fillers</x:v>
      </x:c>
      <x:c r="E134" s="163" t="n">
        <x:v>10285</x:v>
      </x:c>
      <x:c r="F134" s="163" t="n">
        <x:v>168</x:v>
      </x:c>
      <x:c r="G134" s="163" t="n">
        <x:v>10</x:v>
      </x:c>
      <x:c r="H134" s="163" t="n">
        <x:v>6</x:v>
      </x:c>
      <x:c r="I134" s="163" t="n">
        <x:v>3</x:v>
      </x:c>
      <x:c r="J134" s="163" t="n">
        <x:v>1</x:v>
      </x:c>
      <x:c r="K134" s="163" t="n">
        <x:v>0</x:v>
      </x:c>
      <x:c r="L134" s="164" t="n">
        <x:v>1237</x:v>
      </x:c>
      <x:c r="M134" s="164" t="n">
        <x:v>62648</x:v>
      </x:c>
      <x:c r="N134" s="164" t="n">
        <x:v>0</x:v>
      </x:c>
      <x:c r="O134" s="165" t="n">
        <x:f>IFERROR(F134/E134,0)</x:f>
        <x:v>0.01633446767136607</x:v>
      </x:c>
      <x:c r="P134" s="166" t="n">
        <x:f>IFERROR(L134/F134,0)</x:f>
        <x:v>7.363095238095238</x:v>
      </x:c>
      <x:c r="Q134" s="165" t="n">
        <x:f>IFERROR(G134/F134,0)</x:f>
        <x:v>0.05952380952380952</x:v>
      </x:c>
      <x:c r="R134" s="164" t="n">
        <x:f>IFERROR(L134/G134,0)</x:f>
        <x:v>123.7</x:v>
      </x:c>
      <x:c r="S134" s="167" t="n">
        <x:f>IFERROR(N134/L134,0)</x:f>
        <x:v>0</x:v>
      </x:c>
      <x:c r="T134" s="165" t="n">
        <x:f>IFERROR(K134/J134,0)</x:f>
        <x:v>0</x:v>
      </x:c>
    </x:row>
    <x:row r="135">
      <x:c r="A135" s="161" t="n">
        <x:v>46054</x:v>
      </x:c>
      <x:c r="B135" s="162" t="str">
        <x:v>Trade Media</x:v>
      </x:c>
      <x:c r="C135" s="162" t="str">
        <x:v>Midwest</x:v>
      </x:c>
      <x:c r="D135" s="162" t="str">
        <x:v>Cartoning Machines</x:v>
      </x:c>
      <x:c r="E135" s="163" t="n">
        <x:v>10010</x:v>
      </x:c>
      <x:c r="F135" s="163" t="n">
        <x:v>179</x:v>
      </x:c>
      <x:c r="G135" s="163" t="n">
        <x:v>11</x:v>
      </x:c>
      <x:c r="H135" s="163" t="n">
        <x:v>7</x:v>
      </x:c>
      <x:c r="I135" s="163" t="n">
        <x:v>4</x:v>
      </x:c>
      <x:c r="J135" s="163" t="n">
        <x:v>2</x:v>
      </x:c>
      <x:c r="K135" s="163" t="n">
        <x:v>0</x:v>
      </x:c>
      <x:c r="L135" s="164" t="n">
        <x:v>1318</x:v>
      </x:c>
      <x:c r="M135" s="164" t="n">
        <x:v>210864</x:v>
      </x:c>
      <x:c r="N135" s="164" t="n">
        <x:v>0</x:v>
      </x:c>
      <x:c r="O135" s="165" t="n">
        <x:f>IFERROR(F135/E135,0)</x:f>
        <x:v>0.01788211788211788</x:v>
      </x:c>
      <x:c r="P135" s="166" t="n">
        <x:f>IFERROR(L135/F135,0)</x:f>
        <x:v>7.363128491620111</x:v>
      </x:c>
      <x:c r="Q135" s="165" t="n">
        <x:f>IFERROR(G135/F135,0)</x:f>
        <x:v>0.061452513966480445</x:v>
      </x:c>
      <x:c r="R135" s="164" t="n">
        <x:f>IFERROR(L135/G135,0)</x:f>
        <x:v>119.81818181818181</x:v>
      </x:c>
      <x:c r="S135" s="167" t="n">
        <x:f>IFERROR(N135/L135,0)</x:f>
        <x:v>0</x:v>
      </x:c>
      <x:c r="T135" s="165" t="n">
        <x:f>IFERROR(K135/J135,0)</x:f>
        <x:v>0</x:v>
      </x:c>
    </x:row>
    <x:row r="136">
      <x:c r="A136" s="161" t="n">
        <x:v>46054</x:v>
      </x:c>
      <x:c r="B136" s="162" t="str">
        <x:v>Trade Media</x:v>
      </x:c>
      <x:c r="C136" s="162" t="str">
        <x:v>Midwest</x:v>
      </x:c>
      <x:c r="D136" s="162" t="str">
        <x:v>Labeling Systems</x:v>
      </x:c>
      <x:c r="E136" s="163" t="n">
        <x:v>10945</x:v>
      </x:c>
      <x:c r="F136" s="163" t="n">
        <x:v>170</x:v>
      </x:c>
      <x:c r="G136" s="163" t="n">
        <x:v>10</x:v>
      </x:c>
      <x:c r="H136" s="163" t="n">
        <x:v>6</x:v>
      </x:c>
      <x:c r="I136" s="163" t="n">
        <x:v>3</x:v>
      </x:c>
      <x:c r="J136" s="163" t="n">
        <x:v>2</x:v>
      </x:c>
      <x:c r="K136" s="163" t="n">
        <x:v>0</x:v>
      </x:c>
      <x:c r="L136" s="164" t="n">
        <x:v>1252</x:v>
      </x:c>
      <x:c r="M136" s="164" t="n">
        <x:v>73344</x:v>
      </x:c>
      <x:c r="N136" s="164" t="n">
        <x:v>0</x:v>
      </x:c>
      <x:c r="O136" s="165" t="n">
        <x:f>IFERROR(F136/E136,0)</x:f>
        <x:v>0.015532206486980357</x:v>
      </x:c>
      <x:c r="P136" s="166" t="n">
        <x:f>IFERROR(L136/F136,0)</x:f>
        <x:v>7.364705882352941</x:v>
      </x:c>
      <x:c r="Q136" s="165" t="n">
        <x:f>IFERROR(G136/F136,0)</x:f>
        <x:v>0.058823529411764705</x:v>
      </x:c>
      <x:c r="R136" s="164" t="n">
        <x:f>IFERROR(L136/G136,0)</x:f>
        <x:v>125.2</x:v>
      </x:c>
      <x:c r="S136" s="167" t="n">
        <x:f>IFERROR(N136/L136,0)</x:f>
        <x:v>0</x:v>
      </x:c>
      <x:c r="T136" s="165" t="n">
        <x:f>IFERROR(K136/J136,0)</x:f>
        <x:v>0</x:v>
      </x:c>
    </x:row>
    <x:row r="137">
      <x:c r="A137" s="161" t="n">
        <x:v>46054</x:v>
      </x:c>
      <x:c r="B137" s="162" t="str">
        <x:v>Trade Media</x:v>
      </x:c>
      <x:c r="C137" s="162" t="str">
        <x:v>Midwest</x:v>
      </x:c>
      <x:c r="D137" s="162" t="str">
        <x:v>Case Packers</x:v>
      </x:c>
      <x:c r="E137" s="163" t="n">
        <x:v>10670</x:v>
      </x:c>
      <x:c r="F137" s="163" t="n">
        <x:v>182</x:v>
      </x:c>
      <x:c r="G137" s="163" t="n">
        <x:v>11</x:v>
      </x:c>
      <x:c r="H137" s="163" t="n">
        <x:v>7</x:v>
      </x:c>
      <x:c r="I137" s="163" t="n">
        <x:v>4</x:v>
      </x:c>
      <x:c r="J137" s="163" t="n">
        <x:v>2</x:v>
      </x:c>
      <x:c r="K137" s="163" t="n">
        <x:v>0</x:v>
      </x:c>
      <x:c r="L137" s="164" t="n">
        <x:v>1340</x:v>
      </x:c>
      <x:c r="M137" s="164" t="n">
        <x:v>171136</x:v>
      </x:c>
      <x:c r="N137" s="164" t="n">
        <x:v>0</x:v>
      </x:c>
      <x:c r="O137" s="165" t="n">
        <x:f>IFERROR(F137/E137,0)</x:f>
        <x:v>0.017057169634489222</x:v>
      </x:c>
      <x:c r="P137" s="166" t="n">
        <x:f>IFERROR(L137/F137,0)</x:f>
        <x:v>7.362637362637362</x:v>
      </x:c>
      <x:c r="Q137" s="165" t="n">
        <x:f>IFERROR(G137/F137,0)</x:f>
        <x:v>0.06043956043956044</x:v>
      </x:c>
      <x:c r="R137" s="164" t="n">
        <x:f>IFERROR(L137/G137,0)</x:f>
        <x:v>121.81818181818181</x:v>
      </x:c>
      <x:c r="S137" s="167" t="n">
        <x:f>IFERROR(N137/L137,0)</x:f>
        <x:v>0</x:v>
      </x:c>
      <x:c r="T137" s="165" t="n">
        <x:f>IFERROR(K137/J137,0)</x:f>
        <x:v>0</x:v>
      </x:c>
    </x:row>
    <x:row r="138">
      <x:c r="A138" s="161" t="n">
        <x:v>46054</x:v>
      </x:c>
      <x:c r="B138" s="162" t="str">
        <x:v>Trade Media</x:v>
      </x:c>
      <x:c r="C138" s="162" t="str">
        <x:v>South</x:v>
      </x:c>
      <x:c r="D138" s="162" t="str">
        <x:v>Pouch Fillers</x:v>
      </x:c>
      <x:c r="E138" s="163" t="n">
        <x:v>10890</x:v>
      </x:c>
      <x:c r="F138" s="163" t="n">
        <x:v>204</x:v>
      </x:c>
      <x:c r="G138" s="163" t="n">
        <x:v>12</x:v>
      </x:c>
      <x:c r="H138" s="163" t="n">
        <x:v>7</x:v>
      </x:c>
      <x:c r="I138" s="163" t="n">
        <x:v>4</x:v>
      </x:c>
      <x:c r="J138" s="163" t="n">
        <x:v>2</x:v>
      </x:c>
      <x:c r="K138" s="163" t="n">
        <x:v>1</x:v>
      </x:c>
      <x:c r="L138" s="164" t="n">
        <x:v>1525</x:v>
      </x:c>
      <x:c r="M138" s="164" t="n">
        <x:v>128576</x:v>
      </x:c>
      <x:c r="N138" s="164" t="n">
        <x:v>80360</x:v>
      </x:c>
      <x:c r="O138" s="165" t="n">
        <x:f>IFERROR(F138/E138,0)</x:f>
        <x:v>0.018732782369146005</x:v>
      </x:c>
      <x:c r="P138" s="166" t="n">
        <x:f>IFERROR(L138/F138,0)</x:f>
        <x:v>7.4754901960784315</x:v>
      </x:c>
      <x:c r="Q138" s="165" t="n">
        <x:f>IFERROR(G138/F138,0)</x:f>
        <x:v>0.058823529411764705</x:v>
      </x:c>
      <x:c r="R138" s="164" t="n">
        <x:f>IFERROR(L138/G138,0)</x:f>
        <x:v>127.08333333333333</x:v>
      </x:c>
      <x:c r="S138" s="167" t="n">
        <x:f>IFERROR(N138/L138,0)</x:f>
        <x:v>52.69508196721311</x:v>
      </x:c>
      <x:c r="T138" s="165" t="n">
        <x:f>IFERROR(K138/J138,0)</x:f>
        <x:v>0.5</x:v>
      </x:c>
    </x:row>
    <x:row r="139">
      <x:c r="A139" s="161" t="n">
        <x:v>46054</x:v>
      </x:c>
      <x:c r="B139" s="162" t="str">
        <x:v>Trade Media</x:v>
      </x:c>
      <x:c r="C139" s="162" t="str">
        <x:v>South</x:v>
      </x:c>
      <x:c r="D139" s="162" t="str">
        <x:v>Cartoning Machines</x:v>
      </x:c>
      <x:c r="E139" s="163" t="n">
        <x:v>10615</x:v>
      </x:c>
      <x:c r="F139" s="163" t="n">
        <x:v>173</x:v>
      </x:c>
      <x:c r="G139" s="163" t="n">
        <x:v>10</x:v>
      </x:c>
      <x:c r="H139" s="163" t="n">
        <x:v>6</x:v>
      </x:c>
      <x:c r="I139" s="163" t="n">
        <x:v>4</x:v>
      </x:c>
      <x:c r="J139" s="163" t="n">
        <x:v>2</x:v>
      </x:c>
      <x:c r="K139" s="163" t="n">
        <x:v>1</x:v>
      </x:c>
      <x:c r="L139" s="164" t="n">
        <x:v>1293</x:v>
      </x:c>
      <x:c r="M139" s="164" t="n">
        <x:v>216384</x:v>
      </x:c>
      <x:c r="N139" s="164" t="n">
        <x:v>135240</x:v>
      </x:c>
      <x:c r="O139" s="165" t="n">
        <x:f>IFERROR(F139/E139,0)</x:f>
        <x:v>0.016297691945360338</x:v>
      </x:c>
      <x:c r="P139" s="166" t="n">
        <x:f>IFERROR(L139/F139,0)</x:f>
        <x:v>7.473988439306359</x:v>
      </x:c>
      <x:c r="Q139" s="165" t="n">
        <x:f>IFERROR(G139/F139,0)</x:f>
        <x:v>0.057803468208092484</x:v>
      </x:c>
      <x:c r="R139" s="164" t="n">
        <x:f>IFERROR(L139/G139,0)</x:f>
        <x:v>129.3</x:v>
      </x:c>
      <x:c r="S139" s="167" t="n">
        <x:f>IFERROR(N139/L139,0)</x:f>
        <x:v>104.5939675174014</x:v>
      </x:c>
      <x:c r="T139" s="165" t="n">
        <x:f>IFERROR(K139/J139,0)</x:f>
        <x:v>0.5</x:v>
      </x:c>
    </x:row>
    <x:row r="140">
      <x:c r="A140" s="161" t="n">
        <x:v>46054</x:v>
      </x:c>
      <x:c r="B140" s="162" t="str">
        <x:v>Trade Media</x:v>
      </x:c>
      <x:c r="C140" s="162" t="str">
        <x:v>South</x:v>
      </x:c>
      <x:c r="D140" s="162" t="str">
        <x:v>Labeling Systems</x:v>
      </x:c>
      <x:c r="E140" s="163" t="n">
        <x:v>11550</x:v>
      </x:c>
      <x:c r="F140" s="163" t="n">
        <x:v>207</x:v>
      </x:c>
      <x:c r="G140" s="163" t="n">
        <x:v>12</x:v>
      </x:c>
      <x:c r="H140" s="163" t="n">
        <x:v>8</x:v>
      </x:c>
      <x:c r="I140" s="163" t="n">
        <x:v>5</x:v>
      </x:c>
      <x:c r="J140" s="163" t="n">
        <x:v>3</x:v>
      </x:c>
      <x:c r="K140" s="163" t="n">
        <x:v>1</x:v>
      </x:c>
      <x:c r="L140" s="164" t="n">
        <x:v>1547</x:v>
      </x:c>
      <x:c r="M140" s="164" t="n">
        <x:v>112896</x:v>
      </x:c>
      <x:c r="N140" s="164" t="n">
        <x:v>47040</x:v>
      </x:c>
      <x:c r="O140" s="165" t="n">
        <x:f>IFERROR(F140/E140,0)</x:f>
        <x:v>0.017922077922077922</x:v>
      </x:c>
      <x:c r="P140" s="166" t="n">
        <x:f>IFERROR(L140/F140,0)</x:f>
        <x:v>7.473429951690822</x:v>
      </x:c>
      <x:c r="Q140" s="165" t="n">
        <x:f>IFERROR(G140/F140,0)</x:f>
        <x:v>0.057971014492753624</x:v>
      </x:c>
      <x:c r="R140" s="164" t="n">
        <x:f>IFERROR(L140/G140,0)</x:f>
        <x:v>128.91666666666666</x:v>
      </x:c>
      <x:c r="S140" s="167" t="n">
        <x:f>IFERROR(N140/L140,0)</x:f>
        <x:v>30.407239819004523</x:v>
      </x:c>
      <x:c r="T140" s="165" t="n">
        <x:f>IFERROR(K140/J140,0)</x:f>
        <x:v>0.3333333333333333</x:v>
      </x:c>
    </x:row>
    <x:row r="141">
      <x:c r="A141" s="161" t="n">
        <x:v>46054</x:v>
      </x:c>
      <x:c r="B141" s="162" t="str">
        <x:v>Trade Media</x:v>
      </x:c>
      <x:c r="C141" s="162" t="str">
        <x:v>South</x:v>
      </x:c>
      <x:c r="D141" s="162" t="str">
        <x:v>Case Packers</x:v>
      </x:c>
      <x:c r="E141" s="163" t="n">
        <x:v>11275</x:v>
      </x:c>
      <x:c r="F141" s="163" t="n">
        <x:v>175</x:v>
      </x:c>
      <x:c r="G141" s="163" t="n">
        <x:v>11</x:v>
      </x:c>
      <x:c r="H141" s="163" t="n">
        <x:v>7</x:v>
      </x:c>
      <x:c r="I141" s="163" t="n">
        <x:v>4</x:v>
      </x:c>
      <x:c r="J141" s="163" t="n">
        <x:v>2</x:v>
      </x:c>
      <x:c r="K141" s="163" t="n">
        <x:v>1</x:v>
      </x:c>
      <x:c r="L141" s="164" t="n">
        <x:v>1308</x:v>
      </x:c>
      <x:c r="M141" s="164" t="n">
        <x:v>175616</x:v>
      </x:c>
      <x:c r="N141" s="164" t="n">
        <x:v>109760</x:v>
      </x:c>
      <x:c r="O141" s="165" t="n">
        <x:f>IFERROR(F141/E141,0)</x:f>
        <x:v>0.015521064301552107</x:v>
      </x:c>
      <x:c r="P141" s="166" t="n">
        <x:f>IFERROR(L141/F141,0)</x:f>
        <x:v>7.474285714285714</x:v>
      </x:c>
      <x:c r="Q141" s="165" t="n">
        <x:f>IFERROR(G141/F141,0)</x:f>
        <x:v>0.06285714285714286</x:v>
      </x:c>
      <x:c r="R141" s="164" t="n">
        <x:f>IFERROR(L141/G141,0)</x:f>
        <x:v>118.9090909090909</x:v>
      </x:c>
      <x:c r="S141" s="167" t="n">
        <x:f>IFERROR(N141/L141,0)</x:f>
        <x:v>83.91437308868501</x:v>
      </x:c>
      <x:c r="T141" s="165" t="n">
        <x:f>IFERROR(K141/J141,0)</x:f>
        <x:v>0.5</x:v>
      </x:c>
    </x:row>
    <x:row r="142">
      <x:c r="A142" s="161" t="n">
        <x:v>46054</x:v>
      </x:c>
      <x:c r="B142" s="162" t="str">
        <x:v>Trade Media</x:v>
      </x:c>
      <x:c r="C142" s="162" t="str">
        <x:v>West</x:v>
      </x:c>
      <x:c r="D142" s="162" t="str">
        <x:v>Pouch Fillers</x:v>
      </x:c>
      <x:c r="E142" s="163" t="n">
        <x:v>11495</x:v>
      </x:c>
      <x:c r="F142" s="163" t="n">
        <x:v>197</x:v>
      </x:c>
      <x:c r="G142" s="163" t="n">
        <x:v>11</x:v>
      </x:c>
      <x:c r="H142" s="163" t="n">
        <x:v>6</x:v>
      </x:c>
      <x:c r="I142" s="163" t="n">
        <x:v>4</x:v>
      </x:c>
      <x:c r="J142" s="163" t="n">
        <x:v>2</x:v>
      </x:c>
      <x:c r="K142" s="163" t="n">
        <x:v>1</x:v>
      </x:c>
      <x:c r="L142" s="164" t="n">
        <x:v>1494</x:v>
      </x:c>
      <x:c r="M142" s="164" t="n">
        <x:v>131856</x:v>
      </x:c>
      <x:c r="N142" s="164" t="n">
        <x:v>82410</x:v>
      </x:c>
      <x:c r="O142" s="165" t="n">
        <x:f>IFERROR(F142/E142,0)</x:f>
        <x:v>0.017137886037407568</x:v>
      </x:c>
      <x:c r="P142" s="166" t="n">
        <x:f>IFERROR(L142/F142,0)</x:f>
        <x:v>7.583756345177665</x:v>
      </x:c>
      <x:c r="Q142" s="165" t="n">
        <x:f>IFERROR(G142/F142,0)</x:f>
        <x:v>0.05583756345177665</x:v>
      </x:c>
      <x:c r="R142" s="164" t="n">
        <x:f>IFERROR(L142/G142,0)</x:f>
        <x:v>135.8181818181818</x:v>
      </x:c>
      <x:c r="S142" s="167" t="n">
        <x:f>IFERROR(N142/L142,0)</x:f>
        <x:v>55.16064257028113</x:v>
      </x:c>
      <x:c r="T142" s="165" t="n">
        <x:f>IFERROR(K142/J142,0)</x:f>
        <x:v>0.5</x:v>
      </x:c>
    </x:row>
    <x:row r="143">
      <x:c r="A143" s="161" t="n">
        <x:v>46054</x:v>
      </x:c>
      <x:c r="B143" s="162" t="str">
        <x:v>Trade Media</x:v>
      </x:c>
      <x:c r="C143" s="162" t="str">
        <x:v>West</x:v>
      </x:c>
      <x:c r="D143" s="162" t="str">
        <x:v>Cartoning Machines</x:v>
      </x:c>
      <x:c r="E143" s="163" t="n">
        <x:v>11220</x:v>
      </x:c>
      <x:c r="F143" s="163" t="n">
        <x:v>210</x:v>
      </x:c>
      <x:c r="G143" s="163" t="n">
        <x:v>13</x:v>
      </x:c>
      <x:c r="H143" s="163" t="n">
        <x:v>8</x:v>
      </x:c>
      <x:c r="I143" s="163" t="n">
        <x:v>5</x:v>
      </x:c>
      <x:c r="J143" s="163" t="n">
        <x:v>3</x:v>
      </x:c>
      <x:c r="K143" s="163" t="n">
        <x:v>1</x:v>
      </x:c>
      <x:c r="L143" s="164" t="n">
        <x:v>1593</x:v>
      </x:c>
      <x:c r="M143" s="164" t="n">
        <x:v>332856</x:v>
      </x:c>
      <x:c r="N143" s="164" t="n">
        <x:v>138690</x:v>
      </x:c>
      <x:c r="O143" s="165" t="n">
        <x:f>IFERROR(F143/E143,0)</x:f>
        <x:v>0.01871657754010695</x:v>
      </x:c>
      <x:c r="P143" s="166" t="n">
        <x:f>IFERROR(L143/F143,0)</x:f>
        <x:v>7.585714285714285</x:v>
      </x:c>
      <x:c r="Q143" s="165" t="n">
        <x:f>IFERROR(G143/F143,0)</x:f>
        <x:v>0.06190476190476191</x:v>
      </x:c>
      <x:c r="R143" s="164" t="n">
        <x:f>IFERROR(L143/G143,0)</x:f>
        <x:v>122.53846153846153</x:v>
      </x:c>
      <x:c r="S143" s="167" t="n">
        <x:f>IFERROR(N143/L143,0)</x:f>
        <x:v>87.06214689265536</x:v>
      </x:c>
      <x:c r="T143" s="165" t="n">
        <x:f>IFERROR(K143/J143,0)</x:f>
        <x:v>0.3333333333333333</x:v>
      </x:c>
    </x:row>
    <x:row r="144">
      <x:c r="A144" s="161" t="n">
        <x:v>46054</x:v>
      </x:c>
      <x:c r="B144" s="162" t="str">
        <x:v>Trade Media</x:v>
      </x:c>
      <x:c r="C144" s="162" t="str">
        <x:v>West</x:v>
      </x:c>
      <x:c r="D144" s="162" t="str">
        <x:v>Labeling Systems</x:v>
      </x:c>
      <x:c r="E144" s="163" t="n">
        <x:v>10945</x:v>
      </x:c>
      <x:c r="F144" s="163" t="n">
        <x:v>178</x:v>
      </x:c>
      <x:c r="G144" s="163" t="n">
        <x:v>10</x:v>
      </x:c>
      <x:c r="H144" s="163" t="n">
        <x:v>6</x:v>
      </x:c>
      <x:c r="I144" s="163" t="n">
        <x:v>4</x:v>
      </x:c>
      <x:c r="J144" s="163" t="n">
        <x:v>2</x:v>
      </x:c>
      <x:c r="K144" s="163" t="n">
        <x:v>1</x:v>
      </x:c>
      <x:c r="L144" s="164" t="n">
        <x:v>1350</x:v>
      </x:c>
      <x:c r="M144" s="164" t="n">
        <x:v>77184</x:v>
      </x:c>
      <x:c r="N144" s="164" t="n">
        <x:v>48240</x:v>
      </x:c>
      <x:c r="O144" s="165" t="n">
        <x:f>IFERROR(F144/E144,0)</x:f>
        <x:v>0.01626313385107355</x:v>
      </x:c>
      <x:c r="P144" s="166" t="n">
        <x:f>IFERROR(L144/F144,0)</x:f>
        <x:v>7.584269662921348</x:v>
      </x:c>
      <x:c r="Q144" s="165" t="n">
        <x:f>IFERROR(G144/F144,0)</x:f>
        <x:v>0.056179775280898875</x:v>
      </x:c>
      <x:c r="R144" s="164" t="n">
        <x:f>IFERROR(L144/G144,0)</x:f>
        <x:v>135</x:v>
      </x:c>
      <x:c r="S144" s="167" t="n">
        <x:f>IFERROR(N144/L144,0)</x:f>
        <x:v>35.733333333333334</x:v>
      </x:c>
      <x:c r="T144" s="165" t="n">
        <x:f>IFERROR(K144/J144,0)</x:f>
        <x:v>0.5</x:v>
      </x:c>
    </x:row>
    <x:row r="145">
      <x:c r="A145" s="161" t="n">
        <x:v>46054</x:v>
      </x:c>
      <x:c r="B145" s="162" t="str">
        <x:v>Trade Media</x:v>
      </x:c>
      <x:c r="C145" s="162" t="str">
        <x:v>West</x:v>
      </x:c>
      <x:c r="D145" s="162" t="str">
        <x:v>Case Packers</x:v>
      </x:c>
      <x:c r="E145" s="163" t="n">
        <x:v>11880</x:v>
      </x:c>
      <x:c r="F145" s="163" t="n">
        <x:v>213</x:v>
      </x:c>
      <x:c r="G145" s="163" t="n">
        <x:v>13</x:v>
      </x:c>
      <x:c r="H145" s="163" t="n">
        <x:v>9</x:v>
      </x:c>
      <x:c r="I145" s="163" t="n">
        <x:v>5</x:v>
      </x:c>
      <x:c r="J145" s="163" t="n">
        <x:v>3</x:v>
      </x:c>
      <x:c r="K145" s="163" t="n">
        <x:v>1</x:v>
      </x:c>
      <x:c r="L145" s="164" t="n">
        <x:v>1616</x:v>
      </x:c>
      <x:c r="M145" s="164" t="n">
        <x:v>270144</x:v>
      </x:c>
      <x:c r="N145" s="164" t="n">
        <x:v>112560</x:v>
      </x:c>
      <x:c r="O145" s="165" t="n">
        <x:f>IFERROR(F145/E145,0)</x:f>
        <x:v>0.01792929292929293</x:v>
      </x:c>
      <x:c r="P145" s="166" t="n">
        <x:f>IFERROR(L145/F145,0)</x:f>
        <x:v>7.586854460093897</x:v>
      </x:c>
      <x:c r="Q145" s="165" t="n">
        <x:f>IFERROR(G145/F145,0)</x:f>
        <x:v>0.06103286384976526</x:v>
      </x:c>
      <x:c r="R145" s="164" t="n">
        <x:f>IFERROR(L145/G145,0)</x:f>
        <x:v>124.3076923076923</x:v>
      </x:c>
      <x:c r="S145" s="167" t="n">
        <x:f>IFERROR(N145/L145,0)</x:f>
        <x:v>69.65346534653466</x:v>
      </x:c>
      <x:c r="T145" s="165" t="n">
        <x:f>IFERROR(K145/J145,0)</x:f>
        <x:v>0.3333333333333333</x:v>
      </x:c>
    </x:row>
    <x:row r="146">
      <x:c r="A146" s="161" t="n">
        <x:v>46054</x:v>
      </x:c>
      <x:c r="B146" s="162" t="str">
        <x:v>Retargeting</x:v>
      </x:c>
      <x:c r="C146" s="162" t="str">
        <x:v>Northeast</x:v>
      </x:c>
      <x:c r="D146" s="162" t="str">
        <x:v>Pouch Fillers</x:v>
      </x:c>
      <x:c r="E146" s="163" t="n">
        <x:v>15300</x:v>
      </x:c>
      <x:c r="F146" s="163" t="n">
        <x:v>436</x:v>
      </x:c>
      <x:c r="G146" s="163" t="n">
        <x:v>32</x:v>
      </x:c>
      <x:c r="H146" s="163" t="n">
        <x:v>19</x:v>
      </x:c>
      <x:c r="I146" s="163" t="n">
        <x:v>10</x:v>
      </x:c>
      <x:c r="J146" s="163" t="n">
        <x:v>5</x:v>
      </x:c>
      <x:c r="K146" s="163" t="n">
        <x:v>1</x:v>
      </x:c>
      <x:c r="L146" s="164" t="n">
        <x:v>2051</x:v>
      </x:c>
      <x:c r="M146" s="164" t="n">
        <x:v>305040</x:v>
      </x:c>
      <x:c r="N146" s="164" t="n">
        <x:v>76260</x:v>
      </x:c>
      <x:c r="O146" s="165" t="n">
        <x:f>IFERROR(F146/E146,0)</x:f>
        <x:v>0.028496732026143792</x:v>
      </x:c>
      <x:c r="P146" s="166" t="n">
        <x:f>IFERROR(L146/F146,0)</x:f>
        <x:v>4.704128440366972</x:v>
      </x:c>
      <x:c r="Q146" s="165" t="n">
        <x:f>IFERROR(G146/F146,0)</x:f>
        <x:v>0.07339449541284404</x:v>
      </x:c>
      <x:c r="R146" s="164" t="n">
        <x:f>IFERROR(L146/G146,0)</x:f>
        <x:v>64.09375</x:v>
      </x:c>
      <x:c r="S146" s="167" t="n">
        <x:f>IFERROR(N146/L146,0)</x:f>
        <x:v>37.18186250609459</x:v>
      </x:c>
      <x:c r="T146" s="165" t="n">
        <x:f>IFERROR(K146/J146,0)</x:f>
        <x:v>0.2</x:v>
      </x:c>
    </x:row>
    <x:row r="147">
      <x:c r="A147" s="161" t="n">
        <x:v>46054</x:v>
      </x:c>
      <x:c r="B147" s="162" t="str">
        <x:v>Retargeting</x:v>
      </x:c>
      <x:c r="C147" s="162" t="str">
        <x:v>Northeast</x:v>
      </x:c>
      <x:c r="D147" s="162" t="str">
        <x:v>Cartoning Machines</x:v>
      </x:c>
      <x:c r="E147" s="163" t="n">
        <x:v>16830</x:v>
      </x:c>
      <x:c r="F147" s="163" t="n">
        <x:v>507</x:v>
      </x:c>
      <x:c r="G147" s="163" t="n">
        <x:v>39</x:v>
      </x:c>
      <x:c r="H147" s="163" t="n">
        <x:v>24</x:v>
      </x:c>
      <x:c r="I147" s="163" t="n">
        <x:v>13</x:v>
      </x:c>
      <x:c r="J147" s="163" t="n">
        <x:v>7</x:v>
      </x:c>
      <x:c r="K147" s="163" t="n">
        <x:v>2</x:v>
      </x:c>
      <x:c r="L147" s="164" t="n">
        <x:v>2385</x:v>
      </x:c>
      <x:c r="M147" s="164" t="n">
        <x:v>718704</x:v>
      </x:c>
      <x:c r="N147" s="164" t="n">
        <x:v>256680</x:v>
      </x:c>
      <x:c r="O147" s="165" t="n">
        <x:f>IFERROR(F147/E147,0)</x:f>
        <x:v>0.030124777183600713</x:v>
      </x:c>
      <x:c r="P147" s="166" t="n">
        <x:f>IFERROR(L147/F147,0)</x:f>
        <x:v>4.704142011834319</x:v>
      </x:c>
      <x:c r="Q147" s="165" t="n">
        <x:f>IFERROR(G147/F147,0)</x:f>
        <x:v>0.07692307692307693</x:v>
      </x:c>
      <x:c r="R147" s="164" t="n">
        <x:f>IFERROR(L147/G147,0)</x:f>
        <x:v>61.15384615384615</x:v>
      </x:c>
      <x:c r="S147" s="167" t="n">
        <x:f>IFERROR(N147/L147,0)</x:f>
        <x:v>107.62264150943396</x:v>
      </x:c>
      <x:c r="T147" s="165" t="n">
        <x:f>IFERROR(K147/J147,0)</x:f>
        <x:v>0.2857142857142857</x:v>
      </x:c>
    </x:row>
    <x:row r="148">
      <x:c r="A148" s="161" t="n">
        <x:v>46054</x:v>
      </x:c>
      <x:c r="B148" s="162" t="str">
        <x:v>Retargeting</x:v>
      </x:c>
      <x:c r="C148" s="162" t="str">
        <x:v>Northeast</x:v>
      </x:c>
      <x:c r="D148" s="162" t="str">
        <x:v>Labeling Systems</x:v>
      </x:c>
      <x:c r="E148" s="163" t="n">
        <x:v>16380</x:v>
      </x:c>
      <x:c r="F148" s="163" t="n">
        <x:v>519</x:v>
      </x:c>
      <x:c r="G148" s="163" t="n">
        <x:v>38</x:v>
      </x:c>
      <x:c r="H148" s="163" t="n">
        <x:v>24</x:v>
      </x:c>
      <x:c r="I148" s="163" t="n">
        <x:v>13</x:v>
      </x:c>
      <x:c r="J148" s="163" t="n">
        <x:v>7</x:v>
      </x:c>
      <x:c r="K148" s="163" t="n">
        <x:v>2</x:v>
      </x:c>
      <x:c r="L148" s="164" t="n">
        <x:v>2441</x:v>
      </x:c>
      <x:c r="M148" s="164" t="n">
        <x:v>249984</x:v>
      </x:c>
      <x:c r="N148" s="164" t="n">
        <x:v>89280</x:v>
      </x:c>
      <x:c r="O148" s="165" t="n">
        <x:f>IFERROR(F148/E148,0)</x:f>
        <x:v>0.03168498168498168</x:v>
      </x:c>
      <x:c r="P148" s="166" t="n">
        <x:f>IFERROR(L148/F148,0)</x:f>
        <x:v>4.703275529865126</x:v>
      </x:c>
      <x:c r="Q148" s="165" t="n">
        <x:f>IFERROR(G148/F148,0)</x:f>
        <x:v>0.07321772639691715</x:v>
      </x:c>
      <x:c r="R148" s="164" t="n">
        <x:f>IFERROR(L148/G148,0)</x:f>
        <x:v>64.23684210526316</x:v>
      </x:c>
      <x:c r="S148" s="167" t="n">
        <x:f>IFERROR(N148/L148,0)</x:f>
        <x:v>36.57517410897173</x:v>
      </x:c>
      <x:c r="T148" s="165" t="n">
        <x:f>IFERROR(K148/J148,0)</x:f>
        <x:v>0.2857142857142857</x:v>
      </x:c>
    </x:row>
    <x:row r="149">
      <x:c r="A149" s="161" t="n">
        <x:v>46054</x:v>
      </x:c>
      <x:c r="B149" s="162" t="str">
        <x:v>Retargeting</x:v>
      </x:c>
      <x:c r="C149" s="162" t="str">
        <x:v>Northeast</x:v>
      </x:c>
      <x:c r="D149" s="162" t="str">
        <x:v>Case Packers</x:v>
      </x:c>
      <x:c r="E149" s="163" t="n">
        <x:v>17910</x:v>
      </x:c>
      <x:c r="F149" s="163" t="n">
        <x:v>525</x:v>
      </x:c>
      <x:c r="G149" s="163" t="n">
        <x:v>40</x:v>
      </x:c>
      <x:c r="H149" s="163" t="n">
        <x:v>27</x:v>
      </x:c>
      <x:c r="I149" s="163" t="n">
        <x:v>15</x:v>
      </x:c>
      <x:c r="J149" s="163" t="n">
        <x:v>8</x:v>
      </x:c>
      <x:c r="K149" s="163" t="n">
        <x:v>2</x:v>
      </x:c>
      <x:c r="L149" s="164" t="n">
        <x:v>2470</x:v>
      </x:c>
      <x:c r="M149" s="164" t="n">
        <x:v>666624</x:v>
      </x:c>
      <x:c r="N149" s="164" t="n">
        <x:v>208320</x:v>
      </x:c>
      <x:c r="O149" s="165" t="n">
        <x:f>IFERROR(F149/E149,0)</x:f>
        <x:v>0.02931323283082077</x:v>
      </x:c>
      <x:c r="P149" s="166" t="n">
        <x:f>IFERROR(L149/F149,0)</x:f>
        <x:v>4.704761904761905</x:v>
      </x:c>
      <x:c r="Q149" s="165" t="n">
        <x:f>IFERROR(G149/F149,0)</x:f>
        <x:v>0.0761904761904762</x:v>
      </x:c>
      <x:c r="R149" s="164" t="n">
        <x:f>IFERROR(L149/G149,0)</x:f>
        <x:v>61.75</x:v>
      </x:c>
      <x:c r="S149" s="167" t="n">
        <x:f>IFERROR(N149/L149,0)</x:f>
        <x:v>84.34008097165992</x:v>
      </x:c>
      <x:c r="T149" s="165" t="n">
        <x:f>IFERROR(K149/J149,0)</x:f>
        <x:v>0.25</x:v>
      </x:c>
    </x:row>
    <x:row r="150">
      <x:c r="A150" s="161" t="n">
        <x:v>46054</x:v>
      </x:c>
      <x:c r="B150" s="162" t="str">
        <x:v>Retargeting</x:v>
      </x:c>
      <x:c r="C150" s="162" t="str">
        <x:v>Midwest</x:v>
      </x:c>
      <x:c r="D150" s="162" t="str">
        <x:v>Pouch Fillers</x:v>
      </x:c>
      <x:c r="E150" s="163" t="n">
        <x:v>16290</x:v>
      </x:c>
      <x:c r="F150" s="163" t="n">
        <x:v>503</x:v>
      </x:c>
      <x:c r="G150" s="163" t="n">
        <x:v>37</x:v>
      </x:c>
      <x:c r="H150" s="163" t="n">
        <x:v>22</x:v>
      </x:c>
      <x:c r="I150" s="163" t="n">
        <x:v>13</x:v>
      </x:c>
      <x:c r="J150" s="163" t="n">
        <x:v>6</x:v>
      </x:c>
      <x:c r="K150" s="163" t="n">
        <x:v>1</x:v>
      </x:c>
      <x:c r="L150" s="164" t="n">
        <x:v>2402</x:v>
      </x:c>
      <x:c r="M150" s="164" t="n">
        <x:v>375888</x:v>
      </x:c>
      <x:c r="N150" s="164" t="n">
        <x:v>78310</x:v>
      </x:c>
      <x:c r="O150" s="165" t="n">
        <x:f>IFERROR(F150/E150,0)</x:f>
        <x:v>0.03087783916513198</x:v>
      </x:c>
      <x:c r="P150" s="166" t="n">
        <x:f>IFERROR(L150/F150,0)</x:f>
        <x:v>4.775347912524851</x:v>
      </x:c>
      <x:c r="Q150" s="165" t="n">
        <x:f>IFERROR(G150/F150,0)</x:f>
        <x:v>0.073558648111332</x:v>
      </x:c>
      <x:c r="R150" s="164" t="n">
        <x:f>IFERROR(L150/G150,0)</x:f>
        <x:v>64.91891891891892</x:v>
      </x:c>
      <x:c r="S150" s="167" t="n">
        <x:f>IFERROR(N150/L150,0)</x:f>
        <x:v>32.60199833472107</x:v>
      </x:c>
      <x:c r="T150" s="165" t="n">
        <x:f>IFERROR(K150/J150,0)</x:f>
        <x:v>0.16666666666666666</x:v>
      </x:c>
    </x:row>
    <x:row r="151">
      <x:c r="A151" s="161" t="n">
        <x:v>46054</x:v>
      </x:c>
      <x:c r="B151" s="162" t="str">
        <x:v>Retargeting</x:v>
      </x:c>
      <x:c r="C151" s="162" t="str">
        <x:v>Midwest</x:v>
      </x:c>
      <x:c r="D151" s="162" t="str">
        <x:v>Cartoning Machines</x:v>
      </x:c>
      <x:c r="E151" s="163" t="n">
        <x:v>17820</x:v>
      </x:c>
      <x:c r="F151" s="163" t="n">
        <x:v>508</x:v>
      </x:c>
      <x:c r="G151" s="163" t="n">
        <x:v>39</x:v>
      </x:c>
      <x:c r="H151" s="163" t="n">
        <x:v>24</x:v>
      </x:c>
      <x:c r="I151" s="163" t="n">
        <x:v>14</x:v>
      </x:c>
      <x:c r="J151" s="163" t="n">
        <x:v>7</x:v>
      </x:c>
      <x:c r="K151" s="163" t="n">
        <x:v>2</x:v>
      </x:c>
      <x:c r="L151" s="164" t="n">
        <x:v>2426</x:v>
      </x:c>
      <x:c r="M151" s="164" t="n">
        <x:v>738024</x:v>
      </x:c>
      <x:c r="N151" s="164" t="n">
        <x:v>263580</x:v>
      </x:c>
      <x:c r="O151" s="165" t="n">
        <x:f>IFERROR(F151/E151,0)</x:f>
        <x:v>0.02850729517396184</x:v>
      </x:c>
      <x:c r="P151" s="166" t="n">
        <x:f>IFERROR(L151/F151,0)</x:f>
        <x:v>4.775590551181103</x:v>
      </x:c>
      <x:c r="Q151" s="165" t="n">
        <x:f>IFERROR(G151/F151,0)</x:f>
        <x:v>0.07677165354330709</x:v>
      </x:c>
      <x:c r="R151" s="164" t="n">
        <x:f>IFERROR(L151/G151,0)</x:f>
        <x:v>62.205128205128204</x:v>
      </x:c>
      <x:c r="S151" s="167" t="n">
        <x:f>IFERROR(N151/L151,0)</x:f>
        <x:v>108.6479802143446</x:v>
      </x:c>
      <x:c r="T151" s="165" t="n">
        <x:f>IFERROR(K151/J151,0)</x:f>
        <x:v>0.2857142857142857</x:v>
      </x:c>
    </x:row>
    <x:row r="152">
      <x:c r="A152" s="161" t="n">
        <x:v>46054</x:v>
      </x:c>
      <x:c r="B152" s="162" t="str">
        <x:v>Retargeting</x:v>
      </x:c>
      <x:c r="C152" s="162" t="str">
        <x:v>Midwest</x:v>
      </x:c>
      <x:c r="D152" s="162" t="str">
        <x:v>Labeling Systems</x:v>
      </x:c>
      <x:c r="E152" s="163" t="n">
        <x:v>17370</x:v>
      </x:c>
      <x:c r="F152" s="163" t="n">
        <x:v>523</x:v>
      </x:c>
      <x:c r="G152" s="163" t="n">
        <x:v>39</x:v>
      </x:c>
      <x:c r="H152" s="163" t="n">
        <x:v>25</x:v>
      </x:c>
      <x:c r="I152" s="163" t="n">
        <x:v>14</x:v>
      </x:c>
      <x:c r="J152" s="163" t="n">
        <x:v>8</x:v>
      </x:c>
      <x:c r="K152" s="163" t="n">
        <x:v>2</x:v>
      </x:c>
      <x:c r="L152" s="164" t="n">
        <x:v>2498</x:v>
      </x:c>
      <x:c r="M152" s="164" t="n">
        <x:v>293376</x:v>
      </x:c>
      <x:c r="N152" s="164" t="n">
        <x:v>91680</x:v>
      </x:c>
      <x:c r="O152" s="165" t="n">
        <x:f>IFERROR(F152/E152,0)</x:f>
        <x:v>0.030109383995394357</x:v>
      </x:c>
      <x:c r="P152" s="166" t="n">
        <x:f>IFERROR(L152/F152,0)</x:f>
        <x:v>4.776290630975144</x:v>
      </x:c>
      <x:c r="Q152" s="165" t="n">
        <x:f>IFERROR(G152/F152,0)</x:f>
        <x:v>0.0745697896749522</x:v>
      </x:c>
      <x:c r="R152" s="164" t="n">
        <x:f>IFERROR(L152/G152,0)</x:f>
        <x:v>64.05128205128206</x:v>
      </x:c>
      <x:c r="S152" s="167" t="n">
        <x:f>IFERROR(N152/L152,0)</x:f>
        <x:v>36.701361088871096</x:v>
      </x:c>
      <x:c r="T152" s="165" t="n">
        <x:f>IFERROR(K152/J152,0)</x:f>
        <x:v>0.25</x:v>
      </x:c>
    </x:row>
    <x:row r="153">
      <x:c r="A153" s="161" t="n">
        <x:v>46054</x:v>
      </x:c>
      <x:c r="B153" s="162" t="str">
        <x:v>Retargeting</x:v>
      </x:c>
      <x:c r="C153" s="162" t="str">
        <x:v>Midwest</x:v>
      </x:c>
      <x:c r="D153" s="162" t="str">
        <x:v>Case Packers</x:v>
      </x:c>
      <x:c r="E153" s="163" t="n">
        <x:v>18900</x:v>
      </x:c>
      <x:c r="F153" s="163" t="n">
        <x:v>599</x:v>
      </x:c>
      <x:c r="G153" s="163" t="n">
        <x:v>46</x:v>
      </x:c>
      <x:c r="H153" s="163" t="n">
        <x:v>31</x:v>
      </x:c>
      <x:c r="I153" s="163" t="n">
        <x:v>18</x:v>
      </x:c>
      <x:c r="J153" s="163" t="n">
        <x:v>10</x:v>
      </x:c>
      <x:c r="K153" s="163" t="n">
        <x:v>2</x:v>
      </x:c>
      <x:c r="L153" s="164" t="n">
        <x:v>2861</x:v>
      </x:c>
      <x:c r="M153" s="164" t="n">
        <x:v>855680</x:v>
      </x:c>
      <x:c r="N153" s="164" t="n">
        <x:v>213920</x:v>
      </x:c>
      <x:c r="O153" s="165" t="n">
        <x:f>IFERROR(F153/E153,0)</x:f>
        <x:v>0.03169312169312169</x:v>
      </x:c>
      <x:c r="P153" s="166" t="n">
        <x:f>IFERROR(L153/F153,0)</x:f>
        <x:v>4.776293823038397</x:v>
      </x:c>
      <x:c r="Q153" s="165" t="n">
        <x:f>IFERROR(G153/F153,0)</x:f>
        <x:v>0.07679465776293823</x:v>
      </x:c>
      <x:c r="R153" s="164" t="n">
        <x:f>IFERROR(L153/G153,0)</x:f>
        <x:v>62.19565217391305</x:v>
      </x:c>
      <x:c r="S153" s="167" t="n">
        <x:f>IFERROR(N153/L153,0)</x:f>
        <x:v>74.77105907025515</x:v>
      </x:c>
      <x:c r="T153" s="165" t="n">
        <x:f>IFERROR(K153/J153,0)</x:f>
        <x:v>0.2</x:v>
      </x:c>
    </x:row>
    <x:row r="154">
      <x:c r="A154" s="161" t="n">
        <x:v>46054</x:v>
      </x:c>
      <x:c r="B154" s="162" t="str">
        <x:v>Retargeting</x:v>
      </x:c>
      <x:c r="C154" s="162" t="str">
        <x:v>South</x:v>
      </x:c>
      <x:c r="D154" s="162" t="str">
        <x:v>Pouch Fillers</x:v>
      </x:c>
      <x:c r="E154" s="163" t="n">
        <x:v>17280</x:v>
      </x:c>
      <x:c r="F154" s="163" t="n">
        <x:v>506</x:v>
      </x:c>
      <x:c r="G154" s="163" t="n">
        <x:v>37</x:v>
      </x:c>
      <x:c r="H154" s="163" t="n">
        <x:v>22</x:v>
      </x:c>
      <x:c r="I154" s="163" t="n">
        <x:v>13</x:v>
      </x:c>
      <x:c r="J154" s="163" t="n">
        <x:v>6</x:v>
      </x:c>
      <x:c r="K154" s="163" t="n">
        <x:v>2</x:v>
      </x:c>
      <x:c r="L154" s="164" t="n">
        <x:v>2453</x:v>
      </x:c>
      <x:c r="M154" s="164" t="n">
        <x:v>385728</x:v>
      </x:c>
      <x:c r="N154" s="164" t="n">
        <x:v>160720</x:v>
      </x:c>
      <x:c r="O154" s="165" t="n">
        <x:f>IFERROR(F154/E154,0)</x:f>
        <x:v>0.029282407407407406</x:v>
      </x:c>
      <x:c r="P154" s="166" t="n">
        <x:f>IFERROR(L154/F154,0)</x:f>
        <x:v>4.8478260869565215</x:v>
      </x:c>
      <x:c r="Q154" s="165" t="n">
        <x:f>IFERROR(G154/F154,0)</x:f>
        <x:v>0.07312252964426877</x:v>
      </x:c>
      <x:c r="R154" s="164" t="n">
        <x:f>IFERROR(L154/G154,0)</x:f>
        <x:v>66.29729729729729</x:v>
      </x:c>
      <x:c r="S154" s="167" t="n">
        <x:f>IFERROR(N154/L154,0)</x:f>
        <x:v>65.51977170811251</x:v>
      </x:c>
      <x:c r="T154" s="165" t="n">
        <x:f>IFERROR(K154/J154,0)</x:f>
        <x:v>0.3333333333333333</x:v>
      </x:c>
    </x:row>
    <x:row r="155">
      <x:c r="A155" s="161" t="n">
        <x:v>46054</x:v>
      </x:c>
      <x:c r="B155" s="162" t="str">
        <x:v>Retargeting</x:v>
      </x:c>
      <x:c r="C155" s="162" t="str">
        <x:v>South</x:v>
      </x:c>
      <x:c r="D155" s="162" t="str">
        <x:v>Cartoning Machines</x:v>
      </x:c>
      <x:c r="E155" s="163" t="n">
        <x:v>16830</x:v>
      </x:c>
      <x:c r="F155" s="163" t="n">
        <x:v>520</x:v>
      </x:c>
      <x:c r="G155" s="163" t="n">
        <x:v>40</x:v>
      </x:c>
      <x:c r="H155" s="163" t="n">
        <x:v>25</x:v>
      </x:c>
      <x:c r="I155" s="163" t="n">
        <x:v>15</x:v>
      </x:c>
      <x:c r="J155" s="163" t="n">
        <x:v>8</x:v>
      </x:c>
      <x:c r="K155" s="163" t="n">
        <x:v>2</x:v>
      </x:c>
      <x:c r="L155" s="164" t="n">
        <x:v>2521</x:v>
      </x:c>
      <x:c r="M155" s="164" t="n">
        <x:v>865536</x:v>
      </x:c>
      <x:c r="N155" s="164" t="n">
        <x:v>270480</x:v>
      </x:c>
      <x:c r="O155" s="165" t="n">
        <x:f>IFERROR(F155/E155,0)</x:f>
        <x:v>0.030897207367795602</x:v>
      </x:c>
      <x:c r="P155" s="166" t="n">
        <x:f>IFERROR(L155/F155,0)</x:f>
        <x:v>4.848076923076923</x:v>
      </x:c>
      <x:c r="Q155" s="165" t="n">
        <x:f>IFERROR(G155/F155,0)</x:f>
        <x:v>0.07692307692307693</x:v>
      </x:c>
      <x:c r="R155" s="164" t="n">
        <x:f>IFERROR(L155/G155,0)</x:f>
        <x:v>63.025</x:v>
      </x:c>
      <x:c r="S155" s="167" t="n">
        <x:f>IFERROR(N155/L155,0)</x:f>
        <x:v>107.29075763585878</x:v>
      </x:c>
      <x:c r="T155" s="165" t="n">
        <x:f>IFERROR(K155/J155,0)</x:f>
        <x:v>0.25</x:v>
      </x:c>
    </x:row>
    <x:row r="156">
      <x:c r="A156" s="161" t="n">
        <x:v>46054</x:v>
      </x:c>
      <x:c r="B156" s="162" t="str">
        <x:v>Retargeting</x:v>
      </x:c>
      <x:c r="C156" s="162" t="str">
        <x:v>South</x:v>
      </x:c>
      <x:c r="D156" s="162" t="str">
        <x:v>Labeling Systems</x:v>
      </x:c>
      <x:c r="E156" s="163" t="n">
        <x:v>18360</x:v>
      </x:c>
      <x:c r="F156" s="163" t="n">
        <x:v>523</x:v>
      </x:c>
      <x:c r="G156" s="163" t="n">
        <x:v>39</x:v>
      </x:c>
      <x:c r="H156" s="163" t="n">
        <x:v>25</x:v>
      </x:c>
      <x:c r="I156" s="163" t="n">
        <x:v>15</x:v>
      </x:c>
      <x:c r="J156" s="163" t="n">
        <x:v>8</x:v>
      </x:c>
      <x:c r="K156" s="163" t="n">
        <x:v>2</x:v>
      </x:c>
      <x:c r="L156" s="164" t="n">
        <x:v>2536</x:v>
      </x:c>
      <x:c r="M156" s="164" t="n">
        <x:v>301056</x:v>
      </x:c>
      <x:c r="N156" s="164" t="n">
        <x:v>94080</x:v>
      </x:c>
      <x:c r="O156" s="165" t="n">
        <x:f>IFERROR(F156/E156,0)</x:f>
        <x:v>0.02848583877995643</x:v>
      </x:c>
      <x:c r="P156" s="166" t="n">
        <x:f>IFERROR(L156/F156,0)</x:f>
        <x:v>4.848948374760994</x:v>
      </x:c>
      <x:c r="Q156" s="165" t="n">
        <x:f>IFERROR(G156/F156,0)</x:f>
        <x:v>0.0745697896749522</x:v>
      </x:c>
      <x:c r="R156" s="164" t="n">
        <x:f>IFERROR(L156/G156,0)</x:f>
        <x:v>65.02564102564102</x:v>
      </x:c>
      <x:c r="S156" s="167" t="n">
        <x:f>IFERROR(N156/L156,0)</x:f>
        <x:v>37.09779179810725</x:v>
      </x:c>
      <x:c r="T156" s="165" t="n">
        <x:f>IFERROR(K156/J156,0)</x:f>
        <x:v>0.25</x:v>
      </x:c>
    </x:row>
    <x:row r="157">
      <x:c r="A157" s="161" t="n">
        <x:v>46054</x:v>
      </x:c>
      <x:c r="B157" s="162" t="str">
        <x:v>Retargeting</x:v>
      </x:c>
      <x:c r="C157" s="162" t="str">
        <x:v>South</x:v>
      </x:c>
      <x:c r="D157" s="162" t="str">
        <x:v>Case Packers</x:v>
      </x:c>
      <x:c r="E157" s="163" t="n">
        <x:v>17910</x:v>
      </x:c>
      <x:c r="F157" s="163" t="n">
        <x:v>539</x:v>
      </x:c>
      <x:c r="G157" s="163" t="n">
        <x:v>41</x:v>
      </x:c>
      <x:c r="H157" s="163" t="n">
        <x:v>27</x:v>
      </x:c>
      <x:c r="I157" s="163" t="n">
        <x:v>16</x:v>
      </x:c>
      <x:c r="J157" s="163" t="n">
        <x:v>9</x:v>
      </x:c>
      <x:c r="K157" s="163" t="n">
        <x:v>2</x:v>
      </x:c>
      <x:c r="L157" s="164" t="n">
        <x:v>2613</x:v>
      </x:c>
      <x:c r="M157" s="164" t="n">
        <x:v>790272</x:v>
      </x:c>
      <x:c r="N157" s="164" t="n">
        <x:v>219520</x:v>
      </x:c>
      <x:c r="O157" s="165" t="n">
        <x:f>IFERROR(F157/E157,0)</x:f>
        <x:v>0.03009491903964266</x:v>
      </x:c>
      <x:c r="P157" s="166" t="n">
        <x:f>IFERROR(L157/F157,0)</x:f>
        <x:v>4.8478664192949905</x:v>
      </x:c>
      <x:c r="Q157" s="165" t="n">
        <x:f>IFERROR(G157/F157,0)</x:f>
        <x:v>0.07606679035250463</x:v>
      </x:c>
      <x:c r="R157" s="164" t="n">
        <x:f>IFERROR(L157/G157,0)</x:f>
        <x:v>63.73170731707317</x:v>
      </x:c>
      <x:c r="S157" s="167" t="n">
        <x:f>IFERROR(N157/L157,0)</x:f>
        <x:v>84.0107156525067</x:v>
      </x:c>
      <x:c r="T157" s="165" t="n">
        <x:f>IFERROR(K157/J157,0)</x:f>
        <x:v>0.2222222222222222</x:v>
      </x:c>
    </x:row>
    <x:row r="158">
      <x:c r="A158" s="161" t="n">
        <x:v>46054</x:v>
      </x:c>
      <x:c r="B158" s="162" t="str">
        <x:v>Retargeting</x:v>
      </x:c>
      <x:c r="C158" s="162" t="str">
        <x:v>West</x:v>
      </x:c>
      <x:c r="D158" s="162" t="str">
        <x:v>Pouch Fillers</x:v>
      </x:c>
      <x:c r="E158" s="163" t="n">
        <x:v>18270</x:v>
      </x:c>
      <x:c r="F158" s="163" t="n">
        <x:v>579</x:v>
      </x:c>
      <x:c r="G158" s="163" t="n">
        <x:v>43</x:v>
      </x:c>
      <x:c r="H158" s="163" t="n">
        <x:v>25</x:v>
      </x:c>
      <x:c r="I158" s="163" t="n">
        <x:v>15</x:v>
      </x:c>
      <x:c r="J158" s="163" t="n">
        <x:v>7</x:v>
      </x:c>
      <x:c r="K158" s="163" t="n">
        <x:v>2</x:v>
      </x:c>
      <x:c r="L158" s="164" t="n">
        <x:v>2849</x:v>
      </x:c>
      <x:c r="M158" s="164" t="n">
        <x:v>461496</x:v>
      </x:c>
      <x:c r="N158" s="164" t="n">
        <x:v>164820</x:v>
      </x:c>
      <x:c r="O158" s="165" t="n">
        <x:f>IFERROR(F158/E158,0)</x:f>
        <x:v>0.03169129720853859</x:v>
      </x:c>
      <x:c r="P158" s="166" t="n">
        <x:f>IFERROR(L158/F158,0)</x:f>
        <x:v>4.920552677029361</x:v>
      </x:c>
      <x:c r="Q158" s="165" t="n">
        <x:f>IFERROR(G158/F158,0)</x:f>
        <x:v>0.07426597582037997</x:v>
      </x:c>
      <x:c r="R158" s="164" t="n">
        <x:f>IFERROR(L158/G158,0)</x:f>
        <x:v>66.25581395348837</x:v>
      </x:c>
      <x:c r="S158" s="167" t="n">
        <x:f>IFERROR(N158/L158,0)</x:f>
        <x:v>57.85187785187785</x:v>
      </x:c>
      <x:c r="T158" s="165" t="n">
        <x:f>IFERROR(K158/J158,0)</x:f>
        <x:v>0.2857142857142857</x:v>
      </x:c>
    </x:row>
    <x:row r="159">
      <x:c r="A159" s="161" t="n">
        <x:v>46054</x:v>
      </x:c>
      <x:c r="B159" s="162" t="str">
        <x:v>Retargeting</x:v>
      </x:c>
      <x:c r="C159" s="162" t="str">
        <x:v>West</x:v>
      </x:c>
      <x:c r="D159" s="162" t="str">
        <x:v>Cartoning Machines</x:v>
      </x:c>
      <x:c r="E159" s="163" t="n">
        <x:v>17820</x:v>
      </x:c>
      <x:c r="F159" s="163" t="n">
        <x:v>522</x:v>
      </x:c>
      <x:c r="G159" s="163" t="n">
        <x:v>40</x:v>
      </x:c>
      <x:c r="H159" s="163" t="n">
        <x:v>25</x:v>
      </x:c>
      <x:c r="I159" s="163" t="n">
        <x:v>15</x:v>
      </x:c>
      <x:c r="J159" s="163" t="n">
        <x:v>8</x:v>
      </x:c>
      <x:c r="K159" s="163" t="n">
        <x:v>2</x:v>
      </x:c>
      <x:c r="L159" s="164" t="n">
        <x:v>2568</x:v>
      </x:c>
      <x:c r="M159" s="164" t="n">
        <x:v>887616</x:v>
      </x:c>
      <x:c r="N159" s="164" t="n">
        <x:v>277380</x:v>
      </x:c>
      <x:c r="O159" s="165" t="n">
        <x:f>IFERROR(F159/E159,0)</x:f>
        <x:v>0.029292929292929294</x:v>
      </x:c>
      <x:c r="P159" s="166" t="n">
        <x:f>IFERROR(L159/F159,0)</x:f>
        <x:v>4.919540229885057</x:v>
      </x:c>
      <x:c r="Q159" s="165" t="n">
        <x:f>IFERROR(G159/F159,0)</x:f>
        <x:v>0.07662835249042145</x:v>
      </x:c>
      <x:c r="R159" s="164" t="n">
        <x:f>IFERROR(L159/G159,0)</x:f>
        <x:v>64.2</x:v>
      </x:c>
      <x:c r="S159" s="167" t="n">
        <x:f>IFERROR(N159/L159,0)</x:f>
        <x:v>108.01401869158879</x:v>
      </x:c>
      <x:c r="T159" s="165" t="n">
        <x:f>IFERROR(K159/J159,0)</x:f>
        <x:v>0.25</x:v>
      </x:c>
    </x:row>
    <x:row r="160">
      <x:c r="A160" s="161" t="n">
        <x:v>46054</x:v>
      </x:c>
      <x:c r="B160" s="162" t="str">
        <x:v>Retargeting</x:v>
      </x:c>
      <x:c r="C160" s="162" t="str">
        <x:v>West</x:v>
      </x:c>
      <x:c r="D160" s="162" t="str">
        <x:v>Labeling Systems</x:v>
      </x:c>
      <x:c r="E160" s="163" t="n">
        <x:v>19350</x:v>
      </x:c>
      <x:c r="F160" s="163" t="n">
        <x:v>598</x:v>
      </x:c>
      <x:c r="G160" s="163" t="n">
        <x:v>44</x:v>
      </x:c>
      <x:c r="H160" s="163" t="n">
        <x:v>28</x:v>
      </x:c>
      <x:c r="I160" s="163" t="n">
        <x:v>17</x:v>
      </x:c>
      <x:c r="J160" s="163" t="n">
        <x:v>9</x:v>
      </x:c>
      <x:c r="K160" s="163" t="n">
        <x:v>2</x:v>
      </x:c>
      <x:c r="L160" s="164" t="n">
        <x:v>2942</x:v>
      </x:c>
      <x:c r="M160" s="164" t="n">
        <x:v>347328</x:v>
      </x:c>
      <x:c r="N160" s="164" t="n">
        <x:v>96480</x:v>
      </x:c>
      <x:c r="O160" s="165" t="n">
        <x:f>IFERROR(F160/E160,0)</x:f>
        <x:v>0.03090439276485788</x:v>
      </x:c>
      <x:c r="P160" s="166" t="n">
        <x:f>IFERROR(L160/F160,0)</x:f>
        <x:v>4.919732441471572</x:v>
      </x:c>
      <x:c r="Q160" s="165" t="n">
        <x:f>IFERROR(G160/F160,0)</x:f>
        <x:v>0.07357859531772576</x:v>
      </x:c>
      <x:c r="R160" s="164" t="n">
        <x:f>IFERROR(L160/G160,0)</x:f>
        <x:v>66.86363636363636</x:v>
      </x:c>
      <x:c r="S160" s="167" t="n">
        <x:f>IFERROR(N160/L160,0)</x:f>
        <x:v>32.79401767505099</x:v>
      </x:c>
      <x:c r="T160" s="165" t="n">
        <x:f>IFERROR(K160/J160,0)</x:f>
        <x:v>0.2222222222222222</x:v>
      </x:c>
    </x:row>
    <x:row r="161">
      <x:c r="A161" s="161" t="n">
        <x:v>46054</x:v>
      </x:c>
      <x:c r="B161" s="162" t="str">
        <x:v>Retargeting</x:v>
      </x:c>
      <x:c r="C161" s="162" t="str">
        <x:v>West</x:v>
      </x:c>
      <x:c r="D161" s="162" t="str">
        <x:v>Case Packers</x:v>
      </x:c>
      <x:c r="E161" s="163" t="n">
        <x:v>18900</x:v>
      </x:c>
      <x:c r="F161" s="163" t="n">
        <x:v>539</x:v>
      </x:c>
      <x:c r="G161" s="163" t="n">
        <x:v>41</x:v>
      </x:c>
      <x:c r="H161" s="163" t="n">
        <x:v>27</x:v>
      </x:c>
      <x:c r="I161" s="163" t="n">
        <x:v>16</x:v>
      </x:c>
      <x:c r="J161" s="163" t="n">
        <x:v>9</x:v>
      </x:c>
      <x:c r="K161" s="163" t="n">
        <x:v>2</x:v>
      </x:c>
      <x:c r="L161" s="164" t="n">
        <x:v>2652</x:v>
      </x:c>
      <x:c r="M161" s="164" t="n">
        <x:v>810432</x:v>
      </x:c>
      <x:c r="N161" s="164" t="n">
        <x:v>225120</x:v>
      </x:c>
      <x:c r="O161" s="165" t="n">
        <x:f>IFERROR(F161/E161,0)</x:f>
        <x:v>0.02851851851851852</x:v>
      </x:c>
      <x:c r="P161" s="166" t="n">
        <x:f>IFERROR(L161/F161,0)</x:f>
        <x:v>4.920222634508349</x:v>
      </x:c>
      <x:c r="Q161" s="165" t="n">
        <x:f>IFERROR(G161/F161,0)</x:f>
        <x:v>0.07606679035250463</x:v>
      </x:c>
      <x:c r="R161" s="164" t="n">
        <x:f>IFERROR(L161/G161,0)</x:f>
        <x:v>64.6829268292683</x:v>
      </x:c>
      <x:c r="S161" s="167" t="n">
        <x:f>IFERROR(N161/L161,0)</x:f>
        <x:v>84.8868778280543</x:v>
      </x:c>
      <x:c r="T161" s="165" t="n">
        <x:f>IFERROR(K161/J161,0)</x:f>
        <x:v>0.2222222222222222</x:v>
      </x:c>
    </x:row>
    <x:row r="162">
      <x:c r="A162" s="161" t="n">
        <x:v>46082</x:v>
      </x:c>
      <x:c r="B162" s="162" t="str">
        <x:v>Google Search</x:v>
      </x:c>
      <x:c r="C162" s="162" t="str">
        <x:v>Northeast</x:v>
      </x:c>
      <x:c r="D162" s="162" t="str">
        <x:v>Pouch Fillers</x:v>
      </x:c>
      <x:c r="E162" s="163" t="n">
        <x:v>23760</x:v>
      </x:c>
      <x:c r="F162" s="163" t="n">
        <x:v>965</x:v>
      </x:c>
      <x:c r="G162" s="163" t="n">
        <x:v>65</x:v>
      </x:c>
      <x:c r="H162" s="163" t="n">
        <x:v>39</x:v>
      </x:c>
      <x:c r="I162" s="163" t="n">
        <x:v>21</x:v>
      </x:c>
      <x:c r="J162" s="163" t="n">
        <x:v>10</x:v>
      </x:c>
      <x:c r="K162" s="163" t="n">
        <x:v>3</x:v>
      </x:c>
      <x:c r="L162" s="164" t="n">
        <x:v>6562</x:v>
      </x:c>
      <x:c r="M162" s="164" t="n">
        <x:v>625332</x:v>
      </x:c>
      <x:c r="N162" s="164" t="n">
        <x:v>228780</x:v>
      </x:c>
      <x:c r="O162" s="165" t="n">
        <x:f>IFERROR(F162/E162,0)</x:f>
        <x:v>0.04061447811447812</x:v>
      </x:c>
      <x:c r="P162" s="166" t="n">
        <x:f>IFERROR(L162/F162,0)</x:f>
        <x:v>6.8</x:v>
      </x:c>
      <x:c r="Q162" s="165" t="n">
        <x:f>IFERROR(G162/F162,0)</x:f>
        <x:v>0.06735751295336788</x:v>
      </x:c>
      <x:c r="R162" s="164" t="n">
        <x:f>IFERROR(L162/G162,0)</x:f>
        <x:v>100.95384615384616</x:v>
      </x:c>
      <x:c r="S162" s="167" t="n">
        <x:f>IFERROR(N162/L162,0)</x:f>
        <x:v>34.86437061871381</x:v>
      </x:c>
      <x:c r="T162" s="165" t="n">
        <x:f>IFERROR(K162/J162,0)</x:f>
        <x:v>0.3</x:v>
      </x:c>
    </x:row>
    <x:row r="163">
      <x:c r="A163" s="161" t="n">
        <x:v>46082</x:v>
      </x:c>
      <x:c r="B163" s="162" t="str">
        <x:v>Google Search</x:v>
      </x:c>
      <x:c r="C163" s="162" t="str">
        <x:v>Northeast</x:v>
      </x:c>
      <x:c r="D163" s="162" t="str">
        <x:v>Cartoning Machines</x:v>
      </x:c>
      <x:c r="E163" s="163" t="n">
        <x:v>23160</x:v>
      </x:c>
      <x:c r="F163" s="163" t="n">
        <x:v>977</x:v>
      </x:c>
      <x:c r="G163" s="163" t="n">
        <x:v>67</x:v>
      </x:c>
      <x:c r="H163" s="163" t="n">
        <x:v>42</x:v>
      </x:c>
      <x:c r="I163" s="163" t="n">
        <x:v>23</x:v>
      </x:c>
      <x:c r="J163" s="163" t="n">
        <x:v>12</x:v>
      </x:c>
      <x:c r="K163" s="163" t="n">
        <x:v>3</x:v>
      </x:c>
      <x:c r="L163" s="164" t="n">
        <x:v>6644</x:v>
      </x:c>
      <x:c r="M163" s="164" t="n">
        <x:v>1262866</x:v>
      </x:c>
      <x:c r="N163" s="164" t="n">
        <x:v>385020</x:v>
      </x:c>
      <x:c r="O163" s="165" t="n">
        <x:f>IFERROR(F163/E163,0)</x:f>
        <x:v>0.042184801381692574</x:v>
      </x:c>
      <x:c r="P163" s="166" t="n">
        <x:f>IFERROR(L163/F163,0)</x:f>
        <x:v>6.800409416581371</x:v>
      </x:c>
      <x:c r="Q163" s="165" t="n">
        <x:f>IFERROR(G163/F163,0)</x:f>
        <x:v>0.06857727737973388</x:v>
      </x:c>
      <x:c r="R163" s="164" t="n">
        <x:f>IFERROR(L163/G163,0)</x:f>
        <x:v>99.16417910447761</x:v>
      </x:c>
      <x:c r="S163" s="167" t="n">
        <x:f>IFERROR(N163/L163,0)</x:f>
        <x:v>57.95003010234798</x:v>
      </x:c>
      <x:c r="T163" s="165" t="n">
        <x:f>IFERROR(K163/J163,0)</x:f>
        <x:v>0.25</x:v>
      </x:c>
    </x:row>
    <x:row r="164">
      <x:c r="A164" s="161" t="n">
        <x:v>46082</x:v>
      </x:c>
      <x:c r="B164" s="162" t="str">
        <x:v>Google Search</x:v>
      </x:c>
      <x:c r="C164" s="162" t="str">
        <x:v>Northeast</x:v>
      </x:c>
      <x:c r="D164" s="162" t="str">
        <x:v>Labeling Systems</x:v>
      </x:c>
      <x:c r="E164" s="163" t="n">
        <x:v>25200</x:v>
      </x:c>
      <x:c r="F164" s="163" t="n">
        <x:v>1003</x:v>
      </x:c>
      <x:c r="G164" s="163" t="n">
        <x:v>67</x:v>
      </x:c>
      <x:c r="H164" s="163" t="n">
        <x:v>44</x:v>
      </x:c>
      <x:c r="I164" s="163" t="n">
        <x:v>24</x:v>
      </x:c>
      <x:c r="J164" s="163" t="n">
        <x:v>13</x:v>
      </x:c>
      <x:c r="K164" s="163" t="n">
        <x:v>3</x:v>
      </x:c>
      <x:c r="L164" s="164" t="n">
        <x:v>6820</x:v>
      </x:c>
      <x:c r="M164" s="164" t="n">
        <x:v>475862</x:v>
      </x:c>
      <x:c r="N164" s="164" t="n">
        <x:v>133920</x:v>
      </x:c>
      <x:c r="O164" s="165" t="n">
        <x:f>IFERROR(F164/E164,0)</x:f>
        <x:v>0.0398015873015873</x:v>
      </x:c>
      <x:c r="P164" s="166" t="n">
        <x:f>IFERROR(L164/F164,0)</x:f>
        <x:v>6.799601196410768</x:v>
      </x:c>
      <x:c r="Q164" s="165" t="n">
        <x:f>IFERROR(G164/F164,0)</x:f>
        <x:v>0.06679960119641076</x:v>
      </x:c>
      <x:c r="R164" s="164" t="n">
        <x:f>IFERROR(L164/G164,0)</x:f>
        <x:v>101.7910447761194</x:v>
      </x:c>
      <x:c r="S164" s="167" t="n">
        <x:f>IFERROR(N164/L164,0)</x:f>
        <x:v>19.636363636363637</x:v>
      </x:c>
      <x:c r="T164" s="165" t="n">
        <x:f>IFERROR(K164/J164,0)</x:f>
        <x:v>0.23076923076923078</x:v>
      </x:c>
    </x:row>
    <x:row r="165">
      <x:c r="A165" s="161" t="n">
        <x:v>46082</x:v>
      </x:c>
      <x:c r="B165" s="162" t="str">
        <x:v>Google Search</x:v>
      </x:c>
      <x:c r="C165" s="162" t="str">
        <x:v>Northeast</x:v>
      </x:c>
      <x:c r="D165" s="162" t="str">
        <x:v>Case Packers</x:v>
      </x:c>
      <x:c r="E165" s="163" t="n">
        <x:v>24600</x:v>
      </x:c>
      <x:c r="F165" s="163" t="n">
        <x:v>1018</x:v>
      </x:c>
      <x:c r="G165" s="163" t="n">
        <x:v>70</x:v>
      </x:c>
      <x:c r="H165" s="163" t="n">
        <x:v>47</x:v>
      </x:c>
      <x:c r="I165" s="163" t="n">
        <x:v>26</x:v>
      </x:c>
      <x:c r="J165" s="163" t="n">
        <x:v>15</x:v>
      </x:c>
      <x:c r="K165" s="163" t="n">
        <x:v>4</x:v>
      </x:c>
      <x:c r="L165" s="164" t="n">
        <x:v>6922</x:v>
      </x:c>
      <x:c r="M165" s="164" t="n">
        <x:v>1281168</x:v>
      </x:c>
      <x:c r="N165" s="164" t="n">
        <x:v>416640</x:v>
      </x:c>
      <x:c r="O165" s="165" t="n">
        <x:f>IFERROR(F165/E165,0)</x:f>
        <x:v>0.04138211382113821</x:v>
      </x:c>
      <x:c r="P165" s="166" t="n">
        <x:f>IFERROR(L165/F165,0)</x:f>
        <x:v>6.799607072691552</x:v>
      </x:c>
      <x:c r="Q165" s="165" t="n">
        <x:f>IFERROR(G165/F165,0)</x:f>
        <x:v>0.068762278978389</x:v>
      </x:c>
      <x:c r="R165" s="164" t="n">
        <x:f>IFERROR(L165/G165,0)</x:f>
        <x:v>98.88571428571429</x:v>
      </x:c>
      <x:c r="S165" s="167" t="n">
        <x:f>IFERROR(N165/L165,0)</x:f>
        <x:v>60.190696330540305</x:v>
      </x:c>
      <x:c r="T165" s="165" t="n">
        <x:f>IFERROR(K165/J165,0)</x:f>
        <x:v>0.26666666666666666</x:v>
      </x:c>
    </x:row>
    <x:row r="166">
      <x:c r="A166" s="161" t="n">
        <x:v>46082</x:v>
      </x:c>
      <x:c r="B166" s="162" t="str">
        <x:v>Google Search</x:v>
      </x:c>
      <x:c r="C166" s="162" t="str">
        <x:v>Midwest</x:v>
      </x:c>
      <x:c r="D166" s="162" t="str">
        <x:v>Pouch Fillers</x:v>
      </x:c>
      <x:c r="E166" s="163" t="n">
        <x:v>22440</x:v>
      </x:c>
      <x:c r="F166" s="163" t="n">
        <x:v>875</x:v>
      </x:c>
      <x:c r="G166" s="163" t="n">
        <x:v>59</x:v>
      </x:c>
      <x:c r="H166" s="163" t="n">
        <x:v>35</x:v>
      </x:c>
      <x:c r="I166" s="163" t="n">
        <x:v>20</x:v>
      </x:c>
      <x:c r="J166" s="163" t="n">
        <x:v>10</x:v>
      </x:c>
      <x:c r="K166" s="163" t="n">
        <x:v>3</x:v>
      </x:c>
      <x:c r="L166" s="164" t="n">
        <x:v>6039</x:v>
      </x:c>
      <x:c r="M166" s="164" t="n">
        <x:v>642142</x:v>
      </x:c>
      <x:c r="N166" s="164" t="n">
        <x:v>234930</x:v>
      </x:c>
      <x:c r="O166" s="165" t="n">
        <x:f>IFERROR(F166/E166,0)</x:f>
        <x:v>0.03899286987522282</x:v>
      </x:c>
      <x:c r="P166" s="166" t="n">
        <x:f>IFERROR(L166/F166,0)</x:f>
        <x:v>6.901714285714286</x:v>
      </x:c>
      <x:c r="Q166" s="165" t="n">
        <x:f>IFERROR(G166/F166,0)</x:f>
        <x:v>0.06742857142857143</x:v>
      </x:c>
      <x:c r="R166" s="164" t="n">
        <x:f>IFERROR(L166/G166,0)</x:f>
        <x:v>102.35593220338983</x:v>
      </x:c>
      <x:c r="S166" s="167" t="n">
        <x:f>IFERROR(N166/L166,0)</x:f>
        <x:v>38.90213611525087</x:v>
      </x:c>
      <x:c r="T166" s="165" t="n">
        <x:f>IFERROR(K166/J166,0)</x:f>
        <x:v>0.3</x:v>
      </x:c>
    </x:row>
    <x:row r="167">
      <x:c r="A167" s="161" t="n">
        <x:v>46082</x:v>
      </x:c>
      <x:c r="B167" s="162" t="str">
        <x:v>Google Search</x:v>
      </x:c>
      <x:c r="C167" s="162" t="str">
        <x:v>Midwest</x:v>
      </x:c>
      <x:c r="D167" s="162" t="str">
        <x:v>Cartoning Machines</x:v>
      </x:c>
      <x:c r="E167" s="163" t="n">
        <x:v>24480</x:v>
      </x:c>
      <x:c r="F167" s="163" t="n">
        <x:v>994</x:v>
      </x:c>
      <x:c r="G167" s="163" t="n">
        <x:v>69</x:v>
      </x:c>
      <x:c r="H167" s="163" t="n">
        <x:v>43</x:v>
      </x:c>
      <x:c r="I167" s="163" t="n">
        <x:v>25</x:v>
      </x:c>
      <x:c r="J167" s="163" t="n">
        <x:v>13</x:v>
      </x:c>
      <x:c r="K167" s="163" t="n">
        <x:v>4</x:v>
      </x:c>
      <x:c r="L167" s="164" t="n">
        <x:v>6861</x:v>
      </x:c>
      <x:c r="M167" s="164" t="n">
        <x:v>1404881</x:v>
      </x:c>
      <x:c r="N167" s="164" t="n">
        <x:v>527160</x:v>
      </x:c>
      <x:c r="O167" s="165" t="n">
        <x:f>IFERROR(F167/E167,0)</x:f>
        <x:v>0.040604575163398694</x:v>
      </x:c>
      <x:c r="P167" s="166" t="n">
        <x:f>IFERROR(L167/F167,0)</x:f>
        <x:v>6.902414486921529</x:v>
      </x:c>
      <x:c r="Q167" s="165" t="n">
        <x:f>IFERROR(G167/F167,0)</x:f>
        <x:v>0.06941649899396378</x:v>
      </x:c>
      <x:c r="R167" s="164" t="n">
        <x:f>IFERROR(L167/G167,0)</x:f>
        <x:v>99.43478260869566</x:v>
      </x:c>
      <x:c r="S167" s="167" t="n">
        <x:f>IFERROR(N167/L167,0)</x:f>
        <x:v>76.83428071709663</x:v>
      </x:c>
      <x:c r="T167" s="165" t="n">
        <x:f>IFERROR(K167/J167,0)</x:f>
        <x:v>0.3076923076923077</x:v>
      </x:c>
    </x:row>
    <x:row r="168">
      <x:c r="A168" s="161" t="n">
        <x:v>46082</x:v>
      </x:c>
      <x:c r="B168" s="162" t="str">
        <x:v>Google Search</x:v>
      </x:c>
      <x:c r="C168" s="162" t="str">
        <x:v>Midwest</x:v>
      </x:c>
      <x:c r="D168" s="162" t="str">
        <x:v>Labeling Systems</x:v>
      </x:c>
      <x:c r="E168" s="163" t="n">
        <x:v>23880</x:v>
      </x:c>
      <x:c r="F168" s="163" t="n">
        <x:v>1008</x:v>
      </x:c>
      <x:c r="G168" s="163" t="n">
        <x:v>68</x:v>
      </x:c>
      <x:c r="H168" s="163" t="n">
        <x:v>44</x:v>
      </x:c>
      <x:c r="I168" s="163" t="n">
        <x:v>25</x:v>
      </x:c>
      <x:c r="J168" s="163" t="n">
        <x:v>14</x:v>
      </x:c>
      <x:c r="K168" s="163" t="n">
        <x:v>4</x:v>
      </x:c>
      <x:c r="L168" s="164" t="n">
        <x:v>6957</x:v>
      </x:c>
      <x:c r="M168" s="164" t="n">
        <x:v>526243</x:v>
      </x:c>
      <x:c r="N168" s="164" t="n">
        <x:v>183360</x:v>
      </x:c>
      <x:c r="O168" s="165" t="n">
        <x:f>IFERROR(F168/E168,0)</x:f>
        <x:v>0.04221105527638191</x:v>
      </x:c>
      <x:c r="P168" s="166" t="n">
        <x:f>IFERROR(L168/F168,0)</x:f>
        <x:v>6.901785714285714</x:v>
      </x:c>
      <x:c r="Q168" s="165" t="n">
        <x:f>IFERROR(G168/F168,0)</x:f>
        <x:v>0.06746031746031746</x:v>
      </x:c>
      <x:c r="R168" s="164" t="n">
        <x:f>IFERROR(L168/G168,0)</x:f>
        <x:v>102.30882352941177</x:v>
      </x:c>
      <x:c r="S168" s="167" t="n">
        <x:f>IFERROR(N168/L168,0)</x:f>
        <x:v>26.35618801207417</x:v>
      </x:c>
      <x:c r="T168" s="165" t="n">
        <x:f>IFERROR(K168/J168,0)</x:f>
        <x:v>0.2857142857142857</x:v>
      </x:c>
    </x:row>
    <x:row r="169">
      <x:c r="A169" s="161" t="n">
        <x:v>46082</x:v>
      </x:c>
      <x:c r="B169" s="162" t="str">
        <x:v>Google Search</x:v>
      </x:c>
      <x:c r="C169" s="162" t="str">
        <x:v>Midwest</x:v>
      </x:c>
      <x:c r="D169" s="162" t="str">
        <x:v>Case Packers</x:v>
      </x:c>
      <x:c r="E169" s="163" t="n">
        <x:v>25920</x:v>
      </x:c>
      <x:c r="F169" s="163" t="n">
        <x:v>1032</x:v>
      </x:c>
      <x:c r="G169" s="163" t="n">
        <x:v>71</x:v>
      </x:c>
      <x:c r="H169" s="163" t="n">
        <x:v>48</x:v>
      </x:c>
      <x:c r="I169" s="163" t="n">
        <x:v>27</x:v>
      </x:c>
      <x:c r="J169" s="163" t="n">
        <x:v>15</x:v>
      </x:c>
      <x:c r="K169" s="163" t="n">
        <x:v>4</x:v>
      </x:c>
      <x:c r="L169" s="164" t="n">
        <x:v>7123</x:v>
      </x:c>
      <x:c r="M169" s="164" t="n">
        <x:v>1315608</x:v>
      </x:c>
      <x:c r="N169" s="164" t="n">
        <x:v>427840</x:v>
      </x:c>
      <x:c r="O169" s="165" t="n">
        <x:f>IFERROR(F169/E169,0)</x:f>
        <x:v>0.03981481481481482</x:v>
      </x:c>
      <x:c r="P169" s="166" t="n">
        <x:f>IFERROR(L169/F169,0)</x:f>
        <x:v>6.9021317829457365</x:v>
      </x:c>
      <x:c r="Q169" s="165" t="n">
        <x:f>IFERROR(G169/F169,0)</x:f>
        <x:v>0.0687984496124031</x:v>
      </x:c>
      <x:c r="R169" s="164" t="n">
        <x:f>IFERROR(L169/G169,0)</x:f>
        <x:v>100.32394366197182</x:v>
      </x:c>
      <x:c r="S169" s="167" t="n">
        <x:f>IFERROR(N169/L169,0)</x:f>
        <x:v>60.06457953109645</x:v>
      </x:c>
      <x:c r="T169" s="165" t="n">
        <x:f>IFERROR(K169/J169,0)</x:f>
        <x:v>0.26666666666666666</x:v>
      </x:c>
    </x:row>
    <x:row r="170">
      <x:c r="A170" s="161" t="n">
        <x:v>46082</x:v>
      </x:c>
      <x:c r="B170" s="162" t="str">
        <x:v>Google Search</x:v>
      </x:c>
      <x:c r="C170" s="162" t="str">
        <x:v>South</x:v>
      </x:c>
      <x:c r="D170" s="162" t="str">
        <x:v>Pouch Fillers</x:v>
      </x:c>
      <x:c r="E170" s="163" t="n">
        <x:v>23760</x:v>
      </x:c>
      <x:c r="F170" s="163" t="n">
        <x:v>984</x:v>
      </x:c>
      <x:c r="G170" s="163" t="n">
        <x:v>66</x:v>
      </x:c>
      <x:c r="H170" s="163" t="n">
        <x:v>40</x:v>
      </x:c>
      <x:c r="I170" s="163" t="n">
        <x:v>24</x:v>
      </x:c>
      <x:c r="J170" s="163" t="n">
        <x:v>12</x:v>
      </x:c>
      <x:c r="K170" s="163" t="n">
        <x:v>3</x:v>
      </x:c>
      <x:c r="L170" s="164" t="n">
        <x:v>6892</x:v>
      </x:c>
      <x:c r="M170" s="164" t="n">
        <x:v>790742</x:v>
      </x:c>
      <x:c r="N170" s="164" t="n">
        <x:v>241080</x:v>
      </x:c>
      <x:c r="O170" s="165" t="n">
        <x:f>IFERROR(F170/E170,0)</x:f>
        <x:v>0.04141414141414142</x:v>
      </x:c>
      <x:c r="P170" s="166" t="n">
        <x:f>IFERROR(L170/F170,0)</x:f>
        <x:v>7.004065040650406</x:v>
      </x:c>
      <x:c r="Q170" s="165" t="n">
        <x:f>IFERROR(G170/F170,0)</x:f>
        <x:v>0.06707317073170732</x:v>
      </x:c>
      <x:c r="R170" s="164" t="n">
        <x:f>IFERROR(L170/G170,0)</x:f>
        <x:v>104.42424242424242</x:v>
      </x:c>
      <x:c r="S170" s="167" t="n">
        <x:f>IFERROR(N170/L170,0)</x:f>
        <x:v>34.97968659315148</x:v>
      </x:c>
      <x:c r="T170" s="165" t="n">
        <x:f>IFERROR(K170/J170,0)</x:f>
        <x:v>0.25</x:v>
      </x:c>
    </x:row>
    <x:row r="171">
      <x:c r="A171" s="161" t="n">
        <x:v>46082</x:v>
      </x:c>
      <x:c r="B171" s="162" t="str">
        <x:v>Google Search</x:v>
      </x:c>
      <x:c r="C171" s="162" t="str">
        <x:v>South</x:v>
      </x:c>
      <x:c r="D171" s="162" t="str">
        <x:v>Cartoning Machines</x:v>
      </x:c>
      <x:c r="E171" s="163" t="n">
        <x:v>25800</x:v>
      </x:c>
      <x:c r="F171" s="163" t="n">
        <x:v>1006</x:v>
      </x:c>
      <x:c r="G171" s="163" t="n">
        <x:v>69</x:v>
      </x:c>
      <x:c r="H171" s="163" t="n">
        <x:v>43</x:v>
      </x:c>
      <x:c r="I171" s="163" t="n">
        <x:v>25</x:v>
      </x:c>
      <x:c r="J171" s="163" t="n">
        <x:v>13</x:v>
      </x:c>
      <x:c r="K171" s="163" t="n">
        <x:v>4</x:v>
      </x:c>
      <x:c r="L171" s="164" t="n">
        <x:v>7046</x:v>
      </x:c>
      <x:c r="M171" s="164" t="n">
        <x:v>1441658</x:v>
      </x:c>
      <x:c r="N171" s="164" t="n">
        <x:v>540960</x:v>
      </x:c>
      <x:c r="O171" s="165" t="n">
        <x:f>IFERROR(F171/E171,0)</x:f>
        <x:v>0.038992248062015504</x:v>
      </x:c>
      <x:c r="P171" s="166" t="n">
        <x:f>IFERROR(L171/F171,0)</x:f>
        <x:v>7.003976143141153</x:v>
      </x:c>
      <x:c r="Q171" s="165" t="n">
        <x:f>IFERROR(G171/F171,0)</x:f>
        <x:v>0.06858846918489066</x:v>
      </x:c>
      <x:c r="R171" s="164" t="n">
        <x:f>IFERROR(L171/G171,0)</x:f>
        <x:v>102.1159420289855</x:v>
      </x:c>
      <x:c r="S171" s="167" t="n">
        <x:f>IFERROR(N171/L171,0)</x:f>
        <x:v>76.77547544706216</x:v>
      </x:c>
      <x:c r="T171" s="165" t="n">
        <x:f>IFERROR(K171/J171,0)</x:f>
        <x:v>0.3076923076923077</x:v>
      </x:c>
    </x:row>
    <x:row r="172">
      <x:c r="A172" s="161" t="n">
        <x:v>46082</x:v>
      </x:c>
      <x:c r="B172" s="162" t="str">
        <x:v>Google Search</x:v>
      </x:c>
      <x:c r="C172" s="162" t="str">
        <x:v>South</x:v>
      </x:c>
      <x:c r="D172" s="162" t="str">
        <x:v>Labeling Systems</x:v>
      </x:c>
      <x:c r="E172" s="163" t="n">
        <x:v>25200</x:v>
      </x:c>
      <x:c r="F172" s="163" t="n">
        <x:v>1023</x:v>
      </x:c>
      <x:c r="G172" s="163" t="n">
        <x:v>69</x:v>
      </x:c>
      <x:c r="H172" s="163" t="n">
        <x:v>45</x:v>
      </x:c>
      <x:c r="I172" s="163" t="n">
        <x:v>27</x:v>
      </x:c>
      <x:c r="J172" s="163" t="n">
        <x:v>15</x:v>
      </x:c>
      <x:c r="K172" s="163" t="n">
        <x:v>4</x:v>
      </x:c>
      <x:c r="L172" s="164" t="n">
        <x:v>7165</x:v>
      </x:c>
      <x:c r="M172" s="164" t="n">
        <x:v>578592</x:v>
      </x:c>
      <x:c r="N172" s="164" t="n">
        <x:v>188160</x:v>
      </x:c>
      <x:c r="O172" s="165" t="n">
        <x:f>IFERROR(F172/E172,0)</x:f>
        <x:v>0.040595238095238094</x:v>
      </x:c>
      <x:c r="P172" s="166" t="n">
        <x:f>IFERROR(L172/F172,0)</x:f>
        <x:v>7.0039100684261975</x:v>
      </x:c>
      <x:c r="Q172" s="165" t="n">
        <x:f>IFERROR(G172/F172,0)</x:f>
        <x:v>0.06744868035190615</x:v>
      </x:c>
      <x:c r="R172" s="164" t="n">
        <x:f>IFERROR(L172/G172,0)</x:f>
        <x:v>103.84057971014492</x:v>
      </x:c>
      <x:c r="S172" s="167" t="n">
        <x:f>IFERROR(N172/L172,0)</x:f>
        <x:v>26.26099092812282</x:v>
      </x:c>
      <x:c r="T172" s="165" t="n">
        <x:f>IFERROR(K172/J172,0)</x:f>
        <x:v>0.26666666666666666</x:v>
      </x:c>
    </x:row>
    <x:row r="173">
      <x:c r="A173" s="161" t="n">
        <x:v>46082</x:v>
      </x:c>
      <x:c r="B173" s="162" t="str">
        <x:v>Google Search</x:v>
      </x:c>
      <x:c r="C173" s="162" t="str">
        <x:v>South</x:v>
      </x:c>
      <x:c r="D173" s="162" t="str">
        <x:v>Case Packers</x:v>
      </x:c>
      <x:c r="E173" s="163" t="n">
        <x:v>27240</x:v>
      </x:c>
      <x:c r="F173" s="163" t="n">
        <x:v>1150</x:v>
      </x:c>
      <x:c r="G173" s="163" t="n">
        <x:v>79</x:v>
      </x:c>
      <x:c r="H173" s="163" t="n">
        <x:v>53</x:v>
      </x:c>
      <x:c r="I173" s="163" t="n">
        <x:v>31</x:v>
      </x:c>
      <x:c r="J173" s="163" t="n">
        <x:v>18</x:v>
      </x:c>
      <x:c r="K173" s="163" t="n">
        <x:v>5</x:v>
      </x:c>
      <x:c r="L173" s="164" t="n">
        <x:v>8055</x:v>
      </x:c>
      <x:c r="M173" s="164" t="n">
        <x:v>1620058</x:v>
      </x:c>
      <x:c r="N173" s="164" t="n">
        <x:v>548800</x:v>
      </x:c>
      <x:c r="O173" s="165" t="n">
        <x:f>IFERROR(F173/E173,0)</x:f>
        <x:v>0.04221732745961821</x:v>
      </x:c>
      <x:c r="P173" s="166" t="n">
        <x:f>IFERROR(L173/F173,0)</x:f>
        <x:v>7.004347826086956</x:v>
      </x:c>
      <x:c r="Q173" s="165" t="n">
        <x:f>IFERROR(G173/F173,0)</x:f>
        <x:v>0.06869565217391305</x:v>
      </x:c>
      <x:c r="R173" s="164" t="n">
        <x:f>IFERROR(L173/G173,0)</x:f>
        <x:v>101.9620253164557</x:v>
      </x:c>
      <x:c r="S173" s="167" t="n">
        <x:f>IFERROR(N173/L173,0)</x:f>
        <x:v>68.13159528243327</x:v>
      </x:c>
      <x:c r="T173" s="165" t="n">
        <x:f>IFERROR(K173/J173,0)</x:f>
        <x:v>0.2777777777777778</x:v>
      </x:c>
    </x:row>
    <x:row r="174">
      <x:c r="A174" s="161" t="n">
        <x:v>46082</x:v>
      </x:c>
      <x:c r="B174" s="162" t="str">
        <x:v>Google Search</x:v>
      </x:c>
      <x:c r="C174" s="162" t="str">
        <x:v>West</x:v>
      </x:c>
      <x:c r="D174" s="162" t="str">
        <x:v>Pouch Fillers</x:v>
      </x:c>
      <x:c r="E174" s="163" t="n">
        <x:v>25080</x:v>
      </x:c>
      <x:c r="F174" s="163" t="n">
        <x:v>998</x:v>
      </x:c>
      <x:c r="G174" s="163" t="n">
        <x:v>67</x:v>
      </x:c>
      <x:c r="H174" s="163" t="n">
        <x:v>40</x:v>
      </x:c>
      <x:c r="I174" s="163" t="n">
        <x:v>24</x:v>
      </x:c>
      <x:c r="J174" s="163" t="n">
        <x:v>12</x:v>
      </x:c>
      <x:c r="K174" s="163" t="n">
        <x:v>4</x:v>
      </x:c>
      <x:c r="L174" s="164" t="n">
        <x:v>7092</x:v>
      </x:c>
      <x:c r="M174" s="164" t="n">
        <x:v>810914</x:v>
      </x:c>
      <x:c r="N174" s="164" t="n">
        <x:v>329640</x:v>
      </x:c>
      <x:c r="O174" s="165" t="n">
        <x:f>IFERROR(F174/E174,0)</x:f>
        <x:v>0.039792663476874005</x:v>
      </x:c>
      <x:c r="P174" s="166" t="n">
        <x:f>IFERROR(L174/F174,0)</x:f>
        <x:v>7.1062124248497</x:v>
      </x:c>
      <x:c r="Q174" s="165" t="n">
        <x:f>IFERROR(G174/F174,0)</x:f>
        <x:v>0.06713426853707415</x:v>
      </x:c>
      <x:c r="R174" s="164" t="n">
        <x:f>IFERROR(L174/G174,0)</x:f>
        <x:v>105.85074626865672</x:v>
      </x:c>
      <x:c r="S174" s="167" t="n">
        <x:f>IFERROR(N174/L174,0)</x:f>
        <x:v>46.48054145516075</x:v>
      </x:c>
      <x:c r="T174" s="165" t="n">
        <x:f>IFERROR(K174/J174,0)</x:f>
        <x:v>0.3333333333333333</x:v>
      </x:c>
    </x:row>
    <x:row r="175">
      <x:c r="A175" s="161" t="n">
        <x:v>46082</x:v>
      </x:c>
      <x:c r="B175" s="162" t="str">
        <x:v>Google Search</x:v>
      </x:c>
      <x:c r="C175" s="162" t="str">
        <x:v>West</x:v>
      </x:c>
      <x:c r="D175" s="162" t="str">
        <x:v>Cartoning Machines</x:v>
      </x:c>
      <x:c r="E175" s="163" t="n">
        <x:v>27120</x:v>
      </x:c>
      <x:c r="F175" s="163" t="n">
        <x:v>1123</x:v>
      </x:c>
      <x:c r="G175" s="163" t="n">
        <x:v>77</x:v>
      </x:c>
      <x:c r="H175" s="163" t="n">
        <x:v>48</x:v>
      </x:c>
      <x:c r="I175" s="163" t="n">
        <x:v>29</x:v>
      </x:c>
      <x:c r="J175" s="163" t="n">
        <x:v>15</x:v>
      </x:c>
      <x:c r="K175" s="163" t="n">
        <x:v>4</x:v>
      </x:c>
      <x:c r="L175" s="164" t="n">
        <x:v>7980</x:v>
      </x:c>
      <x:c r="M175" s="164" t="n">
        <x:v>1705887</x:v>
      </x:c>
      <x:c r="N175" s="164" t="n">
        <x:v>554760</x:v>
      </x:c>
      <x:c r="O175" s="165" t="n">
        <x:f>IFERROR(F175/E175,0)</x:f>
        <x:v>0.04140855457227138</x:v>
      </x:c>
      <x:c r="P175" s="166" t="n">
        <x:f>IFERROR(L175/F175,0)</x:f>
        <x:v>7.1059661620658945</x:v>
      </x:c>
      <x:c r="Q175" s="165" t="n">
        <x:f>IFERROR(G175/F175,0)</x:f>
        <x:v>0.06856634016028496</x:v>
      </x:c>
      <x:c r="R175" s="164" t="n">
        <x:f>IFERROR(L175/G175,0)</x:f>
        <x:v>103.63636363636364</x:v>
      </x:c>
      <x:c r="S175" s="167" t="n">
        <x:f>IFERROR(N175/L175,0)</x:f>
        <x:v>69.5187969924812</x:v>
      </x:c>
      <x:c r="T175" s="165" t="n">
        <x:f>IFERROR(K175/J175,0)</x:f>
        <x:v>0.26666666666666666</x:v>
      </x:c>
    </x:row>
    <x:row r="176">
      <x:c r="A176" s="161" t="n">
        <x:v>46082</x:v>
      </x:c>
      <x:c r="B176" s="162" t="str">
        <x:v>Google Search</x:v>
      </x:c>
      <x:c r="C176" s="162" t="str">
        <x:v>West</x:v>
      </x:c>
      <x:c r="D176" s="162" t="str">
        <x:v>Labeling Systems</x:v>
      </x:c>
      <x:c r="E176" s="163" t="n">
        <x:v>26520</x:v>
      </x:c>
      <x:c r="F176" s="163" t="n">
        <x:v>1034</x:v>
      </x:c>
      <x:c r="G176" s="163" t="n">
        <x:v>69</x:v>
      </x:c>
      <x:c r="H176" s="163" t="n">
        <x:v>45</x:v>
      </x:c>
      <x:c r="I176" s="163" t="n">
        <x:v>27</x:v>
      </x:c>
      <x:c r="J176" s="163" t="n">
        <x:v>15</x:v>
      </x:c>
      <x:c r="K176" s="163" t="n">
        <x:v>4</x:v>
      </x:c>
      <x:c r="L176" s="164" t="n">
        <x:v>7348</x:v>
      </x:c>
      <x:c r="M176" s="164" t="n">
        <x:v>593352</x:v>
      </x:c>
      <x:c r="N176" s="164" t="n">
        <x:v>192960</x:v>
      </x:c>
      <x:c r="O176" s="165" t="n">
        <x:f>IFERROR(F176/E176,0)</x:f>
        <x:v>0.0389894419306184</x:v>
      </x:c>
      <x:c r="P176" s="166" t="n">
        <x:f>IFERROR(L176/F176,0)</x:f>
        <x:v>7.1063829787234045</x:v>
      </x:c>
      <x:c r="Q176" s="165" t="n">
        <x:f>IFERROR(G176/F176,0)</x:f>
        <x:v>0.06673114119922631</x:v>
      </x:c>
      <x:c r="R176" s="164" t="n">
        <x:f>IFERROR(L176/G176,0)</x:f>
        <x:v>106.4927536231884</x:v>
      </x:c>
      <x:c r="S176" s="167" t="n">
        <x:f>IFERROR(N176/L176,0)</x:f>
        <x:v>26.260206859009255</x:v>
      </x:c>
      <x:c r="T176" s="165" t="n">
        <x:f>IFERROR(K176/J176,0)</x:f>
        <x:v>0.26666666666666666</x:v>
      </x:c>
    </x:row>
    <x:row r="177">
      <x:c r="A177" s="161" t="n">
        <x:v>46082</x:v>
      </x:c>
      <x:c r="B177" s="162" t="str">
        <x:v>Google Search</x:v>
      </x:c>
      <x:c r="C177" s="162" t="str">
        <x:v>West</x:v>
      </x:c>
      <x:c r="D177" s="162" t="str">
        <x:v>Case Packers</x:v>
      </x:c>
      <x:c r="E177" s="163" t="n">
        <x:v>25920</x:v>
      </x:c>
      <x:c r="F177" s="163" t="n">
        <x:v>1052</x:v>
      </x:c>
      <x:c r="G177" s="163" t="n">
        <x:v>73</x:v>
      </x:c>
      <x:c r="H177" s="163" t="n">
        <x:v>49</x:v>
      </x:c>
      <x:c r="I177" s="163" t="n">
        <x:v>30</x:v>
      </x:c>
      <x:c r="J177" s="163" t="n">
        <x:v>17</x:v>
      </x:c>
      <x:c r="K177" s="163" t="n">
        <x:v>5</x:v>
      </x:c>
      <x:c r="L177" s="164" t="n">
        <x:v>7476</x:v>
      </x:c>
      <x:c r="M177" s="164" t="n">
        <x:v>1569086</x:v>
      </x:c>
      <x:c r="N177" s="164" t="n">
        <x:v>562800</x:v>
      </x:c>
      <x:c r="O177" s="165" t="n">
        <x:f>IFERROR(F177/E177,0)</x:f>
        <x:v>0.04058641975308642</x:v>
      </x:c>
      <x:c r="P177" s="166" t="n">
        <x:f>IFERROR(L177/F177,0)</x:f>
        <x:v>7.106463878326996</x:v>
      </x:c>
      <x:c r="Q177" s="165" t="n">
        <x:f>IFERROR(G177/F177,0)</x:f>
        <x:v>0.06939163498098859</x:v>
      </x:c>
      <x:c r="R177" s="164" t="n">
        <x:f>IFERROR(L177/G177,0)</x:f>
        <x:v>102.41095890410959</x:v>
      </x:c>
      <x:c r="S177" s="167" t="n">
        <x:f>IFERROR(N177/L177,0)</x:f>
        <x:v>75.28089887640449</x:v>
      </x:c>
      <x:c r="T177" s="165" t="n">
        <x:f>IFERROR(K177/J177,0)</x:f>
        <x:v>0.29411764705882354</x:v>
      </x:c>
    </x:row>
    <x:row r="178">
      <x:c r="A178" s="161" t="n">
        <x:v>46082</x:v>
      </x:c>
      <x:c r="B178" s="162" t="str">
        <x:v>LinkedIn</x:v>
      </x:c>
      <x:c r="C178" s="162" t="str">
        <x:v>Northeast</x:v>
      </x:c>
      <x:c r="D178" s="162" t="str">
        <x:v>Pouch Fillers</x:v>
      </x:c>
      <x:c r="E178" s="163" t="n">
        <x:v>14400</x:v>
      </x:c>
      <x:c r="F178" s="163" t="n">
        <x:v>348</x:v>
      </x:c>
      <x:c r="G178" s="163" t="n">
        <x:v>29</x:v>
      </x:c>
      <x:c r="H178" s="163" t="n">
        <x:v>17</x:v>
      </x:c>
      <x:c r="I178" s="163" t="n">
        <x:v>9</x:v>
      </x:c>
      <x:c r="J178" s="163" t="n">
        <x:v>4</x:v>
      </x:c>
      <x:c r="K178" s="163" t="n">
        <x:v>1</x:v>
      </x:c>
      <x:c r="L178" s="164" t="n">
        <x:v>3341</x:v>
      </x:c>
      <x:c r="M178" s="164" t="n">
        <x:v>250133</x:v>
      </x:c>
      <x:c r="N178" s="164" t="n">
        <x:v>76260</x:v>
      </x:c>
      <x:c r="O178" s="165" t="n">
        <x:f>IFERROR(F178/E178,0)</x:f>
        <x:v>0.024166666666666666</x:v>
      </x:c>
      <x:c r="P178" s="166" t="n">
        <x:f>IFERROR(L178/F178,0)</x:f>
        <x:v>9.600574712643677</x:v>
      </x:c>
      <x:c r="Q178" s="165" t="n">
        <x:f>IFERROR(G178/F178,0)</x:f>
        <x:v>0.08333333333333333</x:v>
      </x:c>
      <x:c r="R178" s="164" t="n">
        <x:f>IFERROR(L178/G178,0)</x:f>
        <x:v>115.20689655172414</x:v>
      </x:c>
      <x:c r="S178" s="167" t="n">
        <x:f>IFERROR(N178/L178,0)</x:f>
        <x:v>22.825501346902126</x:v>
      </x:c>
      <x:c r="T178" s="165" t="n">
        <x:f>IFERROR(K178/J178,0)</x:f>
        <x:v>0.25</x:v>
      </x:c>
    </x:row>
    <x:row r="179">
      <x:c r="A179" s="161" t="n">
        <x:v>46082</x:v>
      </x:c>
      <x:c r="B179" s="162" t="str">
        <x:v>LinkedIn</x:v>
      </x:c>
      <x:c r="C179" s="162" t="str">
        <x:v>Northeast</x:v>
      </x:c>
      <x:c r="D179" s="162" t="str">
        <x:v>Cartoning Machines</x:v>
      </x:c>
      <x:c r="E179" s="163" t="n">
        <x:v>14025</x:v>
      </x:c>
      <x:c r="F179" s="163" t="n">
        <x:v>306</x:v>
      </x:c>
      <x:c r="G179" s="163" t="n">
        <x:v>26</x:v>
      </x:c>
      <x:c r="H179" s="163" t="n">
        <x:v>16</x:v>
      </x:c>
      <x:c r="I179" s="163" t="n">
        <x:v>9</x:v>
      </x:c>
      <x:c r="J179" s="163" t="n">
        <x:v>5</x:v>
      </x:c>
      <x:c r="K179" s="163" t="n">
        <x:v>1</x:v>
      </x:c>
      <x:c r="L179" s="164" t="n">
        <x:v>2938</x:v>
      </x:c>
      <x:c r="M179" s="164" t="n">
        <x:v>526194</x:v>
      </x:c>
      <x:c r="N179" s="164" t="n">
        <x:v>128340</x:v>
      </x:c>
      <x:c r="O179" s="165" t="n">
        <x:f>IFERROR(F179/E179,0)</x:f>
        <x:v>0.02181818181818182</x:v>
      </x:c>
      <x:c r="P179" s="166" t="n">
        <x:f>IFERROR(L179/F179,0)</x:f>
        <x:v>9.601307189542483</x:v>
      </x:c>
      <x:c r="Q179" s="165" t="n">
        <x:f>IFERROR(G179/F179,0)</x:f>
        <x:v>0.08496732026143791</x:v>
      </x:c>
      <x:c r="R179" s="164" t="n">
        <x:f>IFERROR(L179/G179,0)</x:f>
        <x:v>113</x:v>
      </x:c>
      <x:c r="S179" s="167" t="n">
        <x:f>IFERROR(N179/L179,0)</x:f>
        <x:v>43.68277739959156</x:v>
      </x:c>
      <x:c r="T179" s="165" t="n">
        <x:f>IFERROR(K179/J179,0)</x:f>
        <x:v>0.2</x:v>
      </x:c>
    </x:row>
    <x:row r="180">
      <x:c r="A180" s="161" t="n">
        <x:v>46082</x:v>
      </x:c>
      <x:c r="B180" s="162" t="str">
        <x:v>LinkedIn</x:v>
      </x:c>
      <x:c r="C180" s="162" t="str">
        <x:v>Northeast</x:v>
      </x:c>
      <x:c r="D180" s="162" t="str">
        <x:v>Labeling Systems</x:v>
      </x:c>
      <x:c r="E180" s="163" t="n">
        <x:v>15300</x:v>
      </x:c>
      <x:c r="F180" s="163" t="n">
        <x:v>358</x:v>
      </x:c>
      <x:c r="G180" s="163" t="n">
        <x:v>30</x:v>
      </x:c>
      <x:c r="H180" s="163" t="n">
        <x:v>20</x:v>
      </x:c>
      <x:c r="I180" s="163" t="n">
        <x:v>11</x:v>
      </x:c>
      <x:c r="J180" s="163" t="n">
        <x:v>6</x:v>
      </x:c>
      <x:c r="K180" s="163" t="n">
        <x:v>2</x:v>
      </x:c>
      <x:c r="L180" s="164" t="n">
        <x:v>3437</x:v>
      </x:c>
      <x:c r="M180" s="164" t="n">
        <x:v>219629</x:v>
      </x:c>
      <x:c r="N180" s="164" t="n">
        <x:v>89280</x:v>
      </x:c>
      <x:c r="O180" s="165" t="n">
        <x:f>IFERROR(F180/E180,0)</x:f>
        <x:v>0.023398692810457516</x:v>
      </x:c>
      <x:c r="P180" s="166" t="n">
        <x:f>IFERROR(L180/F180,0)</x:f>
        <x:v>9.600558659217876</x:v>
      </x:c>
      <x:c r="Q180" s="165" t="n">
        <x:f>IFERROR(G180/F180,0)</x:f>
        <x:v>0.08379888268156424</x:v>
      </x:c>
      <x:c r="R180" s="164" t="n">
        <x:f>IFERROR(L180/G180,0)</x:f>
        <x:v>114.56666666666666</x:v>
      </x:c>
      <x:c r="S180" s="167" t="n">
        <x:f>IFERROR(N180/L180,0)</x:f>
        <x:v>25.976141984288624</x:v>
      </x:c>
      <x:c r="T180" s="165" t="n">
        <x:f>IFERROR(K180/J180,0)</x:f>
        <x:v>0.3333333333333333</x:v>
      </x:c>
    </x:row>
    <x:row r="181">
      <x:c r="A181" s="161" t="n">
        <x:v>46082</x:v>
      </x:c>
      <x:c r="B181" s="162" t="str">
        <x:v>LinkedIn</x:v>
      </x:c>
      <x:c r="C181" s="162" t="str">
        <x:v>Northeast</x:v>
      </x:c>
      <x:c r="D181" s="162" t="str">
        <x:v>Case Packers</x:v>
      </x:c>
      <x:c r="E181" s="163" t="n">
        <x:v>14925</x:v>
      </x:c>
      <x:c r="F181" s="163" t="n">
        <x:v>313</x:v>
      </x:c>
      <x:c r="G181" s="163" t="n">
        <x:v>27</x:v>
      </x:c>
      <x:c r="H181" s="163" t="n">
        <x:v>18</x:v>
      </x:c>
      <x:c r="I181" s="163" t="n">
        <x:v>10</x:v>
      </x:c>
      <x:c r="J181" s="163" t="n">
        <x:v>6</x:v>
      </x:c>
      <x:c r="K181" s="163" t="n">
        <x:v>2</x:v>
      </x:c>
      <x:c r="L181" s="164" t="n">
        <x:v>3005</x:v>
      </x:c>
      <x:c r="M181" s="164" t="n">
        <x:v>512467</x:v>
      </x:c>
      <x:c r="N181" s="164" t="n">
        <x:v>208320</x:v>
      </x:c>
      <x:c r="O181" s="165" t="n">
        <x:f>IFERROR(F181/E181,0)</x:f>
        <x:v>0.020971524288107203</x:v>
      </x:c>
      <x:c r="P181" s="166" t="n">
        <x:f>IFERROR(L181/F181,0)</x:f>
        <x:v>9.600638977635782</x:v>
      </x:c>
      <x:c r="Q181" s="165" t="n">
        <x:f>IFERROR(G181/F181,0)</x:f>
        <x:v>0.08626198083067092</x:v>
      </x:c>
      <x:c r="R181" s="164" t="n">
        <x:f>IFERROR(L181/G181,0)</x:f>
        <x:v>111.29629629629629</x:v>
      </x:c>
      <x:c r="S181" s="167" t="n">
        <x:f>IFERROR(N181/L181,0)</x:f>
        <x:v>69.32445923460898</x:v>
      </x:c>
      <x:c r="T181" s="165" t="n">
        <x:f>IFERROR(K181/J181,0)</x:f>
        <x:v>0.3333333333333333</x:v>
      </x:c>
    </x:row>
    <x:row r="182">
      <x:c r="A182" s="161" t="n">
        <x:v>46082</x:v>
      </x:c>
      <x:c r="B182" s="162" t="str">
        <x:v>LinkedIn</x:v>
      </x:c>
      <x:c r="C182" s="162" t="str">
        <x:v>Midwest</x:v>
      </x:c>
      <x:c r="D182" s="162" t="str">
        <x:v>Pouch Fillers</x:v>
      </x:c>
      <x:c r="E182" s="163" t="n">
        <x:v>15225</x:v>
      </x:c>
      <x:c r="F182" s="163" t="n">
        <x:v>344</x:v>
      </x:c>
      <x:c r="G182" s="163" t="n">
        <x:v>29</x:v>
      </x:c>
      <x:c r="H182" s="163" t="n">
        <x:v>17</x:v>
      </x:c>
      <x:c r="I182" s="163" t="n">
        <x:v>10</x:v>
      </x:c>
      <x:c r="J182" s="163" t="n">
        <x:v>5</x:v>
      </x:c>
      <x:c r="K182" s="163" t="n">
        <x:v>1</x:v>
      </x:c>
      <x:c r="L182" s="164" t="n">
        <x:v>3352</x:v>
      </x:c>
      <x:c r="M182" s="164" t="n">
        <x:v>321071</x:v>
      </x:c>
      <x:c r="N182" s="164" t="n">
        <x:v>78310</x:v>
      </x:c>
      <x:c r="O182" s="165" t="n">
        <x:f>IFERROR(F182/E182,0)</x:f>
        <x:v>0.0225944170771757</x:v>
      </x:c>
      <x:c r="P182" s="166" t="n">
        <x:f>IFERROR(L182/F182,0)</x:f>
        <x:v>9.744186046511627</x:v>
      </x:c>
      <x:c r="Q182" s="165" t="n">
        <x:f>IFERROR(G182/F182,0)</x:f>
        <x:v>0.08430232558139535</x:v>
      </x:c>
      <x:c r="R182" s="164" t="n">
        <x:f>IFERROR(L182/G182,0)</x:f>
        <x:v>115.58620689655173</x:v>
      </x:c>
      <x:c r="S182" s="167" t="n">
        <x:f>IFERROR(N182/L182,0)</x:f>
        <x:v>23.362171837708832</x:v>
      </x:c>
      <x:c r="T182" s="165" t="n">
        <x:f>IFERROR(K182/J182,0)</x:f>
        <x:v>0.2</x:v>
      </x:c>
    </x:row>
    <x:row r="183">
      <x:c r="A183" s="161" t="n">
        <x:v>46082</x:v>
      </x:c>
      <x:c r="B183" s="162" t="str">
        <x:v>LinkedIn</x:v>
      </x:c>
      <x:c r="C183" s="162" t="str">
        <x:v>Midwest</x:v>
      </x:c>
      <x:c r="D183" s="162" t="str">
        <x:v>Cartoning Machines</x:v>
      </x:c>
      <x:c r="E183" s="163" t="n">
        <x:v>14850</x:v>
      </x:c>
      <x:c r="F183" s="163" t="n">
        <x:v>359</x:v>
      </x:c>
      <x:c r="G183" s="163" t="n">
        <x:v>31</x:v>
      </x:c>
      <x:c r="H183" s="163" t="n">
        <x:v>19</x:v>
      </x:c>
      <x:c r="I183" s="163" t="n">
        <x:v>11</x:v>
      </x:c>
      <x:c r="J183" s="163" t="n">
        <x:v>6</x:v>
      </x:c>
      <x:c r="K183" s="163" t="n">
        <x:v>2</x:v>
      </x:c>
      <x:c r="L183" s="164" t="n">
        <x:v>3498</x:v>
      </x:c>
      <x:c r="M183" s="164" t="n">
        <x:v>648407</x:v>
      </x:c>
      <x:c r="N183" s="164" t="n">
        <x:v>263580</x:v>
      </x:c>
      <x:c r="O183" s="165" t="n">
        <x:f>IFERROR(F183/E183,0)</x:f>
        <x:v>0.024175084175084176</x:v>
      </x:c>
      <x:c r="P183" s="166" t="n">
        <x:f>IFERROR(L183/F183,0)</x:f>
        <x:v>9.743732590529248</x:v>
      </x:c>
      <x:c r="Q183" s="165" t="n">
        <x:f>IFERROR(G183/F183,0)</x:f>
        <x:v>0.08635097493036212</x:v>
      </x:c>
      <x:c r="R183" s="164" t="n">
        <x:f>IFERROR(L183/G183,0)</x:f>
        <x:v>112.83870967741936</x:v>
      </x:c>
      <x:c r="S183" s="167" t="n">
        <x:f>IFERROR(N183/L183,0)</x:f>
        <x:v>75.3516295025729</x:v>
      </x:c>
      <x:c r="T183" s="165" t="n">
        <x:f>IFERROR(K183/J183,0)</x:f>
        <x:v>0.3333333333333333</x:v>
      </x:c>
    </x:row>
    <x:row r="184">
      <x:c r="A184" s="161" t="n">
        <x:v>46082</x:v>
      </x:c>
      <x:c r="B184" s="162" t="str">
        <x:v>LinkedIn</x:v>
      </x:c>
      <x:c r="C184" s="162" t="str">
        <x:v>Midwest</x:v>
      </x:c>
      <x:c r="D184" s="162" t="str">
        <x:v>Labeling Systems</x:v>
      </x:c>
      <x:c r="E184" s="163" t="n">
        <x:v>16125</x:v>
      </x:c>
      <x:c r="F184" s="163" t="n">
        <x:v>352</x:v>
      </x:c>
      <x:c r="G184" s="163" t="n">
        <x:v>30</x:v>
      </x:c>
      <x:c r="H184" s="163" t="n">
        <x:v>20</x:v>
      </x:c>
      <x:c r="I184" s="163" t="n">
        <x:v>11</x:v>
      </x:c>
      <x:c r="J184" s="163" t="n">
        <x:v>6</x:v>
      </x:c>
      <x:c r="K184" s="163" t="n">
        <x:v>2</x:v>
      </x:c>
      <x:c r="L184" s="164" t="n">
        <x:v>3430</x:v>
      </x:c>
      <x:c r="M184" s="164" t="n">
        <x:v>225533</x:v>
      </x:c>
      <x:c r="N184" s="164" t="n">
        <x:v>91680</x:v>
      </x:c>
      <x:c r="O184" s="165" t="n">
        <x:f>IFERROR(F184/E184,0)</x:f>
        <x:v>0.021829457364341085</x:v>
      </x:c>
      <x:c r="P184" s="166" t="n">
        <x:f>IFERROR(L184/F184,0)</x:f>
        <x:v>9.744318181818182</x:v>
      </x:c>
      <x:c r="Q184" s="165" t="n">
        <x:f>IFERROR(G184/F184,0)</x:f>
        <x:v>0.08522727272727272</x:v>
      </x:c>
      <x:c r="R184" s="164" t="n">
        <x:f>IFERROR(L184/G184,0)</x:f>
        <x:v>114.33333333333333</x:v>
      </x:c>
      <x:c r="S184" s="167" t="n">
        <x:f>IFERROR(N184/L184,0)</x:f>
        <x:v>26.728862973760933</x:v>
      </x:c>
      <x:c r="T184" s="165" t="n">
        <x:f>IFERROR(K184/J184,0)</x:f>
        <x:v>0.3333333333333333</x:v>
      </x:c>
    </x:row>
    <x:row r="185">
      <x:c r="A185" s="161" t="n">
        <x:v>46082</x:v>
      </x:c>
      <x:c r="B185" s="162" t="str">
        <x:v>LinkedIn</x:v>
      </x:c>
      <x:c r="C185" s="162" t="str">
        <x:v>Midwest</x:v>
      </x:c>
      <x:c r="D185" s="162" t="str">
        <x:v>Case Packers</x:v>
      </x:c>
      <x:c r="E185" s="163" t="n">
        <x:v>15750</x:v>
      </x:c>
      <x:c r="F185" s="163" t="n">
        <x:v>369</x:v>
      </x:c>
      <x:c r="G185" s="163" t="n">
        <x:v>32</x:v>
      </x:c>
      <x:c r="H185" s="163" t="n">
        <x:v>22</x:v>
      </x:c>
      <x:c r="I185" s="163" t="n">
        <x:v>13</x:v>
      </x:c>
      <x:c r="J185" s="163" t="n">
        <x:v>7</x:v>
      </x:c>
      <x:c r="K185" s="163" t="n">
        <x:v>2</x:v>
      </x:c>
      <x:c r="L185" s="164" t="n">
        <x:v>3596</x:v>
      </x:c>
      <x:c r="M185" s="164" t="n">
        <x:v>613950</x:v>
      </x:c>
      <x:c r="N185" s="164" t="n">
        <x:v>213920</x:v>
      </x:c>
      <x:c r="O185" s="165" t="n">
        <x:f>IFERROR(F185/E185,0)</x:f>
        <x:v>0.023428571428571427</x:v>
      </x:c>
      <x:c r="P185" s="166" t="n">
        <x:f>IFERROR(L185/F185,0)</x:f>
        <x:v>9.745257452574526</x:v>
      </x:c>
      <x:c r="Q185" s="165" t="n">
        <x:f>IFERROR(G185/F185,0)</x:f>
        <x:v>0.08672086720867209</x:v>
      </x:c>
      <x:c r="R185" s="164" t="n">
        <x:f>IFERROR(L185/G185,0)</x:f>
        <x:v>112.375</x:v>
      </x:c>
      <x:c r="S185" s="167" t="n">
        <x:f>IFERROR(N185/L185,0)</x:f>
        <x:v>59.48832035595105</x:v>
      </x:c>
      <x:c r="T185" s="165" t="n">
        <x:f>IFERROR(K185/J185,0)</x:f>
        <x:v>0.2857142857142857</x:v>
      </x:c>
    </x:row>
    <x:row r="186">
      <x:c r="A186" s="161" t="n">
        <x:v>46082</x:v>
      </x:c>
      <x:c r="B186" s="162" t="str">
        <x:v>LinkedIn</x:v>
      </x:c>
      <x:c r="C186" s="162" t="str">
        <x:v>South</x:v>
      </x:c>
      <x:c r="D186" s="162" t="str">
        <x:v>Pouch Fillers</x:v>
      </x:c>
      <x:c r="E186" s="163" t="n">
        <x:v>16050</x:v>
      </x:c>
      <x:c r="F186" s="163" t="n">
        <x:v>337</x:v>
      </x:c>
      <x:c r="G186" s="163" t="n">
        <x:v>28</x:v>
      </x:c>
      <x:c r="H186" s="163" t="n">
        <x:v>17</x:v>
      </x:c>
      <x:c r="I186" s="163" t="n">
        <x:v>10</x:v>
      </x:c>
      <x:c r="J186" s="163" t="n">
        <x:v>5</x:v>
      </x:c>
      <x:c r="K186" s="163" t="n">
        <x:v>1</x:v>
      </x:c>
      <x:c r="L186" s="164" t="n">
        <x:v>3332</x:v>
      </x:c>
      <x:c r="M186" s="164" t="n">
        <x:v>329476</x:v>
      </x:c>
      <x:c r="N186" s="164" t="n">
        <x:v>80360</x:v>
      </x:c>
      <x:c r="O186" s="165" t="n">
        <x:f>IFERROR(F186/E186,0)</x:f>
        <x:v>0.020996884735202493</x:v>
      </x:c>
      <x:c r="P186" s="166" t="n">
        <x:f>IFERROR(L186/F186,0)</x:f>
        <x:v>9.887240356083087</x:v>
      </x:c>
      <x:c r="Q186" s="165" t="n">
        <x:f>IFERROR(G186/F186,0)</x:f>
        <x:v>0.0830860534124629</x:v>
      </x:c>
      <x:c r="R186" s="164" t="n">
        <x:f>IFERROR(L186/G186,0)</x:f>
        <x:v>119</x:v>
      </x:c>
      <x:c r="S186" s="167" t="n">
        <x:f>IFERROR(N186/L186,0)</x:f>
        <x:v>24.11764705882353</x:v>
      </x:c>
      <x:c r="T186" s="165" t="n">
        <x:f>IFERROR(K186/J186,0)</x:f>
        <x:v>0.2</x:v>
      </x:c>
    </x:row>
    <x:row r="187">
      <x:c r="A187" s="161" t="n">
        <x:v>46082</x:v>
      </x:c>
      <x:c r="B187" s="162" t="str">
        <x:v>LinkedIn</x:v>
      </x:c>
      <x:c r="C187" s="162" t="str">
        <x:v>South</x:v>
      </x:c>
      <x:c r="D187" s="162" t="str">
        <x:v>Cartoning Machines</x:v>
      </x:c>
      <x:c r="E187" s="163" t="n">
        <x:v>15675</x:v>
      </x:c>
      <x:c r="F187" s="163" t="n">
        <x:v>354</x:v>
      </x:c>
      <x:c r="G187" s="163" t="n">
        <x:v>30</x:v>
      </x:c>
      <x:c r="H187" s="163" t="n">
        <x:v>19</x:v>
      </x:c>
      <x:c r="I187" s="163" t="n">
        <x:v>11</x:v>
      </x:c>
      <x:c r="J187" s="163" t="n">
        <x:v>6</x:v>
      </x:c>
      <x:c r="K187" s="163" t="n">
        <x:v>2</x:v>
      </x:c>
      <x:c r="L187" s="164" t="n">
        <x:v>3500</x:v>
      </x:c>
      <x:c r="M187" s="164" t="n">
        <x:v>665381</x:v>
      </x:c>
      <x:c r="N187" s="164" t="n">
        <x:v>270480</x:v>
      </x:c>
      <x:c r="O187" s="165" t="n">
        <x:f>IFERROR(F187/E187,0)</x:f>
        <x:v>0.02258373205741627</x:v>
      </x:c>
      <x:c r="P187" s="166" t="n">
        <x:f>IFERROR(L187/F187,0)</x:f>
        <x:v>9.887005649717514</x:v>
      </x:c>
      <x:c r="Q187" s="165" t="n">
        <x:f>IFERROR(G187/F187,0)</x:f>
        <x:v>0.0847457627118644</x:v>
      </x:c>
      <x:c r="R187" s="164" t="n">
        <x:f>IFERROR(L187/G187,0)</x:f>
        <x:v>116.66666666666667</x:v>
      </x:c>
      <x:c r="S187" s="167" t="n">
        <x:f>IFERROR(N187/L187,0)</x:f>
        <x:v>77.28</x:v>
      </x:c>
      <x:c r="T187" s="165" t="n">
        <x:f>IFERROR(K187/J187,0)</x:f>
        <x:v>0.3333333333333333</x:v>
      </x:c>
    </x:row>
    <x:row r="188">
      <x:c r="A188" s="161" t="n">
        <x:v>46082</x:v>
      </x:c>
      <x:c r="B188" s="162" t="str">
        <x:v>LinkedIn</x:v>
      </x:c>
      <x:c r="C188" s="162" t="str">
        <x:v>South</x:v>
      </x:c>
      <x:c r="D188" s="162" t="str">
        <x:v>Labeling Systems</x:v>
      </x:c>
      <x:c r="E188" s="163" t="n">
        <x:v>15300</x:v>
      </x:c>
      <x:c r="F188" s="163" t="n">
        <x:v>370</x:v>
      </x:c>
      <x:c r="G188" s="163" t="n">
        <x:v>31</x:v>
      </x:c>
      <x:c r="H188" s="163" t="n">
        <x:v>20</x:v>
      </x:c>
      <x:c r="I188" s="163" t="n">
        <x:v>12</x:v>
      </x:c>
      <x:c r="J188" s="163" t="n">
        <x:v>6</x:v>
      </x:c>
      <x:c r="K188" s="163" t="n">
        <x:v>2</x:v>
      </x:c>
      <x:c r="L188" s="164" t="n">
        <x:v>3659</x:v>
      </x:c>
      <x:c r="M188" s="164" t="n">
        <x:v>231437</x:v>
      </x:c>
      <x:c r="N188" s="164" t="n">
        <x:v>94080</x:v>
      </x:c>
      <x:c r="O188" s="165" t="n">
        <x:f>IFERROR(F188/E188,0)</x:f>
        <x:v>0.024183006535947713</x:v>
      </x:c>
      <x:c r="P188" s="166" t="n">
        <x:f>IFERROR(L188/F188,0)</x:f>
        <x:v>9.889189189189189</x:v>
      </x:c>
      <x:c r="Q188" s="165" t="n">
        <x:f>IFERROR(G188/F188,0)</x:f>
        <x:v>0.08378378378378379</x:v>
      </x:c>
      <x:c r="R188" s="164" t="n">
        <x:f>IFERROR(L188/G188,0)</x:f>
        <x:v>118.03225806451613</x:v>
      </x:c>
      <x:c r="S188" s="167" t="n">
        <x:f>IFERROR(N188/L188,0)</x:f>
        <x:v>25.71194315386718</x:v>
      </x:c>
      <x:c r="T188" s="165" t="n">
        <x:f>IFERROR(K188/J188,0)</x:f>
        <x:v>0.3333333333333333</x:v>
      </x:c>
    </x:row>
    <x:row r="189">
      <x:c r="A189" s="161" t="n">
        <x:v>46082</x:v>
      </x:c>
      <x:c r="B189" s="162" t="str">
        <x:v>LinkedIn</x:v>
      </x:c>
      <x:c r="C189" s="162" t="str">
        <x:v>South</x:v>
      </x:c>
      <x:c r="D189" s="162" t="str">
        <x:v>Case Packers</x:v>
      </x:c>
      <x:c r="E189" s="163" t="n">
        <x:v>16575</x:v>
      </x:c>
      <x:c r="F189" s="163" t="n">
        <x:v>361</x:v>
      </x:c>
      <x:c r="G189" s="163" t="n">
        <x:v>31</x:v>
      </x:c>
      <x:c r="H189" s="163" t="n">
        <x:v>21</x:v>
      </x:c>
      <x:c r="I189" s="163" t="n">
        <x:v>12</x:v>
      </x:c>
      <x:c r="J189" s="163" t="n">
        <x:v>7</x:v>
      </x:c>
      <x:c r="K189" s="163" t="n">
        <x:v>2</x:v>
      </x:c>
      <x:c r="L189" s="164" t="n">
        <x:v>3570</x:v>
      </x:c>
      <x:c r="M189" s="164" t="n">
        <x:v>630022</x:v>
      </x:c>
      <x:c r="N189" s="164" t="n">
        <x:v>219520</x:v>
      </x:c>
      <x:c r="O189" s="165" t="n">
        <x:f>IFERROR(F189/E189,0)</x:f>
        <x:v>0.02177978883861237</x:v>
      </x:c>
      <x:c r="P189" s="166" t="n">
        <x:f>IFERROR(L189/F189,0)</x:f>
        <x:v>9.889196675900276</x:v>
      </x:c>
      <x:c r="Q189" s="165" t="n">
        <x:f>IFERROR(G189/F189,0)</x:f>
        <x:v>0.08587257617728532</x:v>
      </x:c>
      <x:c r="R189" s="164" t="n">
        <x:f>IFERROR(L189/G189,0)</x:f>
        <x:v>115.16129032258064</x:v>
      </x:c>
      <x:c r="S189" s="167" t="n">
        <x:f>IFERROR(N189/L189,0)</x:f>
        <x:v>61.490196078431374</x:v>
      </x:c>
      <x:c r="T189" s="165" t="n">
        <x:f>IFERROR(K189/J189,0)</x:f>
        <x:v>0.2857142857142857</x:v>
      </x:c>
    </x:row>
    <x:row r="190">
      <x:c r="A190" s="161" t="n">
        <x:v>46082</x:v>
      </x:c>
      <x:c r="B190" s="162" t="str">
        <x:v>LinkedIn</x:v>
      </x:c>
      <x:c r="C190" s="162" t="str">
        <x:v>West</x:v>
      </x:c>
      <x:c r="D190" s="162" t="str">
        <x:v>Pouch Fillers</x:v>
      </x:c>
      <x:c r="E190" s="163" t="n">
        <x:v>15225</x:v>
      </x:c>
      <x:c r="F190" s="163" t="n">
        <x:v>356</x:v>
      </x:c>
      <x:c r="G190" s="163" t="n">
        <x:v>30</x:v>
      </x:c>
      <x:c r="H190" s="163" t="n">
        <x:v>18</x:v>
      </x:c>
      <x:c r="I190" s="163" t="n">
        <x:v>11</x:v>
      </x:c>
      <x:c r="J190" s="163" t="n">
        <x:v>5</x:v>
      </x:c>
      <x:c r="K190" s="163" t="n">
        <x:v>1</x:v>
      </x:c>
      <x:c r="L190" s="164" t="n">
        <x:v>3571</x:v>
      </x:c>
      <x:c r="M190" s="164" t="n">
        <x:v>337881</x:v>
      </x:c>
      <x:c r="N190" s="164" t="n">
        <x:v>82410</x:v>
      </x:c>
      <x:c r="O190" s="165" t="n">
        <x:f>IFERROR(F190/E190,0)</x:f>
        <x:v>0.023382594417077174</x:v>
      </x:c>
      <x:c r="P190" s="166" t="n">
        <x:f>IFERROR(L190/F190,0)</x:f>
        <x:v>10.030898876404494</x:v>
      </x:c>
      <x:c r="Q190" s="165" t="n">
        <x:f>IFERROR(G190/F190,0)</x:f>
        <x:v>0.08426966292134831</x:v>
      </x:c>
      <x:c r="R190" s="164" t="n">
        <x:f>IFERROR(L190/G190,0)</x:f>
        <x:v>119.03333333333333</x:v>
      </x:c>
      <x:c r="S190" s="167" t="n">
        <x:f>IFERROR(N190/L190,0)</x:f>
        <x:v>23.077569308317</x:v>
      </x:c>
      <x:c r="T190" s="165" t="n">
        <x:f>IFERROR(K190/J190,0)</x:f>
        <x:v>0.2</x:v>
      </x:c>
    </x:row>
    <x:row r="191">
      <x:c r="A191" s="161" t="n">
        <x:v>46082</x:v>
      </x:c>
      <x:c r="B191" s="162" t="str">
        <x:v>LinkedIn</x:v>
      </x:c>
      <x:c r="C191" s="162" t="str">
        <x:v>West</x:v>
      </x:c>
      <x:c r="D191" s="162" t="str">
        <x:v>Cartoning Machines</x:v>
      </x:c>
      <x:c r="E191" s="163" t="n">
        <x:v>16500</x:v>
      </x:c>
      <x:c r="F191" s="163" t="n">
        <x:v>346</x:v>
      </x:c>
      <x:c r="G191" s="163" t="n">
        <x:v>30</x:v>
      </x:c>
      <x:c r="H191" s="163" t="n">
        <x:v>19</x:v>
      </x:c>
      <x:c r="I191" s="163" t="n">
        <x:v>12</x:v>
      </x:c>
      <x:c r="J191" s="163" t="n">
        <x:v>6</x:v>
      </x:c>
      <x:c r="K191" s="163" t="n">
        <x:v>2</x:v>
      </x:c>
      <x:c r="L191" s="164" t="n">
        <x:v>3471</x:v>
      </x:c>
      <x:c r="M191" s="164" t="n">
        <x:v>682355</x:v>
      </x:c>
      <x:c r="N191" s="164" t="n">
        <x:v>277380</x:v>
      </x:c>
      <x:c r="O191" s="165" t="n">
        <x:f>IFERROR(F191/E191,0)</x:f>
        <x:v>0.020969696969696968</x:v>
      </x:c>
      <x:c r="P191" s="166" t="n">
        <x:f>IFERROR(L191/F191,0)</x:f>
        <x:v>10.031791907514451</x:v>
      </x:c>
      <x:c r="Q191" s="165" t="n">
        <x:f>IFERROR(G191/F191,0)</x:f>
        <x:v>0.08670520231213873</x:v>
      </x:c>
      <x:c r="R191" s="164" t="n">
        <x:f>IFERROR(L191/G191,0)</x:f>
        <x:v>115.7</x:v>
      </x:c>
      <x:c r="S191" s="167" t="n">
        <x:f>IFERROR(N191/L191,0)</x:f>
        <x:v>79.91356957649093</x:v>
      </x:c>
      <x:c r="T191" s="165" t="n">
        <x:f>IFERROR(K191/J191,0)</x:f>
        <x:v>0.3333333333333333</x:v>
      </x:c>
    </x:row>
    <x:row r="192">
      <x:c r="A192" s="161" t="n">
        <x:v>46082</x:v>
      </x:c>
      <x:c r="B192" s="162" t="str">
        <x:v>LinkedIn</x:v>
      </x:c>
      <x:c r="C192" s="162" t="str">
        <x:v>West</x:v>
      </x:c>
      <x:c r="D192" s="162" t="str">
        <x:v>Labeling Systems</x:v>
      </x:c>
      <x:c r="E192" s="163" t="n">
        <x:v>16125</x:v>
      </x:c>
      <x:c r="F192" s="163" t="n">
        <x:v>364</x:v>
      </x:c>
      <x:c r="G192" s="163" t="n">
        <x:v>31</x:v>
      </x:c>
      <x:c r="H192" s="163" t="n">
        <x:v>20</x:v>
      </x:c>
      <x:c r="I192" s="163" t="n">
        <x:v>12</x:v>
      </x:c>
      <x:c r="J192" s="163" t="n">
        <x:v>6</x:v>
      </x:c>
      <x:c r="K192" s="163" t="n">
        <x:v>2</x:v>
      </x:c>
      <x:c r="L192" s="164" t="n">
        <x:v>3652</x:v>
      </x:c>
      <x:c r="M192" s="164" t="n">
        <x:v>237341</x:v>
      </x:c>
      <x:c r="N192" s="164" t="n">
        <x:v>96480</x:v>
      </x:c>
      <x:c r="O192" s="165" t="n">
        <x:f>IFERROR(F192/E192,0)</x:f>
        <x:v>0.022573643410852714</x:v>
      </x:c>
      <x:c r="P192" s="166" t="n">
        <x:f>IFERROR(L192/F192,0)</x:f>
        <x:v>10.032967032967033</x:v>
      </x:c>
      <x:c r="Q192" s="165" t="n">
        <x:f>IFERROR(G192/F192,0)</x:f>
        <x:v>0.08516483516483517</x:v>
      </x:c>
      <x:c r="R192" s="164" t="n">
        <x:f>IFERROR(L192/G192,0)</x:f>
        <x:v>117.80645161290323</x:v>
      </x:c>
      <x:c r="S192" s="167" t="n">
        <x:f>IFERROR(N192/L192,0)</x:f>
        <x:v>26.4184008762322</x:v>
      </x:c>
      <x:c r="T192" s="165" t="n">
        <x:f>IFERROR(K192/J192,0)</x:f>
        <x:v>0.3333333333333333</x:v>
      </x:c>
    </x:row>
    <x:row r="193">
      <x:c r="A193" s="161" t="n">
        <x:v>46082</x:v>
      </x:c>
      <x:c r="B193" s="162" t="str">
        <x:v>LinkedIn</x:v>
      </x:c>
      <x:c r="C193" s="162" t="str">
        <x:v>West</x:v>
      </x:c>
      <x:c r="D193" s="162" t="str">
        <x:v>Case Packers</x:v>
      </x:c>
      <x:c r="E193" s="163" t="n">
        <x:v>17400</x:v>
      </x:c>
      <x:c r="F193" s="163" t="n">
        <x:v>421</x:v>
      </x:c>
      <x:c r="G193" s="163" t="n">
        <x:v>36</x:v>
      </x:c>
      <x:c r="H193" s="163" t="n">
        <x:v>24</x:v>
      </x:c>
      <x:c r="I193" s="163" t="n">
        <x:v>15</x:v>
      </x:c>
      <x:c r="J193" s="163" t="n">
        <x:v>8</x:v>
      </x:c>
      <x:c r="K193" s="163" t="n">
        <x:v>2</x:v>
      </x:c>
      <x:c r="L193" s="164" t="n">
        <x:v>4223</x:v>
      </x:c>
      <x:c r="M193" s="164" t="n">
        <x:v>738394</x:v>
      </x:c>
      <x:c r="N193" s="164" t="n">
        <x:v>225120</x:v>
      </x:c>
      <x:c r="O193" s="165" t="n">
        <x:f>IFERROR(F193/E193,0)</x:f>
        <x:v>0.024195402298850574</x:v>
      </x:c>
      <x:c r="P193" s="166" t="n">
        <x:f>IFERROR(L193/F193,0)</x:f>
        <x:v>10.030878859857483</x:v>
      </x:c>
      <x:c r="Q193" s="165" t="n">
        <x:f>IFERROR(G193/F193,0)</x:f>
        <x:v>0.0855106888361045</x:v>
      </x:c>
      <x:c r="R193" s="164" t="n">
        <x:f>IFERROR(L193/G193,0)</x:f>
        <x:v>117.30555555555556</x:v>
      </x:c>
      <x:c r="S193" s="167" t="n">
        <x:f>IFERROR(N193/L193,0)</x:f>
        <x:v>53.3080748283211</x:v>
      </x:c>
      <x:c r="T193" s="165" t="n">
        <x:f>IFERROR(K193/J193,0)</x:f>
        <x:v>0.25</x:v>
      </x:c>
    </x:row>
    <x:row r="194">
      <x:c r="A194" s="161" t="n">
        <x:v>46082</x:v>
      </x:c>
      <x:c r="B194" s="162" t="str">
        <x:v>Email</x:v>
      </x:c>
      <x:c r="C194" s="162" t="str">
        <x:v>Northeast</x:v>
      </x:c>
      <x:c r="D194" s="162" t="str">
        <x:v>Pouch Fillers</x:v>
      </x:c>
      <x:c r="E194" s="163" t="n">
        <x:v>8370</x:v>
      </x:c>
      <x:c r="F194" s="163" t="n">
        <x:v>467</x:v>
      </x:c>
      <x:c r="G194" s="163" t="n">
        <x:v>46</x:v>
      </x:c>
      <x:c r="H194" s="163" t="n">
        <x:v>28</x:v>
      </x:c>
      <x:c r="I194" s="163" t="n">
        <x:v>15</x:v>
      </x:c>
      <x:c r="J194" s="163" t="n">
        <x:v>7</x:v>
      </x:c>
      <x:c r="K194" s="163" t="n">
        <x:v>2</x:v>
      </x:c>
      <x:c r="L194" s="164" t="n">
        <x:v>887</x:v>
      </x:c>
      <x:c r="M194" s="164" t="n">
        <x:v>437732</x:v>
      </x:c>
      <x:c r="N194" s="164" t="n">
        <x:v>152520</x:v>
      </x:c>
      <x:c r="O194" s="165" t="n">
        <x:f>IFERROR(F194/E194,0)</x:f>
        <x:v>0.05579450418160096</x:v>
      </x:c>
      <x:c r="P194" s="166" t="n">
        <x:f>IFERROR(L194/F194,0)</x:f>
        <x:v>1.899357601713062</x:v>
      </x:c>
      <x:c r="Q194" s="165" t="n">
        <x:f>IFERROR(G194/F194,0)</x:f>
        <x:v>0.09850107066381156</x:v>
      </x:c>
      <x:c r="R194" s="164" t="n">
        <x:f>IFERROR(L194/G194,0)</x:f>
        <x:v>19.282608695652176</x:v>
      </x:c>
      <x:c r="S194" s="167" t="n">
        <x:f>IFERROR(N194/L194,0)</x:f>
        <x:v>171.95039458850056</x:v>
      </x:c>
      <x:c r="T194" s="165" t="n">
        <x:f>IFERROR(K194/J194,0)</x:f>
        <x:v>0.2857142857142857</x:v>
      </x:c>
    </x:row>
    <x:row r="195">
      <x:c r="A195" s="161" t="n">
        <x:v>46082</x:v>
      </x:c>
      <x:c r="B195" s="162" t="str">
        <x:v>Email</x:v>
      </x:c>
      <x:c r="C195" s="162" t="str">
        <x:v>Northeast</x:v>
      </x:c>
      <x:c r="D195" s="162" t="str">
        <x:v>Cartoning Machines</x:v>
      </x:c>
      <x:c r="E195" s="163" t="n">
        <x:v>9135</x:v>
      </x:c>
      <x:c r="F195" s="163" t="n">
        <x:v>524</x:v>
      </x:c>
      <x:c r="G195" s="163" t="n">
        <x:v>53</x:v>
      </x:c>
      <x:c r="H195" s="163" t="n">
        <x:v>33</x:v>
      </x:c>
      <x:c r="I195" s="163" t="n">
        <x:v>18</x:v>
      </x:c>
      <x:c r="J195" s="163" t="n">
        <x:v>9</x:v>
      </x:c>
      <x:c r="K195" s="163" t="n">
        <x:v>2</x:v>
      </x:c>
      <x:c r="L195" s="164" t="n">
        <x:v>996</x:v>
      </x:c>
      <x:c r="M195" s="164" t="n">
        <x:v>947149</x:v>
      </x:c>
      <x:c r="N195" s="164" t="n">
        <x:v>256680</x:v>
      </x:c>
      <x:c r="O195" s="165" t="n">
        <x:f>IFERROR(F195/E195,0)</x:f>
        <x:v>0.057361795292829774</x:v>
      </x:c>
      <x:c r="P195" s="166" t="n">
        <x:f>IFERROR(L195/F195,0)</x:f>
        <x:v>1.900763358778626</x:v>
      </x:c>
      <x:c r="Q195" s="165" t="n">
        <x:f>IFERROR(G195/F195,0)</x:f>
        <x:v>0.10114503816793893</x:v>
      </x:c>
      <x:c r="R195" s="164" t="n">
        <x:f>IFERROR(L195/G195,0)</x:f>
        <x:v>18.79245283018868</x:v>
      </x:c>
      <x:c r="S195" s="167" t="n">
        <x:f>IFERROR(N195/L195,0)</x:f>
        <x:v>257.71084337349396</x:v>
      </x:c>
      <x:c r="T195" s="165" t="n">
        <x:f>IFERROR(K195/J195,0)</x:f>
        <x:v>0.2222222222222222</x:v>
      </x:c>
    </x:row>
    <x:row r="196">
      <x:c r="A196" s="161" t="n">
        <x:v>46082</x:v>
      </x:c>
      <x:c r="B196" s="162" t="str">
        <x:v>Email</x:v>
      </x:c>
      <x:c r="C196" s="162" t="str">
        <x:v>Northeast</x:v>
      </x:c>
      <x:c r="D196" s="162" t="str">
        <x:v>Labeling Systems</x:v>
      </x:c>
      <x:c r="E196" s="163" t="n">
        <x:v>8910</x:v>
      </x:c>
      <x:c r="F196" s="163" t="n">
        <x:v>490</x:v>
      </x:c>
      <x:c r="G196" s="163" t="n">
        <x:v>49</x:v>
      </x:c>
      <x:c r="H196" s="163" t="n">
        <x:v>32</x:v>
      </x:c>
      <x:c r="I196" s="163" t="n">
        <x:v>18</x:v>
      </x:c>
      <x:c r="J196" s="163" t="n">
        <x:v>10</x:v>
      </x:c>
      <x:c r="K196" s="163" t="n">
        <x:v>3</x:v>
      </x:c>
      <x:c r="L196" s="164" t="n">
        <x:v>931</x:v>
      </x:c>
      <x:c r="M196" s="164" t="n">
        <x:v>366048</x:v>
      </x:c>
      <x:c r="N196" s="164" t="n">
        <x:v>133920</x:v>
      </x:c>
      <x:c r="O196" s="165" t="n">
        <x:f>IFERROR(F196/E196,0)</x:f>
        <x:v>0.05499438832772166</x:v>
      </x:c>
      <x:c r="P196" s="166" t="n">
        <x:f>IFERROR(L196/F196,0)</x:f>
        <x:v>1.9</x:v>
      </x:c>
      <x:c r="Q196" s="165" t="n">
        <x:f>IFERROR(G196/F196,0)</x:f>
        <x:v>0.1</x:v>
      </x:c>
      <x:c r="R196" s="164" t="n">
        <x:f>IFERROR(L196/G196,0)</x:f>
        <x:v>19</x:v>
      </x:c>
      <x:c r="S196" s="167" t="n">
        <x:f>IFERROR(N196/L196,0)</x:f>
        <x:v>143.8453276047261</x:v>
      </x:c>
      <x:c r="T196" s="165" t="n">
        <x:f>IFERROR(K196/J196,0)</x:f>
        <x:v>0.3</x:v>
      </x:c>
    </x:row>
    <x:row r="197">
      <x:c r="A197" s="161" t="n">
        <x:v>46082</x:v>
      </x:c>
      <x:c r="B197" s="162" t="str">
        <x:v>Email</x:v>
      </x:c>
      <x:c r="C197" s="162" t="str">
        <x:v>Northeast</x:v>
      </x:c>
      <x:c r="D197" s="162" t="str">
        <x:v>Case Packers</x:v>
      </x:c>
      <x:c r="E197" s="163" t="n">
        <x:v>9675</x:v>
      </x:c>
      <x:c r="F197" s="163" t="n">
        <x:v>548</x:v>
      </x:c>
      <x:c r="G197" s="163" t="n">
        <x:v>55</x:v>
      </x:c>
      <x:c r="H197" s="163" t="n">
        <x:v>37</x:v>
      </x:c>
      <x:c r="I197" s="163" t="n">
        <x:v>20</x:v>
      </x:c>
      <x:c r="J197" s="163" t="n">
        <x:v>11</x:v>
      </x:c>
      <x:c r="K197" s="163" t="n">
        <x:v>3</x:v>
      </x:c>
      <x:c r="L197" s="164" t="n">
        <x:v>1041</x:v>
      </x:c>
      <x:c r="M197" s="164" t="n">
        <x:v>939523</x:v>
      </x:c>
      <x:c r="N197" s="164" t="n">
        <x:v>312480</x:v>
      </x:c>
      <x:c r="O197" s="165" t="n">
        <x:f>IFERROR(F197/E197,0)</x:f>
        <x:v>0.056640826873385015</x:v>
      </x:c>
      <x:c r="P197" s="166" t="n">
        <x:f>IFERROR(L197/F197,0)</x:f>
        <x:v>1.8996350364963503</x:v>
      </x:c>
      <x:c r="Q197" s="165" t="n">
        <x:f>IFERROR(G197/F197,0)</x:f>
        <x:v>0.10036496350364964</x:v>
      </x:c>
      <x:c r="R197" s="164" t="n">
        <x:f>IFERROR(L197/G197,0)</x:f>
        <x:v>18.927272727272726</x:v>
      </x:c>
      <x:c r="S197" s="167" t="n">
        <x:f>IFERROR(N197/L197,0)</x:f>
        <x:v>300.1729106628242</x:v>
      </x:c>
      <x:c r="T197" s="165" t="n">
        <x:f>IFERROR(K197/J197,0)</x:f>
        <x:v>0.2727272727272727</x:v>
      </x:c>
    </x:row>
    <x:row r="198">
      <x:c r="A198" s="161" t="n">
        <x:v>46082</x:v>
      </x:c>
      <x:c r="B198" s="162" t="str">
        <x:v>Email</x:v>
      </x:c>
      <x:c r="C198" s="162" t="str">
        <x:v>Midwest</x:v>
      </x:c>
      <x:c r="D198" s="162" t="str">
        <x:v>Pouch Fillers</x:v>
      </x:c>
      <x:c r="E198" s="163" t="n">
        <x:v>8865</x:v>
      </x:c>
      <x:c r="F198" s="163" t="n">
        <x:v>516</x:v>
      </x:c>
      <x:c r="G198" s="163" t="n">
        <x:v>51</x:v>
      </x:c>
      <x:c r="H198" s="163" t="n">
        <x:v>31</x:v>
      </x:c>
      <x:c r="I198" s="163" t="n">
        <x:v>18</x:v>
      </x:c>
      <x:c r="J198" s="163" t="n">
        <x:v>9</x:v>
      </x:c>
      <x:c r="K198" s="163" t="n">
        <x:v>2</x:v>
      </x:c>
      <x:c r="L198" s="164" t="n">
        <x:v>995</x:v>
      </x:c>
      <x:c r="M198" s="164" t="n">
        <x:v>577928</x:v>
      </x:c>
      <x:c r="N198" s="164" t="n">
        <x:v>156620</x:v>
      </x:c>
      <x:c r="O198" s="165" t="n">
        <x:f>IFERROR(F198/E198,0)</x:f>
        <x:v>0.05820642978003384</x:v>
      </x:c>
      <x:c r="P198" s="166" t="n">
        <x:f>IFERROR(L198/F198,0)</x:f>
        <x:v>1.928294573643411</x:v>
      </x:c>
      <x:c r="Q198" s="165" t="n">
        <x:f>IFERROR(G198/F198,0)</x:f>
        <x:v>0.09883720930232558</x:v>
      </x:c>
      <x:c r="R198" s="164" t="n">
        <x:f>IFERROR(L198/G198,0)</x:f>
        <x:v>19.50980392156863</x:v>
      </x:c>
      <x:c r="S198" s="167" t="n">
        <x:f>IFERROR(N198/L198,0)</x:f>
        <x:v>157.4070351758794</x:v>
      </x:c>
      <x:c r="T198" s="165" t="n">
        <x:f>IFERROR(K198/J198,0)</x:f>
        <x:v>0.2222222222222222</x:v>
      </x:c>
    </x:row>
    <x:row r="199">
      <x:c r="A199" s="161" t="n">
        <x:v>46082</x:v>
      </x:c>
      <x:c r="B199" s="162" t="str">
        <x:v>Email</x:v>
      </x:c>
      <x:c r="C199" s="162" t="str">
        <x:v>Midwest</x:v>
      </x:c>
      <x:c r="D199" s="162" t="str">
        <x:v>Cartoning Machines</x:v>
      </x:c>
      <x:c r="E199" s="163" t="n">
        <x:v>8640</x:v>
      </x:c>
      <x:c r="F199" s="163" t="n">
        <x:v>482</x:v>
      </x:c>
      <x:c r="G199" s="163" t="n">
        <x:v>49</x:v>
      </x:c>
      <x:c r="H199" s="163" t="n">
        <x:v>31</x:v>
      </x:c>
      <x:c r="I199" s="163" t="n">
        <x:v>18</x:v>
      </x:c>
      <x:c r="J199" s="163" t="n">
        <x:v>9</x:v>
      </x:c>
      <x:c r="K199" s="163" t="n">
        <x:v>2</x:v>
      </x:c>
      <x:c r="L199" s="164" t="n">
        <x:v>930</x:v>
      </x:c>
      <x:c r="M199" s="164" t="n">
        <x:v>972610</x:v>
      </x:c>
      <x:c r="N199" s="164" t="n">
        <x:v>263580</x:v>
      </x:c>
      <x:c r="O199" s="165" t="n">
        <x:f>IFERROR(F199/E199,0)</x:f>
        <x:v>0.05578703703703704</x:v>
      </x:c>
      <x:c r="P199" s="166" t="n">
        <x:f>IFERROR(L199/F199,0)</x:f>
        <x:v>1.929460580912863</x:v>
      </x:c>
      <x:c r="Q199" s="165" t="n">
        <x:f>IFERROR(G199/F199,0)</x:f>
        <x:v>0.1016597510373444</x:v>
      </x:c>
      <x:c r="R199" s="164" t="n">
        <x:f>IFERROR(L199/G199,0)</x:f>
        <x:v>18.979591836734695</x:v>
      </x:c>
      <x:c r="S199" s="167" t="n">
        <x:f>IFERROR(N199/L199,0)</x:f>
        <x:v>283.4193548387097</x:v>
      </x:c>
      <x:c r="T199" s="165" t="n">
        <x:f>IFERROR(K199/J199,0)</x:f>
        <x:v>0.2222222222222222</x:v>
      </x:c>
    </x:row>
    <x:row r="200">
      <x:c r="A200" s="161" t="n">
        <x:v>46082</x:v>
      </x:c>
      <x:c r="B200" s="162" t="str">
        <x:v>Email</x:v>
      </x:c>
      <x:c r="C200" s="162" t="str">
        <x:v>Midwest</x:v>
      </x:c>
      <x:c r="D200" s="162" t="str">
        <x:v>Labeling Systems</x:v>
      </x:c>
      <x:c r="E200" s="163" t="n">
        <x:v>9405</x:v>
      </x:c>
      <x:c r="F200" s="163" t="n">
        <x:v>540</x:v>
      </x:c>
      <x:c r="G200" s="163" t="n">
        <x:v>53</x:v>
      </x:c>
      <x:c r="H200" s="163" t="n">
        <x:v>34</x:v>
      </x:c>
      <x:c r="I200" s="163" t="n">
        <x:v>19</x:v>
      </x:c>
      <x:c r="J200" s="163" t="n">
        <x:v>10</x:v>
      </x:c>
      <x:c r="K200" s="163" t="n">
        <x:v>3</x:v>
      </x:c>
      <x:c r="L200" s="164" t="n">
        <x:v>1041</x:v>
      </x:c>
      <x:c r="M200" s="164" t="n">
        <x:v>375888</x:v>
      </x:c>
      <x:c r="N200" s="164" t="n">
        <x:v>137520</x:v>
      </x:c>
      <x:c r="O200" s="165" t="n">
        <x:f>IFERROR(F200/E200,0)</x:f>
        <x:v>0.05741626794258373</x:v>
      </x:c>
      <x:c r="P200" s="166" t="n">
        <x:f>IFERROR(L200/F200,0)</x:f>
        <x:v>1.9277777777777778</x:v>
      </x:c>
      <x:c r="Q200" s="165" t="n">
        <x:f>IFERROR(G200/F200,0)</x:f>
        <x:v>0.09814814814814815</x:v>
      </x:c>
      <x:c r="R200" s="164" t="n">
        <x:f>IFERROR(L200/G200,0)</x:f>
        <x:v>19.641509433962263</x:v>
      </x:c>
      <x:c r="S200" s="167" t="n">
        <x:f>IFERROR(N200/L200,0)</x:f>
        <x:v>132.10374639769452</x:v>
      </x:c>
      <x:c r="T200" s="165" t="n">
        <x:f>IFERROR(K200/J200,0)</x:f>
        <x:v>0.3</x:v>
      </x:c>
    </x:row>
    <x:row r="201">
      <x:c r="A201" s="161" t="n">
        <x:v>46082</x:v>
      </x:c>
      <x:c r="B201" s="162" t="str">
        <x:v>Email</x:v>
      </x:c>
      <x:c r="C201" s="162" t="str">
        <x:v>Midwest</x:v>
      </x:c>
      <x:c r="D201" s="162" t="str">
        <x:v>Case Packers</x:v>
      </x:c>
      <x:c r="E201" s="163" t="n">
        <x:v>9180</x:v>
      </x:c>
      <x:c r="F201" s="163" t="n">
        <x:v>505</x:v>
      </x:c>
      <x:c r="G201" s="163" t="n">
        <x:v>51</x:v>
      </x:c>
      <x:c r="H201" s="163" t="n">
        <x:v>34</x:v>
      </x:c>
      <x:c r="I201" s="163" t="n">
        <x:v>19</x:v>
      </x:c>
      <x:c r="J201" s="163" t="n">
        <x:v>11</x:v>
      </x:c>
      <x:c r="K201" s="163" t="n">
        <x:v>3</x:v>
      </x:c>
      <x:c r="L201" s="164" t="n">
        <x:v>974</x:v>
      </x:c>
      <x:c r="M201" s="164" t="n">
        <x:v>964779</x:v>
      </x:c>
      <x:c r="N201" s="164" t="n">
        <x:v>320880</x:v>
      </x:c>
      <x:c r="O201" s="165" t="n">
        <x:f>IFERROR(F201/E201,0)</x:f>
        <x:v>0.05501089324618736</x:v>
      </x:c>
      <x:c r="P201" s="166" t="n">
        <x:f>IFERROR(L201/F201,0)</x:f>
        <x:v>1.9287128712871286</x:v>
      </x:c>
      <x:c r="Q201" s="165" t="n">
        <x:f>IFERROR(G201/F201,0)</x:f>
        <x:v>0.100990099009901</x:v>
      </x:c>
      <x:c r="R201" s="164" t="n">
        <x:f>IFERROR(L201/G201,0)</x:f>
        <x:v>19.098039215686274</x:v>
      </x:c>
      <x:c r="S201" s="167" t="n">
        <x:f>IFERROR(N201/L201,0)</x:f>
        <x:v>329.4455852156058</x:v>
      </x:c>
      <x:c r="T201" s="165" t="n">
        <x:f>IFERROR(K201/J201,0)</x:f>
        <x:v>0.2727272727272727</x:v>
      </x:c>
    </x:row>
    <x:row r="202">
      <x:c r="A202" s="161" t="n">
        <x:v>46082</x:v>
      </x:c>
      <x:c r="B202" s="162" t="str">
        <x:v>Email</x:v>
      </x:c>
      <x:c r="C202" s="162" t="str">
        <x:v>South</x:v>
      </x:c>
      <x:c r="D202" s="162" t="str">
        <x:v>Pouch Fillers</x:v>
      </x:c>
      <x:c r="E202" s="163" t="n">
        <x:v>9360</x:v>
      </x:c>
      <x:c r="F202" s="163" t="n">
        <x:v>530</x:v>
      </x:c>
      <x:c r="G202" s="163" t="n">
        <x:v>52</x:v>
      </x:c>
      <x:c r="H202" s="163" t="n">
        <x:v>31</x:v>
      </x:c>
      <x:c r="I202" s="163" t="n">
        <x:v>18</x:v>
      </x:c>
      <x:c r="J202" s="163" t="n">
        <x:v>9</x:v>
      </x:c>
      <x:c r="K202" s="163" t="n">
        <x:v>3</x:v>
      </x:c>
      <x:c r="L202" s="164" t="n">
        <x:v>1037</x:v>
      </x:c>
      <x:c r="M202" s="164" t="n">
        <x:v>593057</x:v>
      </x:c>
      <x:c r="N202" s="164" t="n">
        <x:v>241080</x:v>
      </x:c>
      <x:c r="O202" s="165" t="n">
        <x:f>IFERROR(F202/E202,0)</x:f>
        <x:v>0.056623931623931624</x:v>
      </x:c>
      <x:c r="P202" s="166" t="n">
        <x:f>IFERROR(L202/F202,0)</x:f>
        <x:v>1.9566037735849056</x:v>
      </x:c>
      <x:c r="Q202" s="165" t="n">
        <x:f>IFERROR(G202/F202,0)</x:f>
        <x:v>0.09811320754716982</x:v>
      </x:c>
      <x:c r="R202" s="164" t="n">
        <x:f>IFERROR(L202/G202,0)</x:f>
        <x:v>19.942307692307693</x:v>
      </x:c>
      <x:c r="S202" s="167" t="n">
        <x:f>IFERROR(N202/L202,0)</x:f>
        <x:v>232.47830279652845</x:v>
      </x:c>
      <x:c r="T202" s="165" t="n">
        <x:f>IFERROR(K202/J202,0)</x:f>
        <x:v>0.3333333333333333</x:v>
      </x:c>
    </x:row>
    <x:row r="203">
      <x:c r="A203" s="161" t="n">
        <x:v>46082</x:v>
      </x:c>
      <x:c r="B203" s="162" t="str">
        <x:v>Email</x:v>
      </x:c>
      <x:c r="C203" s="162" t="str">
        <x:v>South</x:v>
      </x:c>
      <x:c r="D203" s="162" t="str">
        <x:v>Cartoning Machines</x:v>
      </x:c>
      <x:c r="E203" s="163" t="n">
        <x:v>9135</x:v>
      </x:c>
      <x:c r="F203" s="163" t="n">
        <x:v>532</x:v>
      </x:c>
      <x:c r="G203" s="163" t="n">
        <x:v>54</x:v>
      </x:c>
      <x:c r="H203" s="163" t="n">
        <x:v>34</x:v>
      </x:c>
      <x:c r="I203" s="163" t="n">
        <x:v>20</x:v>
      </x:c>
      <x:c r="J203" s="163" t="n">
        <x:v>10</x:v>
      </x:c>
      <x:c r="K203" s="163" t="n">
        <x:v>3</x:v>
      </x:c>
      <x:c r="L203" s="164" t="n">
        <x:v>1041</x:v>
      </x:c>
      <x:c r="M203" s="164" t="n">
        <x:v>1108968</x:v>
      </x:c>
      <x:c r="N203" s="164" t="n">
        <x:v>405720</x:v>
      </x:c>
      <x:c r="O203" s="165" t="n">
        <x:f>IFERROR(F203/E203,0)</x:f>
        <x:v>0.05823754789272031</x:v>
      </x:c>
      <x:c r="P203" s="166" t="n">
        <x:f>IFERROR(L203/F203,0)</x:f>
        <x:v>1.9567669172932332</x:v>
      </x:c>
      <x:c r="Q203" s="165" t="n">
        <x:f>IFERROR(G203/F203,0)</x:f>
        <x:v>0.10150375939849623</x:v>
      </x:c>
      <x:c r="R203" s="164" t="n">
        <x:f>IFERROR(L203/G203,0)</x:f>
        <x:v>19.27777777777778</x:v>
      </x:c>
      <x:c r="S203" s="167" t="n">
        <x:f>IFERROR(N203/L203,0)</x:f>
        <x:v>389.7406340057637</x:v>
      </x:c>
      <x:c r="T203" s="165" t="n">
        <x:f>IFERROR(K203/J203,0)</x:f>
        <x:v>0.3</x:v>
      </x:c>
    </x:row>
    <x:row r="204">
      <x:c r="A204" s="161" t="n">
        <x:v>46082</x:v>
      </x:c>
      <x:c r="B204" s="162" t="str">
        <x:v>Email</x:v>
      </x:c>
      <x:c r="C204" s="162" t="str">
        <x:v>South</x:v>
      </x:c>
      <x:c r="D204" s="162" t="str">
        <x:v>Labeling Systems</x:v>
      </x:c>
      <x:c r="E204" s="163" t="n">
        <x:v>9900</x:v>
      </x:c>
      <x:c r="F204" s="163" t="n">
        <x:v>552</x:v>
      </x:c>
      <x:c r="G204" s="163" t="n">
        <x:v>55</x:v>
      </x:c>
      <x:c r="H204" s="163" t="n">
        <x:v>36</x:v>
      </x:c>
      <x:c r="I204" s="163" t="n">
        <x:v>21</x:v>
      </x:c>
      <x:c r="J204" s="163" t="n">
        <x:v>11</x:v>
      </x:c>
      <x:c r="K204" s="163" t="n">
        <x:v>3</x:v>
      </x:c>
      <x:c r="L204" s="164" t="n">
        <x:v>1080</x:v>
      </x:c>
      <x:c r="M204" s="164" t="n">
        <x:v>424301</x:v>
      </x:c>
      <x:c r="N204" s="164" t="n">
        <x:v>141120</x:v>
      </x:c>
      <x:c r="O204" s="165" t="n">
        <x:f>IFERROR(F204/E204,0)</x:f>
        <x:v>0.055757575757575756</x:v>
      </x:c>
      <x:c r="P204" s="166" t="n">
        <x:f>IFERROR(L204/F204,0)</x:f>
        <x:v>1.9565217391304348</x:v>
      </x:c>
      <x:c r="Q204" s="165" t="n">
        <x:f>IFERROR(G204/F204,0)</x:f>
        <x:v>0.09963768115942029</x:v>
      </x:c>
      <x:c r="R204" s="164" t="n">
        <x:f>IFERROR(L204/G204,0)</x:f>
        <x:v>19.636363636363637</x:v>
      </x:c>
      <x:c r="S204" s="167" t="n">
        <x:f>IFERROR(N204/L204,0)</x:f>
        <x:v>130.66666666666666</x:v>
      </x:c>
      <x:c r="T204" s="165" t="n">
        <x:f>IFERROR(K204/J204,0)</x:f>
        <x:v>0.2727272727272727</x:v>
      </x:c>
    </x:row>
    <x:row r="205">
      <x:c r="A205" s="161" t="n">
        <x:v>46082</x:v>
      </x:c>
      <x:c r="B205" s="162" t="str">
        <x:v>Email</x:v>
      </x:c>
      <x:c r="C205" s="162" t="str">
        <x:v>South</x:v>
      </x:c>
      <x:c r="D205" s="162" t="str">
        <x:v>Case Packers</x:v>
      </x:c>
      <x:c r="E205" s="163" t="n">
        <x:v>9675</x:v>
      </x:c>
      <x:c r="F205" s="163" t="n">
        <x:v>555</x:v>
      </x:c>
      <x:c r="G205" s="163" t="n">
        <x:v>56</x:v>
      </x:c>
      <x:c r="H205" s="163" t="n">
        <x:v>38</x:v>
      </x:c>
      <x:c r="I205" s="163" t="n">
        <x:v>22</x:v>
      </x:c>
      <x:c r="J205" s="163" t="n">
        <x:v>12</x:v>
      </x:c>
      <x:c r="K205" s="163" t="n">
        <x:v>3</x:v>
      </x:c>
      <x:c r="L205" s="164" t="n">
        <x:v>1086</x:v>
      </x:c>
      <x:c r="M205" s="164" t="n">
        <x:v>1080038</x:v>
      </x:c>
      <x:c r="N205" s="164" t="n">
        <x:v>329280</x:v>
      </x:c>
      <x:c r="O205" s="165" t="n">
        <x:f>IFERROR(F205/E205,0)</x:f>
        <x:v>0.05736434108527132</x:v>
      </x:c>
      <x:c r="P205" s="166" t="n">
        <x:f>IFERROR(L205/F205,0)</x:f>
        <x:v>1.9567567567567568</x:v>
      </x:c>
      <x:c r="Q205" s="165" t="n">
        <x:f>IFERROR(G205/F205,0)</x:f>
        <x:v>0.1009009009009009</x:v>
      </x:c>
      <x:c r="R205" s="164" t="n">
        <x:f>IFERROR(L205/G205,0)</x:f>
        <x:v>19.392857142857142</x:v>
      </x:c>
      <x:c r="S205" s="167" t="n">
        <x:f>IFERROR(N205/L205,0)</x:f>
        <x:v>303.2044198895028</x:v>
      </x:c>
      <x:c r="T205" s="165" t="n">
        <x:f>IFERROR(K205/J205,0)</x:f>
        <x:v>0.25</x:v>
      </x:c>
    </x:row>
    <x:row r="206">
      <x:c r="A206" s="161" t="n">
        <x:v>46082</x:v>
      </x:c>
      <x:c r="B206" s="162" t="str">
        <x:v>Email</x:v>
      </x:c>
      <x:c r="C206" s="162" t="str">
        <x:v>West</x:v>
      </x:c>
      <x:c r="D206" s="162" t="str">
        <x:v>Pouch Fillers</x:v>
      </x:c>
      <x:c r="E206" s="163" t="n">
        <x:v>9855</x:v>
      </x:c>
      <x:c r="F206" s="163" t="n">
        <x:v>542</x:v>
      </x:c>
      <x:c r="G206" s="163" t="n">
        <x:v>54</x:v>
      </x:c>
      <x:c r="H206" s="163" t="n">
        <x:v>32</x:v>
      </x:c>
      <x:c r="I206" s="163" t="n">
        <x:v>20</x:v>
      </x:c>
      <x:c r="J206" s="163" t="n">
        <x:v>10</x:v>
      </x:c>
      <x:c r="K206" s="163" t="n">
        <x:v>3</x:v>
      </x:c>
      <x:c r="L206" s="164" t="n">
        <x:v>1076</x:v>
      </x:c>
      <x:c r="M206" s="164" t="n">
        <x:v>675762</x:v>
      </x:c>
      <x:c r="N206" s="164" t="n">
        <x:v>247230</x:v>
      </x:c>
      <x:c r="O206" s="165" t="n">
        <x:f>IFERROR(F206/E206,0)</x:f>
        <x:v>0.0549974632166413</x:v>
      </x:c>
      <x:c r="P206" s="166" t="n">
        <x:f>IFERROR(L206/F206,0)</x:f>
        <x:v>1.985239852398524</x:v>
      </x:c>
      <x:c r="Q206" s="165" t="n">
        <x:f>IFERROR(G206/F206,0)</x:f>
        <x:v>0.0996309963099631</x:v>
      </x:c>
      <x:c r="R206" s="164" t="n">
        <x:f>IFERROR(L206/G206,0)</x:f>
        <x:v>19.925925925925927</x:v>
      </x:c>
      <x:c r="S206" s="167" t="n">
        <x:f>IFERROR(N206/L206,0)</x:f>
        <x:v>229.76765799256506</x:v>
      </x:c>
      <x:c r="T206" s="165" t="n">
        <x:f>IFERROR(K206/J206,0)</x:f>
        <x:v>0.3</x:v>
      </x:c>
    </x:row>
    <x:row r="207">
      <x:c r="A207" s="161" t="n">
        <x:v>46082</x:v>
      </x:c>
      <x:c r="B207" s="162" t="str">
        <x:v>Email</x:v>
      </x:c>
      <x:c r="C207" s="162" t="str">
        <x:v>West</x:v>
      </x:c>
      <x:c r="D207" s="162" t="str">
        <x:v>Cartoning Machines</x:v>
      </x:c>
      <x:c r="E207" s="163" t="n">
        <x:v>9630</x:v>
      </x:c>
      <x:c r="F207" s="163" t="n">
        <x:v>545</x:v>
      </x:c>
      <x:c r="G207" s="163" t="n">
        <x:v>55</x:v>
      </x:c>
      <x:c r="H207" s="163" t="n">
        <x:v>34</x:v>
      </x:c>
      <x:c r="I207" s="163" t="n">
        <x:v>21</x:v>
      </x:c>
      <x:c r="J207" s="163" t="n">
        <x:v>11</x:v>
      </x:c>
      <x:c r="K207" s="163" t="n">
        <x:v>3</x:v>
      </x:c>
      <x:c r="L207" s="164" t="n">
        <x:v>1082</x:v>
      </x:c>
      <x:c r="M207" s="164" t="n">
        <x:v>1250984</x:v>
      </x:c>
      <x:c r="N207" s="164" t="n">
        <x:v>416070</x:v>
      </x:c>
      <x:c r="O207" s="165" t="n">
        <x:f>IFERROR(F207/E207,0)</x:f>
        <x:v>0.05659397715472482</x:v>
      </x:c>
      <x:c r="P207" s="166" t="n">
        <x:f>IFERROR(L207/F207,0)</x:f>
        <x:v>1.9853211009174312</x:v>
      </x:c>
      <x:c r="Q207" s="165" t="n">
        <x:f>IFERROR(G207/F207,0)</x:f>
        <x:v>0.10091743119266056</x:v>
      </x:c>
      <x:c r="R207" s="164" t="n">
        <x:f>IFERROR(L207/G207,0)</x:f>
        <x:v>19.672727272727272</x:v>
      </x:c>
      <x:c r="S207" s="167" t="n">
        <x:f>IFERROR(N207/L207,0)</x:f>
        <x:v>384.53789279112755</x:v>
      </x:c>
      <x:c r="T207" s="165" t="n">
        <x:f>IFERROR(K207/J207,0)</x:f>
        <x:v>0.2727272727272727</x:v>
      </x:c>
    </x:row>
    <x:row r="208">
      <x:c r="A208" s="161" t="n">
        <x:v>46082</x:v>
      </x:c>
      <x:c r="B208" s="162" t="str">
        <x:v>Email</x:v>
      </x:c>
      <x:c r="C208" s="162" t="str">
        <x:v>West</x:v>
      </x:c>
      <x:c r="D208" s="162" t="str">
        <x:v>Labeling Systems</x:v>
      </x:c>
      <x:c r="E208" s="163" t="n">
        <x:v>10395</x:v>
      </x:c>
      <x:c r="F208" s="163" t="n">
        <x:v>605</x:v>
      </x:c>
      <x:c r="G208" s="163" t="n">
        <x:v>60</x:v>
      </x:c>
      <x:c r="H208" s="163" t="n">
        <x:v>39</x:v>
      </x:c>
      <x:c r="I208" s="163" t="n">
        <x:v>24</x:v>
      </x:c>
      <x:c r="J208" s="163" t="n">
        <x:v>13</x:v>
      </x:c>
      <x:c r="K208" s="163" t="n">
        <x:v>4</x:v>
      </x:c>
      <x:c r="L208" s="164" t="n">
        <x:v>1201</x:v>
      </x:c>
      <x:c r="M208" s="164" t="n">
        <x:v>514238</x:v>
      </x:c>
      <x:c r="N208" s="164" t="n">
        <x:v>192960</x:v>
      </x:c>
      <x:c r="O208" s="165" t="n">
        <x:f>IFERROR(F208/E208,0)</x:f>
        <x:v>0.0582010582010582</x:v>
      </x:c>
      <x:c r="P208" s="166" t="n">
        <x:f>IFERROR(L208/F208,0)</x:f>
        <x:v>1.9851239669421488</x:v>
      </x:c>
      <x:c r="Q208" s="165" t="n">
        <x:f>IFERROR(G208/F208,0)</x:f>
        <x:v>0.09917355371900827</x:v>
      </x:c>
      <x:c r="R208" s="164" t="n">
        <x:f>IFERROR(L208/G208,0)</x:f>
        <x:v>20.016666666666666</x:v>
      </x:c>
      <x:c r="S208" s="167" t="n">
        <x:f>IFERROR(N208/L208,0)</x:f>
        <x:v>160.6661115736886</x:v>
      </x:c>
      <x:c r="T208" s="165" t="n">
        <x:f>IFERROR(K208/J208,0)</x:f>
        <x:v>0.3076923076923077</x:v>
      </x:c>
    </x:row>
    <x:row r="209">
      <x:c r="A209" s="161" t="n">
        <x:v>46082</x:v>
      </x:c>
      <x:c r="B209" s="162" t="str">
        <x:v>Email</x:v>
      </x:c>
      <x:c r="C209" s="162" t="str">
        <x:v>West</x:v>
      </x:c>
      <x:c r="D209" s="162" t="str">
        <x:v>Case Packers</x:v>
      </x:c>
      <x:c r="E209" s="163" t="n">
        <x:v>10170</x:v>
      </x:c>
      <x:c r="F209" s="163" t="n">
        <x:v>567</x:v>
      </x:c>
      <x:c r="G209" s="163" t="n">
        <x:v>57</x:v>
      </x:c>
      <x:c r="H209" s="163" t="n">
        <x:v>38</x:v>
      </x:c>
      <x:c r="I209" s="163" t="n">
        <x:v>23</x:v>
      </x:c>
      <x:c r="J209" s="163" t="n">
        <x:v>13</x:v>
      </x:c>
      <x:c r="K209" s="163" t="n">
        <x:v>4</x:v>
      </x:c>
      <x:c r="L209" s="164" t="n">
        <x:v>1126</x:v>
      </x:c>
      <x:c r="M209" s="164" t="n">
        <x:v>1199890</x:v>
      </x:c>
      <x:c r="N209" s="164" t="n">
        <x:v>450240</x:v>
      </x:c>
      <x:c r="O209" s="165" t="n">
        <x:f>IFERROR(F209/E209,0)</x:f>
        <x:v>0.05575221238938053</x:v>
      </x:c>
      <x:c r="P209" s="166" t="n">
        <x:f>IFERROR(L209/F209,0)</x:f>
        <x:v>1.9858906525573192</x:v>
      </x:c>
      <x:c r="Q209" s="165" t="n">
        <x:f>IFERROR(G209/F209,0)</x:f>
        <x:v>0.10052910052910052</x:v>
      </x:c>
      <x:c r="R209" s="164" t="n">
        <x:f>IFERROR(L209/G209,0)</x:f>
        <x:v>19.75438596491228</x:v>
      </x:c>
      <x:c r="S209" s="167" t="n">
        <x:f>IFERROR(N209/L209,0)</x:f>
        <x:v>399.85790408525753</x:v>
      </x:c>
      <x:c r="T209" s="165" t="n">
        <x:f>IFERROR(K209/J209,0)</x:f>
        <x:v>0.3076923076923077</x:v>
      </x:c>
    </x:row>
    <x:row r="210">
      <x:c r="A210" s="161" t="n">
        <x:v>46082</x:v>
      </x:c>
      <x:c r="B210" s="162" t="str">
        <x:v>Trade Media</x:v>
      </x:c>
      <x:c r="C210" s="162" t="str">
        <x:v>Northeast</x:v>
      </x:c>
      <x:c r="D210" s="162" t="str">
        <x:v>Pouch Fillers</x:v>
      </x:c>
      <x:c r="E210" s="163" t="n">
        <x:v>9900</x:v>
      </x:c>
      <x:c r="F210" s="163" t="n">
        <x:v>192</x:v>
      </x:c>
      <x:c r="G210" s="163" t="n">
        <x:v>12</x:v>
      </x:c>
      <x:c r="H210" s="163" t="n">
        <x:v>7</x:v>
      </x:c>
      <x:c r="I210" s="163" t="n">
        <x:v>4</x:v>
      </x:c>
      <x:c r="J210" s="163" t="n">
        <x:v>2</x:v>
      </x:c>
      <x:c r="K210" s="163" t="n">
        <x:v>1</x:v>
      </x:c>
      <x:c r="L210" s="164" t="n">
        <x:v>1421</x:v>
      </x:c>
      <x:c r="M210" s="164" t="n">
        <x:v>125066</x:v>
      </x:c>
      <x:c r="N210" s="164" t="n">
        <x:v>76260</x:v>
      </x:c>
      <x:c r="O210" s="165" t="n">
        <x:f>IFERROR(F210/E210,0)</x:f>
        <x:v>0.019393939393939394</x:v>
      </x:c>
      <x:c r="P210" s="166" t="n">
        <x:f>IFERROR(L210/F210,0)</x:f>
        <x:v>7.401041666666667</x:v>
      </x:c>
      <x:c r="Q210" s="165" t="n">
        <x:f>IFERROR(G210/F210,0)</x:f>
        <x:v>0.0625</x:v>
      </x:c>
      <x:c r="R210" s="164" t="n">
        <x:f>IFERROR(L210/G210,0)</x:f>
        <x:v>118.41666666666667</x:v>
      </x:c>
      <x:c r="S210" s="167" t="n">
        <x:f>IFERROR(N210/L210,0)</x:f>
        <x:v>53.66643209007741</x:v>
      </x:c>
      <x:c r="T210" s="165" t="n">
        <x:f>IFERROR(K210/J210,0)</x:f>
        <x:v>0.5</x:v>
      </x:c>
    </x:row>
    <x:row r="211">
      <x:c r="A211" s="161" t="n">
        <x:v>46082</x:v>
      </x:c>
      <x:c r="B211" s="162" t="str">
        <x:v>Trade Media</x:v>
      </x:c>
      <x:c r="C211" s="162" t="str">
        <x:v>Northeast</x:v>
      </x:c>
      <x:c r="D211" s="162" t="str">
        <x:v>Cartoning Machines</x:v>
      </x:c>
      <x:c r="E211" s="163" t="n">
        <x:v>10835</x:v>
      </x:c>
      <x:c r="F211" s="163" t="n">
        <x:v>184</x:v>
      </x:c>
      <x:c r="G211" s="163" t="n">
        <x:v>12</x:v>
      </x:c>
      <x:c r="H211" s="163" t="n">
        <x:v>8</x:v>
      </x:c>
      <x:c r="I211" s="163" t="n">
        <x:v>4</x:v>
      </x:c>
      <x:c r="J211" s="163" t="n">
        <x:v>2</x:v>
      </x:c>
      <x:c r="K211" s="163" t="n">
        <x:v>1</x:v>
      </x:c>
      <x:c r="L211" s="164" t="n">
        <x:v>1362</x:v>
      </x:c>
      <x:c r="M211" s="164" t="n">
        <x:v>210478</x:v>
      </x:c>
      <x:c r="N211" s="164" t="n">
        <x:v>128340</x:v>
      </x:c>
      <x:c r="O211" s="165" t="n">
        <x:f>IFERROR(F211/E211,0)</x:f>
        <x:v>0.0169820027688048</x:v>
      </x:c>
      <x:c r="P211" s="166" t="n">
        <x:f>IFERROR(L211/F211,0)</x:f>
        <x:v>7.4021739130434785</x:v>
      </x:c>
      <x:c r="Q211" s="165" t="n">
        <x:f>IFERROR(G211/F211,0)</x:f>
        <x:v>0.06521739130434782</x:v>
      </x:c>
      <x:c r="R211" s="164" t="n">
        <x:f>IFERROR(L211/G211,0)</x:f>
        <x:v>113.5</x:v>
      </x:c>
      <x:c r="S211" s="167" t="n">
        <x:f>IFERROR(N211/L211,0)</x:f>
        <x:v>94.22907488986785</x:v>
      </x:c>
      <x:c r="T211" s="165" t="n">
        <x:f>IFERROR(K211/J211,0)</x:f>
        <x:v>0.5</x:v>
      </x:c>
    </x:row>
    <x:row r="212">
      <x:c r="A212" s="161" t="n">
        <x:v>46082</x:v>
      </x:c>
      <x:c r="B212" s="162" t="str">
        <x:v>Trade Media</x:v>
      </x:c>
      <x:c r="C212" s="162" t="str">
        <x:v>Northeast</x:v>
      </x:c>
      <x:c r="D212" s="162" t="str">
        <x:v>Labeling Systems</x:v>
      </x:c>
      <x:c r="E212" s="163" t="n">
        <x:v>10560</x:v>
      </x:c>
      <x:c r="F212" s="163" t="n">
        <x:v>196</x:v>
      </x:c>
      <x:c r="G212" s="163" t="n">
        <x:v>12</x:v>
      </x:c>
      <x:c r="H212" s="163" t="n">
        <x:v>8</x:v>
      </x:c>
      <x:c r="I212" s="163" t="n">
        <x:v>4</x:v>
      </x:c>
      <x:c r="J212" s="163" t="n">
        <x:v>2</x:v>
      </x:c>
      <x:c r="K212" s="163" t="n">
        <x:v>1</x:v>
      </x:c>
      <x:c r="L212" s="164" t="n">
        <x:v>1450</x:v>
      </x:c>
      <x:c r="M212" s="164" t="n">
        <x:v>73210</x:v>
      </x:c>
      <x:c r="N212" s="164" t="n">
        <x:v>44640</x:v>
      </x:c>
      <x:c r="O212" s="165" t="n">
        <x:f>IFERROR(F212/E212,0)</x:f>
        <x:v>0.018560606060606062</x:v>
      </x:c>
      <x:c r="P212" s="166" t="n">
        <x:f>IFERROR(L212/F212,0)</x:f>
        <x:v>7.3979591836734695</x:v>
      </x:c>
      <x:c r="Q212" s="165" t="n">
        <x:f>IFERROR(G212/F212,0)</x:f>
        <x:v>0.061224489795918366</x:v>
      </x:c>
      <x:c r="R212" s="164" t="n">
        <x:f>IFERROR(L212/G212,0)</x:f>
        <x:v>120.83333333333333</x:v>
      </x:c>
      <x:c r="S212" s="167" t="n">
        <x:f>IFERROR(N212/L212,0)</x:f>
        <x:v>30.786206896551725</x:v>
      </x:c>
      <x:c r="T212" s="165" t="n">
        <x:f>IFERROR(K212/J212,0)</x:f>
        <x:v>0.5</x:v>
      </x:c>
    </x:row>
    <x:row r="213">
      <x:c r="A213" s="161" t="n">
        <x:v>46082</x:v>
      </x:c>
      <x:c r="B213" s="162" t="str">
        <x:v>Trade Media</x:v>
      </x:c>
      <x:c r="C213" s="162" t="str">
        <x:v>Northeast</x:v>
      </x:c>
      <x:c r="D213" s="162" t="str">
        <x:v>Case Packers</x:v>
      </x:c>
      <x:c r="E213" s="163" t="n">
        <x:v>11495</x:v>
      </x:c>
      <x:c r="F213" s="163" t="n">
        <x:v>232</x:v>
      </x:c>
      <x:c r="G213" s="163" t="n">
        <x:v>15</x:v>
      </x:c>
      <x:c r="H213" s="163" t="n">
        <x:v>10</x:v>
      </x:c>
      <x:c r="I213" s="163" t="n">
        <x:v>6</x:v>
      </x:c>
      <x:c r="J213" s="163" t="n">
        <x:v>3</x:v>
      </x:c>
      <x:c r="K213" s="163" t="n">
        <x:v>1</x:v>
      </x:c>
      <x:c r="L213" s="164" t="n">
        <x:v>1717</x:v>
      </x:c>
      <x:c r="M213" s="164" t="n">
        <x:v>256234</x:v>
      </x:c>
      <x:c r="N213" s="164" t="n">
        <x:v>104160</x:v>
      </x:c>
      <x:c r="O213" s="165" t="n">
        <x:f>IFERROR(F213/E213,0)</x:f>
        <x:v>0.020182688125271856</x:v>
      </x:c>
      <x:c r="P213" s="166" t="n">
        <x:f>IFERROR(L213/F213,0)</x:f>
        <x:v>7.400862068965517</x:v>
      </x:c>
      <x:c r="Q213" s="165" t="n">
        <x:f>IFERROR(G213/F213,0)</x:f>
        <x:v>0.06465517241379311</x:v>
      </x:c>
      <x:c r="R213" s="164" t="n">
        <x:f>IFERROR(L213/G213,0)</x:f>
        <x:v>114.46666666666667</x:v>
      </x:c>
      <x:c r="S213" s="167" t="n">
        <x:f>IFERROR(N213/L213,0)</x:f>
        <x:v>60.66394874781596</x:v>
      </x:c>
      <x:c r="T213" s="165" t="n">
        <x:f>IFERROR(K213/J213,0)</x:f>
        <x:v>0.3333333333333333</x:v>
      </x:c>
    </x:row>
    <x:row r="214">
      <x:c r="A214" s="161" t="n">
        <x:v>46082</x:v>
      </x:c>
      <x:c r="B214" s="162" t="str">
        <x:v>Trade Media</x:v>
      </x:c>
      <x:c r="C214" s="162" t="str">
        <x:v>Midwest</x:v>
      </x:c>
      <x:c r="D214" s="162" t="str">
        <x:v>Pouch Fillers</x:v>
      </x:c>
      <x:c r="E214" s="163" t="n">
        <x:v>10505</x:v>
      </x:c>
      <x:c r="F214" s="163" t="n">
        <x:v>187</x:v>
      </x:c>
      <x:c r="G214" s="163" t="n">
        <x:v>11</x:v>
      </x:c>
      <x:c r="H214" s="163" t="n">
        <x:v>7</x:v>
      </x:c>
      <x:c r="I214" s="163" t="n">
        <x:v>4</x:v>
      </x:c>
      <x:c r="J214" s="163" t="n">
        <x:v>2</x:v>
      </x:c>
      <x:c r="K214" s="163" t="n">
        <x:v>1</x:v>
      </x:c>
      <x:c r="L214" s="164" t="n">
        <x:v>1405</x:v>
      </x:c>
      <x:c r="M214" s="164" t="n">
        <x:v>128428</x:v>
      </x:c>
      <x:c r="N214" s="164" t="n">
        <x:v>78310</x:v>
      </x:c>
      <x:c r="O214" s="165" t="n">
        <x:f>IFERROR(F214/E214,0)</x:f>
        <x:v>0.01780104712041885</x:v>
      </x:c>
      <x:c r="P214" s="166" t="n">
        <x:f>IFERROR(L214/F214,0)</x:f>
        <x:v>7.5133689839572195</x:v>
      </x:c>
      <x:c r="Q214" s="165" t="n">
        <x:f>IFERROR(G214/F214,0)</x:f>
        <x:v>0.058823529411764705</x:v>
      </x:c>
      <x:c r="R214" s="164" t="n">
        <x:f>IFERROR(L214/G214,0)</x:f>
        <x:v>127.72727272727273</x:v>
      </x:c>
      <x:c r="S214" s="167" t="n">
        <x:f>IFERROR(N214/L214,0)</x:f>
        <x:v>55.736654804270465</x:v>
      </x:c>
      <x:c r="T214" s="165" t="n">
        <x:f>IFERROR(K214/J214,0)</x:f>
        <x:v>0.5</x:v>
      </x:c>
    </x:row>
    <x:row r="215">
      <x:c r="A215" s="161" t="n">
        <x:v>46082</x:v>
      </x:c>
      <x:c r="B215" s="162" t="str">
        <x:v>Trade Media</x:v>
      </x:c>
      <x:c r="C215" s="162" t="str">
        <x:v>Midwest</x:v>
      </x:c>
      <x:c r="D215" s="162" t="str">
        <x:v>Cartoning Machines</x:v>
      </x:c>
      <x:c r="E215" s="163" t="n">
        <x:v>11440</x:v>
      </x:c>
      <x:c r="F215" s="163" t="n">
        <x:v>222</x:v>
      </x:c>
      <x:c r="G215" s="163" t="n">
        <x:v>14</x:v>
      </x:c>
      <x:c r="H215" s="163" t="n">
        <x:v>9</x:v>
      </x:c>
      <x:c r="I215" s="163" t="n">
        <x:v>5</x:v>
      </x:c>
      <x:c r="J215" s="163" t="n">
        <x:v>3</x:v>
      </x:c>
      <x:c r="K215" s="163" t="n">
        <x:v>1</x:v>
      </x:c>
      <x:c r="L215" s="164" t="n">
        <x:v>1667</x:v>
      </x:c>
      <x:c r="M215" s="164" t="n">
        <x:v>324203</x:v>
      </x:c>
      <x:c r="N215" s="164" t="n">
        <x:v>131790</x:v>
      </x:c>
      <x:c r="O215" s="165" t="n">
        <x:f>IFERROR(F215/E215,0)</x:f>
        <x:v>0.019405594405594407</x:v>
      </x:c>
      <x:c r="P215" s="166" t="n">
        <x:f>IFERROR(L215/F215,0)</x:f>
        <x:v>7.509009009009009</x:v>
      </x:c>
      <x:c r="Q215" s="165" t="n">
        <x:f>IFERROR(G215/F215,0)</x:f>
        <x:v>0.06306306306306306</x:v>
      </x:c>
      <x:c r="R215" s="164" t="n">
        <x:f>IFERROR(L215/G215,0)</x:f>
        <x:v>119.07142857142857</x:v>
      </x:c>
      <x:c r="S215" s="167" t="n">
        <x:f>IFERROR(N215/L215,0)</x:f>
        <x:v>79.05818836232753</x:v>
      </x:c>
      <x:c r="T215" s="165" t="n">
        <x:f>IFERROR(K215/J215,0)</x:f>
        <x:v>0.3333333333333333</x:v>
      </x:c>
    </x:row>
    <x:row r="216">
      <x:c r="A216" s="161" t="n">
        <x:v>46082</x:v>
      </x:c>
      <x:c r="B216" s="162" t="str">
        <x:v>Trade Media</x:v>
      </x:c>
      <x:c r="C216" s="162" t="str">
        <x:v>Midwest</x:v>
      </x:c>
      <x:c r="D216" s="162" t="str">
        <x:v>Labeling Systems</x:v>
      </x:c>
      <x:c r="E216" s="163" t="n">
        <x:v>11165</x:v>
      </x:c>
      <x:c r="F216" s="163" t="n">
        <x:v>190</x:v>
      </x:c>
      <x:c r="G216" s="163" t="n">
        <x:v>12</x:v>
      </x:c>
      <x:c r="H216" s="163" t="n">
        <x:v>8</x:v>
      </x:c>
      <x:c r="I216" s="163" t="n">
        <x:v>5</x:v>
      </x:c>
      <x:c r="J216" s="163" t="n">
        <x:v>3</x:v>
      </x:c>
      <x:c r="K216" s="163" t="n">
        <x:v>1</x:v>
      </x:c>
      <x:c r="L216" s="164" t="n">
        <x:v>1427</x:v>
      </x:c>
      <x:c r="M216" s="164" t="n">
        <x:v>112766</x:v>
      </x:c>
      <x:c r="N216" s="164" t="n">
        <x:v>45840</x:v>
      </x:c>
      <x:c r="O216" s="165" t="n">
        <x:f>IFERROR(F216/E216,0)</x:f>
        <x:v>0.01701746529332736</x:v>
      </x:c>
      <x:c r="P216" s="166" t="n">
        <x:f>IFERROR(L216/F216,0)</x:f>
        <x:v>7.510526315789473</x:v>
      </x:c>
      <x:c r="Q216" s="165" t="n">
        <x:f>IFERROR(G216/F216,0)</x:f>
        <x:v>0.06315789473684211</x:v>
      </x:c>
      <x:c r="R216" s="164" t="n">
        <x:f>IFERROR(L216/G216,0)</x:f>
        <x:v>118.91666666666667</x:v>
      </x:c>
      <x:c r="S216" s="167" t="n">
        <x:f>IFERROR(N216/L216,0)</x:f>
        <x:v>32.12333566923616</x:v>
      </x:c>
      <x:c r="T216" s="165" t="n">
        <x:f>IFERROR(K216/J216,0)</x:f>
        <x:v>0.3333333333333333</x:v>
      </x:c>
    </x:row>
    <x:row r="217">
      <x:c r="A217" s="161" t="n">
        <x:v>46082</x:v>
      </x:c>
      <x:c r="B217" s="162" t="str">
        <x:v>Trade Media</x:v>
      </x:c>
      <x:c r="C217" s="162" t="str">
        <x:v>Midwest</x:v>
      </x:c>
      <x:c r="D217" s="162" t="str">
        <x:v>Case Packers</x:v>
      </x:c>
      <x:c r="E217" s="163" t="n">
        <x:v>12100</x:v>
      </x:c>
      <x:c r="F217" s="163" t="n">
        <x:v>225</x:v>
      </x:c>
      <x:c r="G217" s="163" t="n">
        <x:v>14</x:v>
      </x:c>
      <x:c r="H217" s="163" t="n">
        <x:v>9</x:v>
      </x:c>
      <x:c r="I217" s="163" t="n">
        <x:v>5</x:v>
      </x:c>
      <x:c r="J217" s="163" t="n">
        <x:v>3</x:v>
      </x:c>
      <x:c r="K217" s="163" t="n">
        <x:v>1</x:v>
      </x:c>
      <x:c r="L217" s="164" t="n">
        <x:v>1690</x:v>
      </x:c>
      <x:c r="M217" s="164" t="n">
        <x:v>263122</x:v>
      </x:c>
      <x:c r="N217" s="164" t="n">
        <x:v>106960</x:v>
      </x:c>
      <x:c r="O217" s="165" t="n">
        <x:f>IFERROR(F217/E217,0)</x:f>
        <x:v>0.01859504132231405</x:v>
      </x:c>
      <x:c r="P217" s="166" t="n">
        <x:f>IFERROR(L217/F217,0)</x:f>
        <x:v>7.511111111111111</x:v>
      </x:c>
      <x:c r="Q217" s="165" t="n">
        <x:f>IFERROR(G217/F217,0)</x:f>
        <x:v>0.06222222222222222</x:v>
      </x:c>
      <x:c r="R217" s="164" t="n">
        <x:f>IFERROR(L217/G217,0)</x:f>
        <x:v>120.71428571428571</x:v>
      </x:c>
      <x:c r="S217" s="167" t="n">
        <x:f>IFERROR(N217/L217,0)</x:f>
        <x:v>63.289940828402365</x:v>
      </x:c>
      <x:c r="T217" s="165" t="n">
        <x:f>IFERROR(K217/J217,0)</x:f>
        <x:v>0.3333333333333333</x:v>
      </x:c>
    </x:row>
    <x:row r="218">
      <x:c r="A218" s="161" t="n">
        <x:v>46082</x:v>
      </x:c>
      <x:c r="B218" s="162" t="str">
        <x:v>Trade Media</x:v>
      </x:c>
      <x:c r="C218" s="162" t="str">
        <x:v>South</x:v>
      </x:c>
      <x:c r="D218" s="162" t="str">
        <x:v>Pouch Fillers</x:v>
      </x:c>
      <x:c r="E218" s="163" t="n">
        <x:v>11110</x:v>
      </x:c>
      <x:c r="F218" s="163" t="n">
        <x:v>224</x:v>
      </x:c>
      <x:c r="G218" s="163" t="n">
        <x:v>14</x:v>
      </x:c>
      <x:c r="H218" s="163" t="n">
        <x:v>8</x:v>
      </x:c>
      <x:c r="I218" s="163" t="n">
        <x:v>5</x:v>
      </x:c>
      <x:c r="J218" s="163" t="n">
        <x:v>2</x:v>
      </x:c>
      <x:c r="K218" s="163" t="n">
        <x:v>1</x:v>
      </x:c>
      <x:c r="L218" s="164" t="n">
        <x:v>1707</x:v>
      </x:c>
      <x:c r="M218" s="164" t="n">
        <x:v>131790</x:v>
      </x:c>
      <x:c r="N218" s="164" t="n">
        <x:v>80360</x:v>
      </x:c>
      <x:c r="O218" s="165" t="n">
        <x:f>IFERROR(F218/E218,0)</x:f>
        <x:v>0.020162016201620163</x:v>
      </x:c>
      <x:c r="P218" s="166" t="n">
        <x:f>IFERROR(L218/F218,0)</x:f>
        <x:v>7.620535714285714</x:v>
      </x:c>
      <x:c r="Q218" s="165" t="n">
        <x:f>IFERROR(G218/F218,0)</x:f>
        <x:v>0.0625</x:v>
      </x:c>
      <x:c r="R218" s="164" t="n">
        <x:f>IFERROR(L218/G218,0)</x:f>
        <x:v>121.92857142857143</x:v>
      </x:c>
      <x:c r="S218" s="167" t="n">
        <x:f>IFERROR(N218/L218,0)</x:f>
        <x:v>47.07674282366725</x:v>
      </x:c>
      <x:c r="T218" s="165" t="n">
        <x:f>IFERROR(K218/J218,0)</x:f>
        <x:v>0.5</x:v>
      </x:c>
    </x:row>
    <x:row r="219">
      <x:c r="A219" s="161" t="n">
        <x:v>46082</x:v>
      </x:c>
      <x:c r="B219" s="162" t="str">
        <x:v>Trade Media</x:v>
      </x:c>
      <x:c r="C219" s="162" t="str">
        <x:v>South</x:v>
      </x:c>
      <x:c r="D219" s="162" t="str">
        <x:v>Cartoning Machines</x:v>
      </x:c>
      <x:c r="E219" s="163" t="n">
        <x:v>12045</x:v>
      </x:c>
      <x:c r="F219" s="163" t="n">
        <x:v>214</x:v>
      </x:c>
      <x:c r="G219" s="163" t="n">
        <x:v>13</x:v>
      </x:c>
      <x:c r="H219" s="163" t="n">
        <x:v>8</x:v>
      </x:c>
      <x:c r="I219" s="163" t="n">
        <x:v>5</x:v>
      </x:c>
      <x:c r="J219" s="163" t="n">
        <x:v>3</x:v>
      </x:c>
      <x:c r="K219" s="163" t="n">
        <x:v>1</x:v>
      </x:c>
      <x:c r="L219" s="164" t="n">
        <x:v>1631</x:v>
      </x:c>
      <x:c r="M219" s="164" t="n">
        <x:v>332690</x:v>
      </x:c>
      <x:c r="N219" s="164" t="n">
        <x:v>135240</x:v>
      </x:c>
      <x:c r="O219" s="165" t="n">
        <x:f>IFERROR(F219/E219,0)</x:f>
        <x:v>0.01776670817766708</x:v>
      </x:c>
      <x:c r="P219" s="166" t="n">
        <x:f>IFERROR(L219/F219,0)</x:f>
        <x:v>7.621495327102804</x:v>
      </x:c>
      <x:c r="Q219" s="165" t="n">
        <x:f>IFERROR(G219/F219,0)</x:f>
        <x:v>0.06074766355140187</x:v>
      </x:c>
      <x:c r="R219" s="164" t="n">
        <x:f>IFERROR(L219/G219,0)</x:f>
        <x:v>125.46153846153847</x:v>
      </x:c>
      <x:c r="S219" s="167" t="n">
        <x:f>IFERROR(N219/L219,0)</x:f>
        <x:v>82.91845493562232</x:v>
      </x:c>
      <x:c r="T219" s="165" t="n">
        <x:f>IFERROR(K219/J219,0)</x:f>
        <x:v>0.3333333333333333</x:v>
      </x:c>
    </x:row>
    <x:row r="220">
      <x:c r="A220" s="161" t="n">
        <x:v>46082</x:v>
      </x:c>
      <x:c r="B220" s="162" t="str">
        <x:v>Trade Media</x:v>
      </x:c>
      <x:c r="C220" s="162" t="str">
        <x:v>South</x:v>
      </x:c>
      <x:c r="D220" s="162" t="str">
        <x:v>Labeling Systems</x:v>
      </x:c>
      <x:c r="E220" s="163" t="n">
        <x:v>11770</x:v>
      </x:c>
      <x:c r="F220" s="163" t="n">
        <x:v>228</x:v>
      </x:c>
      <x:c r="G220" s="163" t="n">
        <x:v>14</x:v>
      </x:c>
      <x:c r="H220" s="163" t="n">
        <x:v>9</x:v>
      </x:c>
      <x:c r="I220" s="163" t="n">
        <x:v>5</x:v>
      </x:c>
      <x:c r="J220" s="163" t="n">
        <x:v>3</x:v>
      </x:c>
      <x:c r="K220" s="163" t="n">
        <x:v>1</x:v>
      </x:c>
      <x:c r="L220" s="164" t="n">
        <x:v>1738</x:v>
      </x:c>
      <x:c r="M220" s="164" t="n">
        <x:v>115718</x:v>
      </x:c>
      <x:c r="N220" s="164" t="n">
        <x:v>47040</x:v>
      </x:c>
      <x:c r="O220" s="165" t="n">
        <x:f>IFERROR(F220/E220,0)</x:f>
        <x:v>0.019371282922684793</x:v>
      </x:c>
      <x:c r="P220" s="166" t="n">
        <x:f>IFERROR(L220/F220,0)</x:f>
        <x:v>7.62280701754386</x:v>
      </x:c>
      <x:c r="Q220" s="165" t="n">
        <x:f>IFERROR(G220/F220,0)</x:f>
        <x:v>0.06140350877192982</x:v>
      </x:c>
      <x:c r="R220" s="164" t="n">
        <x:f>IFERROR(L220/G220,0)</x:f>
        <x:v>124.14285714285714</x:v>
      </x:c>
      <x:c r="S220" s="167" t="n">
        <x:f>IFERROR(N220/L220,0)</x:f>
        <x:v>27.065592635212887</x:v>
      </x:c>
      <x:c r="T220" s="165" t="n">
        <x:f>IFERROR(K220/J220,0)</x:f>
        <x:v>0.3333333333333333</x:v>
      </x:c>
    </x:row>
    <x:row r="221">
      <x:c r="A221" s="161" t="n">
        <x:v>46082</x:v>
      </x:c>
      <x:c r="B221" s="162" t="str">
        <x:v>Trade Media</x:v>
      </x:c>
      <x:c r="C221" s="162" t="str">
        <x:v>South</x:v>
      </x:c>
      <x:c r="D221" s="162" t="str">
        <x:v>Case Packers</x:v>
      </x:c>
      <x:c r="E221" s="163" t="n">
        <x:v>11495</x:v>
      </x:c>
      <x:c r="F221" s="163" t="n">
        <x:v>195</x:v>
      </x:c>
      <x:c r="G221" s="163" t="n">
        <x:v>12</x:v>
      </x:c>
      <x:c r="H221" s="163" t="n">
        <x:v>8</x:v>
      </x:c>
      <x:c r="I221" s="163" t="n">
        <x:v>5</x:v>
      </x:c>
      <x:c r="J221" s="163" t="n">
        <x:v>3</x:v>
      </x:c>
      <x:c r="K221" s="163" t="n">
        <x:v>1</x:v>
      </x:c>
      <x:c r="L221" s="164" t="n">
        <x:v>1486</x:v>
      </x:c>
      <x:c r="M221" s="164" t="n">
        <x:v>270010</x:v>
      </x:c>
      <x:c r="N221" s="164" t="n">
        <x:v>109760</x:v>
      </x:c>
      <x:c r="O221" s="165" t="n">
        <x:f>IFERROR(F221/E221,0)</x:f>
        <x:v>0.016963897346672467</x:v>
      </x:c>
      <x:c r="P221" s="166" t="n">
        <x:f>IFERROR(L221/F221,0)</x:f>
        <x:v>7.62051282051282</x:v>
      </x:c>
      <x:c r="Q221" s="165" t="n">
        <x:f>IFERROR(G221/F221,0)</x:f>
        <x:v>0.06153846153846154</x:v>
      </x:c>
      <x:c r="R221" s="164" t="n">
        <x:f>IFERROR(L221/G221,0)</x:f>
        <x:v>123.83333333333333</x:v>
      </x:c>
      <x:c r="S221" s="167" t="n">
        <x:f>IFERROR(N221/L221,0)</x:f>
        <x:v>73.86271870794079</x:v>
      </x:c>
      <x:c r="T221" s="165" t="n">
        <x:f>IFERROR(K221/J221,0)</x:f>
        <x:v>0.3333333333333333</x:v>
      </x:c>
    </x:row>
    <x:row r="222">
      <x:c r="A222" s="161" t="n">
        <x:v>46082</x:v>
      </x:c>
      <x:c r="B222" s="162" t="str">
        <x:v>Trade Media</x:v>
      </x:c>
      <x:c r="C222" s="162" t="str">
        <x:v>West</x:v>
      </x:c>
      <x:c r="D222" s="162" t="str">
        <x:v>Pouch Fillers</x:v>
      </x:c>
      <x:c r="E222" s="163" t="n">
        <x:v>11715</x:v>
      </x:c>
      <x:c r="F222" s="163" t="n">
        <x:v>218</x:v>
      </x:c>
      <x:c r="G222" s="163" t="n">
        <x:v>13</x:v>
      </x:c>
      <x:c r="H222" s="163" t="n">
        <x:v>8</x:v>
      </x:c>
      <x:c r="I222" s="163" t="n">
        <x:v>5</x:v>
      </x:c>
      <x:c r="J222" s="163" t="n">
        <x:v>2</x:v>
      </x:c>
      <x:c r="K222" s="163" t="n">
        <x:v>1</x:v>
      </x:c>
      <x:c r="L222" s="164" t="n">
        <x:v>1686</x:v>
      </x:c>
      <x:c r="M222" s="164" t="n">
        <x:v>135152</x:v>
      </x:c>
      <x:c r="N222" s="164" t="n">
        <x:v>82410</x:v>
      </x:c>
      <x:c r="O222" s="165" t="n">
        <x:f>IFERROR(F222/E222,0)</x:f>
        <x:v>0.018608621425522835</x:v>
      </x:c>
      <x:c r="P222" s="166" t="n">
        <x:f>IFERROR(L222/F222,0)</x:f>
        <x:v>7.73394495412844</x:v>
      </x:c>
      <x:c r="Q222" s="165" t="n">
        <x:f>IFERROR(G222/F222,0)</x:f>
        <x:v>0.05963302752293578</x:v>
      </x:c>
      <x:c r="R222" s="164" t="n">
        <x:f>IFERROR(L222/G222,0)</x:f>
        <x:v>129.69230769230768</x:v>
      </x:c>
      <x:c r="S222" s="167" t="n">
        <x:f>IFERROR(N222/L222,0)</x:f>
        <x:v>48.879003558718864</x:v>
      </x:c>
      <x:c r="T222" s="165" t="n">
        <x:f>IFERROR(K222/J222,0)</x:f>
        <x:v>0.5</x:v>
      </x:c>
    </x:row>
    <x:row r="223">
      <x:c r="A223" s="161" t="n">
        <x:v>46082</x:v>
      </x:c>
      <x:c r="B223" s="162" t="str">
        <x:v>Trade Media</x:v>
      </x:c>
      <x:c r="C223" s="162" t="str">
        <x:v>West</x:v>
      </x:c>
      <x:c r="D223" s="162" t="str">
        <x:v>Cartoning Machines</x:v>
      </x:c>
      <x:c r="E223" s="163" t="n">
        <x:v>11440</x:v>
      </x:c>
      <x:c r="F223" s="163" t="n">
        <x:v>231</x:v>
      </x:c>
      <x:c r="G223" s="163" t="n">
        <x:v>15</x:v>
      </x:c>
      <x:c r="H223" s="163" t="n">
        <x:v>9</x:v>
      </x:c>
      <x:c r="I223" s="163" t="n">
        <x:v>5</x:v>
      </x:c>
      <x:c r="J223" s="163" t="n">
        <x:v>3</x:v>
      </x:c>
      <x:c r="K223" s="163" t="n">
        <x:v>1</x:v>
      </x:c>
      <x:c r="L223" s="164" t="n">
        <x:v>1786</x:v>
      </x:c>
      <x:c r="M223" s="164" t="n">
        <x:v>341177</x:v>
      </x:c>
      <x:c r="N223" s="164" t="n">
        <x:v>138690</x:v>
      </x:c>
      <x:c r="O223" s="165" t="n">
        <x:f>IFERROR(F223/E223,0)</x:f>
        <x:v>0.020192307692307693</x:v>
      </x:c>
      <x:c r="P223" s="166" t="n">
        <x:f>IFERROR(L223/F223,0)</x:f>
        <x:v>7.731601731601732</x:v>
      </x:c>
      <x:c r="Q223" s="165" t="n">
        <x:f>IFERROR(G223/F223,0)</x:f>
        <x:v>0.06493506493506493</x:v>
      </x:c>
      <x:c r="R223" s="164" t="n">
        <x:f>IFERROR(L223/G223,0)</x:f>
        <x:v>119.06666666666666</x:v>
      </x:c>
      <x:c r="S223" s="167" t="n">
        <x:f>IFERROR(N223/L223,0)</x:f>
        <x:v>77.65397536394177</x:v>
      </x:c>
      <x:c r="T223" s="165" t="n">
        <x:f>IFERROR(K223/J223,0)</x:f>
        <x:v>0.3333333333333333</x:v>
      </x:c>
    </x:row>
    <x:row r="224">
      <x:c r="A224" s="161" t="n">
        <x:v>46082</x:v>
      </x:c>
      <x:c r="B224" s="162" t="str">
        <x:v>Trade Media</x:v>
      </x:c>
      <x:c r="C224" s="162" t="str">
        <x:v>West</x:v>
      </x:c>
      <x:c r="D224" s="162" t="str">
        <x:v>Labeling Systems</x:v>
      </x:c>
      <x:c r="E224" s="163" t="n">
        <x:v>12375</x:v>
      </x:c>
      <x:c r="F224" s="163" t="n">
        <x:v>220</x:v>
      </x:c>
      <x:c r="G224" s="163" t="n">
        <x:v>13</x:v>
      </x:c>
      <x:c r="H224" s="163" t="n">
        <x:v>8</x:v>
      </x:c>
      <x:c r="I224" s="163" t="n">
        <x:v>5</x:v>
      </x:c>
      <x:c r="J224" s="163" t="n">
        <x:v>3</x:v>
      </x:c>
      <x:c r="K224" s="163" t="n">
        <x:v>1</x:v>
      </x:c>
      <x:c r="L224" s="164" t="n">
        <x:v>1701</x:v>
      </x:c>
      <x:c r="M224" s="164" t="n">
        <x:v>118670</x:v>
      </x:c>
      <x:c r="N224" s="164" t="n">
        <x:v>48240</x:v>
      </x:c>
      <x:c r="O224" s="165" t="n">
        <x:f>IFERROR(F224/E224,0)</x:f>
        <x:v>0.017777777777777778</x:v>
      </x:c>
      <x:c r="P224" s="166" t="n">
        <x:f>IFERROR(L224/F224,0)</x:f>
        <x:v>7.7318181818181815</x:v>
      </x:c>
      <x:c r="Q224" s="165" t="n">
        <x:f>IFERROR(G224/F224,0)</x:f>
        <x:v>0.05909090909090909</x:v>
      </x:c>
      <x:c r="R224" s="164" t="n">
        <x:f>IFERROR(L224/G224,0)</x:f>
        <x:v>130.84615384615384</x:v>
      </x:c>
      <x:c r="S224" s="167" t="n">
        <x:f>IFERROR(N224/L224,0)</x:f>
        <x:v>28.35978835978836</x:v>
      </x:c>
      <x:c r="T224" s="165" t="n">
        <x:f>IFERROR(K224/J224,0)</x:f>
        <x:v>0.3333333333333333</x:v>
      </x:c>
    </x:row>
    <x:row r="225">
      <x:c r="A225" s="161" t="n">
        <x:v>46082</x:v>
      </x:c>
      <x:c r="B225" s="162" t="str">
        <x:v>Trade Media</x:v>
      </x:c>
      <x:c r="C225" s="162" t="str">
        <x:v>West</x:v>
      </x:c>
      <x:c r="D225" s="162" t="str">
        <x:v>Case Packers</x:v>
      </x:c>
      <x:c r="E225" s="163" t="n">
        <x:v>12100</x:v>
      </x:c>
      <x:c r="F225" s="163" t="n">
        <x:v>235</x:v>
      </x:c>
      <x:c r="G225" s="163" t="n">
        <x:v>15</x:v>
      </x:c>
      <x:c r="H225" s="163" t="n">
        <x:v>10</x:v>
      </x:c>
      <x:c r="I225" s="163" t="n">
        <x:v>6</x:v>
      </x:c>
      <x:c r="J225" s="163" t="n">
        <x:v>3</x:v>
      </x:c>
      <x:c r="K225" s="163" t="n">
        <x:v>1</x:v>
      </x:c>
      <x:c r="L225" s="164" t="n">
        <x:v>1817</x:v>
      </x:c>
      <x:c r="M225" s="164" t="n">
        <x:v>276898</x:v>
      </x:c>
      <x:c r="N225" s="164" t="n">
        <x:v>112560</x:v>
      </x:c>
      <x:c r="O225" s="165" t="n">
        <x:f>IFERROR(F225/E225,0)</x:f>
        <x:v>0.019421487603305785</x:v>
      </x:c>
      <x:c r="P225" s="166" t="n">
        <x:f>IFERROR(L225/F225,0)</x:f>
        <x:v>7.731914893617021</x:v>
      </x:c>
      <x:c r="Q225" s="165" t="n">
        <x:f>IFERROR(G225/F225,0)</x:f>
        <x:v>0.06382978723404255</x:v>
      </x:c>
      <x:c r="R225" s="164" t="n">
        <x:f>IFERROR(L225/G225,0)</x:f>
        <x:v>121.13333333333334</x:v>
      </x:c>
      <x:c r="S225" s="167" t="n">
        <x:f>IFERROR(N225/L225,0)</x:f>
        <x:v>61.948266373142545</x:v>
      </x:c>
      <x:c r="T225" s="165" t="n">
        <x:f>IFERROR(K225/J225,0)</x:f>
        <x:v>0.3333333333333333</x:v>
      </x:c>
    </x:row>
    <x:row r="226">
      <x:c r="A226" s="161" t="n">
        <x:v>46082</x:v>
      </x:c>
      <x:c r="B226" s="162" t="str">
        <x:v>Retargeting</x:v>
      </x:c>
      <x:c r="C226" s="162" t="str">
        <x:v>Northeast</x:v>
      </x:c>
      <x:c r="D226" s="162" t="str">
        <x:v>Pouch Fillers</x:v>
      </x:c>
      <x:c r="E226" s="163" t="n">
        <x:v>17640</x:v>
      </x:c>
      <x:c r="F226" s="163" t="n">
        <x:v>529</x:v>
      </x:c>
      <x:c r="G226" s="163" t="n">
        <x:v>41</x:v>
      </x:c>
      <x:c r="H226" s="163" t="n">
        <x:v>25</x:v>
      </x:c>
      <x:c r="I226" s="163" t="n">
        <x:v>14</x:v>
      </x:c>
      <x:c r="J226" s="163" t="n">
        <x:v>7</x:v>
      </x:c>
      <x:c r="K226" s="163" t="n">
        <x:v>2</x:v>
      </x:c>
      <x:c r="L226" s="164" t="n">
        <x:v>2539</x:v>
      </x:c>
      <x:c r="M226" s="164" t="n">
        <x:v>437732</x:v>
      </x:c>
      <x:c r="N226" s="164" t="n">
        <x:v>152520</x:v>
      </x:c>
      <x:c r="O226" s="165" t="n">
        <x:f>IFERROR(F226/E226,0)</x:f>
        <x:v>0.029988662131519274</x:v>
      </x:c>
      <x:c r="P226" s="166" t="n">
        <x:f>IFERROR(L226/F226,0)</x:f>
        <x:v>4.799621928166352</x:v>
      </x:c>
      <x:c r="Q226" s="165" t="n">
        <x:f>IFERROR(G226/F226,0)</x:f>
        <x:v>0.07750472589792061</x:v>
      </x:c>
      <x:c r="R226" s="164" t="n">
        <x:f>IFERROR(L226/G226,0)</x:f>
        <x:v>61.926829268292686</x:v>
      </x:c>
      <x:c r="S226" s="167" t="n">
        <x:f>IFERROR(N226/L226,0)</x:f>
        <x:v>60.07089405277669</x:v>
      </x:c>
      <x:c r="T226" s="165" t="n">
        <x:f>IFERROR(K226/J226,0)</x:f>
        <x:v>0.2857142857142857</x:v>
      </x:c>
    </x:row>
    <x:row r="227">
      <x:c r="A227" s="161" t="n">
        <x:v>46082</x:v>
      </x:c>
      <x:c r="B227" s="162" t="str">
        <x:v>Retargeting</x:v>
      </x:c>
      <x:c r="C227" s="162" t="str">
        <x:v>Northeast</x:v>
      </x:c>
      <x:c r="D227" s="162" t="str">
        <x:v>Cartoning Machines</x:v>
      </x:c>
      <x:c r="E227" s="163" t="n">
        <x:v>17190</x:v>
      </x:c>
      <x:c r="F227" s="163" t="n">
        <x:v>543</x:v>
      </x:c>
      <x:c r="G227" s="163" t="n">
        <x:v>43</x:v>
      </x:c>
      <x:c r="H227" s="163" t="n">
        <x:v>27</x:v>
      </x:c>
      <x:c r="I227" s="163" t="n">
        <x:v>15</x:v>
      </x:c>
      <x:c r="J227" s="163" t="n">
        <x:v>8</x:v>
      </x:c>
      <x:c r="K227" s="163" t="n">
        <x:v>2</x:v>
      </x:c>
      <x:c r="L227" s="164" t="n">
        <x:v>2606</x:v>
      </x:c>
      <x:c r="M227" s="164" t="n">
        <x:v>841910</x:v>
      </x:c>
      <x:c r="N227" s="164" t="n">
        <x:v>256680</x:v>
      </x:c>
      <x:c r="O227" s="165" t="n">
        <x:f>IFERROR(F227/E227,0)</x:f>
        <x:v>0.031588132635253056</x:v>
      </x:c>
      <x:c r="P227" s="166" t="n">
        <x:f>IFERROR(L227/F227,0)</x:f>
        <x:v>4.7992633517495396</x:v>
      </x:c>
      <x:c r="Q227" s="165" t="n">
        <x:f>IFERROR(G227/F227,0)</x:f>
        <x:v>0.07918968692449356</x:v>
      </x:c>
      <x:c r="R227" s="164" t="n">
        <x:f>IFERROR(L227/G227,0)</x:f>
        <x:v>60.604651162790695</x:v>
      </x:c>
      <x:c r="S227" s="167" t="n">
        <x:f>IFERROR(N227/L227,0)</x:f>
        <x:v>98.495778971604</x:v>
      </x:c>
      <x:c r="T227" s="165" t="n">
        <x:f>IFERROR(K227/J227,0)</x:f>
        <x:v>0.25</x:v>
      </x:c>
    </x:row>
    <x:row r="228">
      <x:c r="A228" s="161" t="n">
        <x:v>46082</x:v>
      </x:c>
      <x:c r="B228" s="162" t="str">
        <x:v>Retargeting</x:v>
      </x:c>
      <x:c r="C228" s="162" t="str">
        <x:v>Northeast</x:v>
      </x:c>
      <x:c r="D228" s="162" t="str">
        <x:v>Labeling Systems</x:v>
      </x:c>
      <x:c r="E228" s="163" t="n">
        <x:v>18720</x:v>
      </x:c>
      <x:c r="F228" s="163" t="n">
        <x:v>622</x:v>
      </x:c>
      <x:c r="G228" s="163" t="n">
        <x:v>48</x:v>
      </x:c>
      <x:c r="H228" s="163" t="n">
        <x:v>31</x:v>
      </x:c>
      <x:c r="I228" s="163" t="n">
        <x:v>17</x:v>
      </x:c>
      <x:c r="J228" s="163" t="n">
        <x:v>9</x:v>
      </x:c>
      <x:c r="K228" s="163" t="n">
        <x:v>2</x:v>
      </x:c>
      <x:c r="L228" s="164" t="n">
        <x:v>2986</x:v>
      </x:c>
      <x:c r="M228" s="164" t="n">
        <x:v>329443</x:v>
      </x:c>
      <x:c r="N228" s="164" t="n">
        <x:v>89280</x:v>
      </x:c>
      <x:c r="O228" s="165" t="n">
        <x:f>IFERROR(F228/E228,0)</x:f>
        <x:v>0.033226495726495726</x:v>
      </x:c>
      <x:c r="P228" s="166" t="n">
        <x:f>IFERROR(L228/F228,0)</x:f>
        <x:v>4.80064308681672</x:v>
      </x:c>
      <x:c r="Q228" s="165" t="n">
        <x:f>IFERROR(G228/F228,0)</x:f>
        <x:v>0.07717041800643087</x:v>
      </x:c>
      <x:c r="R228" s="164" t="n">
        <x:f>IFERROR(L228/G228,0)</x:f>
        <x:v>62.208333333333336</x:v>
      </x:c>
      <x:c r="S228" s="167" t="n">
        <x:f>IFERROR(N228/L228,0)</x:f>
        <x:v>29.899531145344945</x:v>
      </x:c>
      <x:c r="T228" s="165" t="n">
        <x:f>IFERROR(K228/J228,0)</x:f>
        <x:v>0.2222222222222222</x:v>
      </x:c>
    </x:row>
    <x:row r="229">
      <x:c r="A229" s="161" t="n">
        <x:v>46082</x:v>
      </x:c>
      <x:c r="B229" s="162" t="str">
        <x:v>Retargeting</x:v>
      </x:c>
      <x:c r="C229" s="162" t="str">
        <x:v>Northeast</x:v>
      </x:c>
      <x:c r="D229" s="162" t="str">
        <x:v>Case Packers</x:v>
      </x:c>
      <x:c r="E229" s="163" t="n">
        <x:v>18270</x:v>
      </x:c>
      <x:c r="F229" s="163" t="n">
        <x:v>563</x:v>
      </x:c>
      <x:c r="G229" s="163" t="n">
        <x:v>44</x:v>
      </x:c>
      <x:c r="H229" s="163" t="n">
        <x:v>30</x:v>
      </x:c>
      <x:c r="I229" s="163" t="n">
        <x:v>17</x:v>
      </x:c>
      <x:c r="J229" s="163" t="n">
        <x:v>10</x:v>
      </x:c>
      <x:c r="K229" s="163" t="n">
        <x:v>3</x:v>
      </x:c>
      <x:c r="L229" s="164" t="n">
        <x:v>2702</x:v>
      </x:c>
      <x:c r="M229" s="164" t="n">
        <x:v>854112</x:v>
      </x:c>
      <x:c r="N229" s="164" t="n">
        <x:v>312480</x:v>
      </x:c>
      <x:c r="O229" s="165" t="n">
        <x:f>IFERROR(F229/E229,0)</x:f>
        <x:v>0.030815544608648056</x:v>
      </x:c>
      <x:c r="P229" s="166" t="n">
        <x:f>IFERROR(L229/F229,0)</x:f>
        <x:v>4.799289520426288</x:v>
      </x:c>
      <x:c r="Q229" s="165" t="n">
        <x:f>IFERROR(G229/F229,0)</x:f>
        <x:v>0.07815275310834814</x:v>
      </x:c>
      <x:c r="R229" s="164" t="n">
        <x:f>IFERROR(L229/G229,0)</x:f>
        <x:v>61.40909090909091</x:v>
      </x:c>
      <x:c r="S229" s="167" t="n">
        <x:f>IFERROR(N229/L229,0)</x:f>
        <x:v>115.64766839378238</x:v>
      </x:c>
      <x:c r="T229" s="165" t="n">
        <x:f>IFERROR(K229/J229,0)</x:f>
        <x:v>0.3</x:v>
      </x:c>
    </x:row>
    <x:row r="230">
      <x:c r="A230" s="161" t="n">
        <x:v>46082</x:v>
      </x:c>
      <x:c r="B230" s="162" t="str">
        <x:v>Retargeting</x:v>
      </x:c>
      <x:c r="C230" s="162" t="str">
        <x:v>Midwest</x:v>
      </x:c>
      <x:c r="D230" s="162" t="str">
        <x:v>Pouch Fillers</x:v>
      </x:c>
      <x:c r="E230" s="163" t="n">
        <x:v>18630</x:v>
      </x:c>
      <x:c r="F230" s="163" t="n">
        <x:v>604</x:v>
      </x:c>
      <x:c r="G230" s="163" t="n">
        <x:v>47</x:v>
      </x:c>
      <x:c r="H230" s="163" t="n">
        <x:v>28</x:v>
      </x:c>
      <x:c r="I230" s="163" t="n">
        <x:v>16</x:v>
      </x:c>
      <x:c r="J230" s="163" t="n">
        <x:v>8</x:v>
      </x:c>
      <x:c r="K230" s="163" t="n">
        <x:v>2</x:v>
      </x:c>
      <x:c r="L230" s="164" t="n">
        <x:v>2943</x:v>
      </x:c>
      <x:c r="M230" s="164" t="n">
        <x:v>513714</x:v>
      </x:c>
      <x:c r="N230" s="164" t="n">
        <x:v>156620</x:v>
      </x:c>
      <x:c r="O230" s="165" t="n">
        <x:f>IFERROR(F230/E230,0)</x:f>
        <x:v>0.032420826623725175</x:v>
      </x:c>
      <x:c r="P230" s="166" t="n">
        <x:f>IFERROR(L230/F230,0)</x:f>
        <x:v>4.872516556291391</x:v>
      </x:c>
      <x:c r="Q230" s="165" t="n">
        <x:f>IFERROR(G230/F230,0)</x:f>
        <x:v>0.07781456953642384</x:v>
      </x:c>
      <x:c r="R230" s="164" t="n">
        <x:f>IFERROR(L230/G230,0)</x:f>
        <x:v>62.61702127659574</x:v>
      </x:c>
      <x:c r="S230" s="167" t="n">
        <x:f>IFERROR(N230/L230,0)</x:f>
        <x:v>53.21780496092423</x:v>
      </x:c>
      <x:c r="T230" s="165" t="n">
        <x:f>IFERROR(K230/J230,0)</x:f>
        <x:v>0.25</x:v>
      </x:c>
    </x:row>
    <x:row r="231">
      <x:c r="A231" s="161" t="n">
        <x:v>46082</x:v>
      </x:c>
      <x:c r="B231" s="162" t="str">
        <x:v>Retargeting</x:v>
      </x:c>
      <x:c r="C231" s="162" t="str">
        <x:v>Midwest</x:v>
      </x:c>
      <x:c r="D231" s="162" t="str">
        <x:v>Cartoning Machines</x:v>
      </x:c>
      <x:c r="E231" s="163" t="n">
        <x:v>18180</x:v>
      </x:c>
      <x:c r="F231" s="163" t="n">
        <x:v>545</x:v>
      </x:c>
      <x:c r="G231" s="163" t="n">
        <x:v>43</x:v>
      </x:c>
      <x:c r="H231" s="163" t="n">
        <x:v>27</x:v>
      </x:c>
      <x:c r="I231" s="163" t="n">
        <x:v>15</x:v>
      </x:c>
      <x:c r="J231" s="163" t="n">
        <x:v>8</x:v>
      </x:c>
      <x:c r="K231" s="163" t="n">
        <x:v>2</x:v>
      </x:c>
      <x:c r="L231" s="164" t="n">
        <x:v>2655</x:v>
      </x:c>
      <x:c r="M231" s="164" t="n">
        <x:v>864542</x:v>
      </x:c>
      <x:c r="N231" s="164" t="n">
        <x:v>263580</x:v>
      </x:c>
      <x:c r="O231" s="165" t="n">
        <x:f>IFERROR(F231/E231,0)</x:f>
        <x:v>0.029977997799779978</x:v>
      </x:c>
      <x:c r="P231" s="166" t="n">
        <x:f>IFERROR(L231/F231,0)</x:f>
        <x:v>4.871559633027523</x:v>
      </x:c>
      <x:c r="Q231" s="165" t="n">
        <x:f>IFERROR(G231/F231,0)</x:f>
        <x:v>0.07889908256880734</x:v>
      </x:c>
      <x:c r="R231" s="164" t="n">
        <x:f>IFERROR(L231/G231,0)</x:f>
        <x:v>61.74418604651163</x:v>
      </x:c>
      <x:c r="S231" s="167" t="n">
        <x:f>IFERROR(N231/L231,0)</x:f>
        <x:v>99.2768361581921</x:v>
      </x:c>
      <x:c r="T231" s="165" t="n">
        <x:f>IFERROR(K231/J231,0)</x:f>
        <x:v>0.25</x:v>
      </x:c>
    </x:row>
    <x:row r="232">
      <x:c r="A232" s="161" t="n">
        <x:v>46082</x:v>
      </x:c>
      <x:c r="B232" s="162" t="str">
        <x:v>Retargeting</x:v>
      </x:c>
      <x:c r="C232" s="162" t="str">
        <x:v>Midwest</x:v>
      </x:c>
      <x:c r="D232" s="162" t="str">
        <x:v>Labeling Systems</x:v>
      </x:c>
      <x:c r="E232" s="163" t="n">
        <x:v>17730</x:v>
      </x:c>
      <x:c r="F232" s="163" t="n">
        <x:v>560</x:v>
      </x:c>
      <x:c r="G232" s="163" t="n">
        <x:v>43</x:v>
      </x:c>
      <x:c r="H232" s="163" t="n">
        <x:v>28</x:v>
      </x:c>
      <x:c r="I232" s="163" t="n">
        <x:v>16</x:v>
      </x:c>
      <x:c r="J232" s="163" t="n">
        <x:v>9</x:v>
      </x:c>
      <x:c r="K232" s="163" t="n">
        <x:v>2</x:v>
      </x:c>
      <x:c r="L232" s="164" t="n">
        <x:v>2728</x:v>
      </x:c>
      <x:c r="M232" s="164" t="n">
        <x:v>338299</x:v>
      </x:c>
      <x:c r="N232" s="164" t="n">
        <x:v>91680</x:v>
      </x:c>
      <x:c r="O232" s="165" t="n">
        <x:f>IFERROR(F232/E232,0)</x:f>
        <x:v>0.03158488437676255</x:v>
      </x:c>
      <x:c r="P232" s="166" t="n">
        <x:f>IFERROR(L232/F232,0)</x:f>
        <x:v>4.871428571428571</x:v>
      </x:c>
      <x:c r="Q232" s="165" t="n">
        <x:f>IFERROR(G232/F232,0)</x:f>
        <x:v>0.07678571428571429</x:v>
      </x:c>
      <x:c r="R232" s="164" t="n">
        <x:f>IFERROR(L232/G232,0)</x:f>
        <x:v>63.44186046511628</x:v>
      </x:c>
      <x:c r="S232" s="167" t="n">
        <x:f>IFERROR(N232/L232,0)</x:f>
        <x:v>33.60703812316716</x:v>
      </x:c>
      <x:c r="T232" s="165" t="n">
        <x:f>IFERROR(K232/J232,0)</x:f>
        <x:v>0.2222222222222222</x:v>
      </x:c>
    </x:row>
    <x:row r="233">
      <x:c r="A233" s="161" t="n">
        <x:v>46082</x:v>
      </x:c>
      <x:c r="B233" s="162" t="str">
        <x:v>Retargeting</x:v>
      </x:c>
      <x:c r="C233" s="162" t="str">
        <x:v>Midwest</x:v>
      </x:c>
      <x:c r="D233" s="162" t="str">
        <x:v>Case Packers</x:v>
      </x:c>
      <x:c r="E233" s="163" t="n">
        <x:v>19260</x:v>
      </x:c>
      <x:c r="F233" s="163" t="n">
        <x:v>639</x:v>
      </x:c>
      <x:c r="G233" s="163" t="n">
        <x:v>50</x:v>
      </x:c>
      <x:c r="H233" s="163" t="n">
        <x:v>34</x:v>
      </x:c>
      <x:c r="I233" s="163" t="n">
        <x:v>19</x:v>
      </x:c>
      <x:c r="J233" s="163" t="n">
        <x:v>11</x:v>
      </x:c>
      <x:c r="K233" s="163" t="n">
        <x:v>3</x:v>
      </x:c>
      <x:c r="L233" s="164" t="n">
        <x:v>3113</x:v>
      </x:c>
      <x:c r="M233" s="164" t="n">
        <x:v>964779</x:v>
      </x:c>
      <x:c r="N233" s="164" t="n">
        <x:v>320880</x:v>
      </x:c>
      <x:c r="O233" s="165" t="n">
        <x:f>IFERROR(F233/E233,0)</x:f>
        <x:v>0.033177570093457946</x:v>
      </x:c>
      <x:c r="P233" s="166" t="n">
        <x:f>IFERROR(L233/F233,0)</x:f>
        <x:v>4.871674491392802</x:v>
      </x:c>
      <x:c r="Q233" s="165" t="n">
        <x:f>IFERROR(G233/F233,0)</x:f>
        <x:v>0.0782472613458529</x:v>
      </x:c>
      <x:c r="R233" s="164" t="n">
        <x:f>IFERROR(L233/G233,0)</x:f>
        <x:v>62.26</x:v>
      </x:c>
      <x:c r="S233" s="167" t="n">
        <x:f>IFERROR(N233/L233,0)</x:f>
        <x:v>103.07741728236428</x:v>
      </x:c>
      <x:c r="T233" s="165" t="n">
        <x:f>IFERROR(K233/J233,0)</x:f>
        <x:v>0.2727272727272727</x:v>
      </x:c>
    </x:row>
    <x:row r="234">
      <x:c r="A234" s="161" t="n">
        <x:v>46082</x:v>
      </x:c>
      <x:c r="B234" s="162" t="str">
        <x:v>Retargeting</x:v>
      </x:c>
      <x:c r="C234" s="162" t="str">
        <x:v>South</x:v>
      </x:c>
      <x:c r="D234" s="162" t="str">
        <x:v>Pouch Fillers</x:v>
      </x:c>
      <x:c r="E234" s="163" t="n">
        <x:v>17640</x:v>
      </x:c>
      <x:c r="F234" s="163" t="n">
        <x:v>543</x:v>
      </x:c>
      <x:c r="G234" s="163" t="n">
        <x:v>42</x:v>
      </x:c>
      <x:c r="H234" s="163" t="n">
        <x:v>25</x:v>
      </x:c>
      <x:c r="I234" s="163" t="n">
        <x:v>15</x:v>
      </x:c>
      <x:c r="J234" s="163" t="n">
        <x:v>7</x:v>
      </x:c>
      <x:c r="K234" s="163" t="n">
        <x:v>2</x:v>
      </x:c>
      <x:c r="L234" s="164" t="n">
        <x:v>2685</x:v>
      </x:c>
      <x:c r="M234" s="164" t="n">
        <x:v>461266</x:v>
      </x:c>
      <x:c r="N234" s="164" t="n">
        <x:v>160720</x:v>
      </x:c>
      <x:c r="O234" s="165" t="n">
        <x:f>IFERROR(F234/E234,0)</x:f>
        <x:v>0.030782312925170068</x:v>
      </x:c>
      <x:c r="P234" s="166" t="n">
        <x:f>IFERROR(L234/F234,0)</x:f>
        <x:v>4.94475138121547</x:v>
      </x:c>
      <x:c r="Q234" s="165" t="n">
        <x:f>IFERROR(G234/F234,0)</x:f>
        <x:v>0.07734806629834254</x:v>
      </x:c>
      <x:c r="R234" s="164" t="n">
        <x:f>IFERROR(L234/G234,0)</x:f>
        <x:v>63.92857142857143</x:v>
      </x:c>
      <x:c r="S234" s="167" t="n">
        <x:f>IFERROR(N234/L234,0)</x:f>
        <x:v>59.858472998137806</x:v>
      </x:c>
      <x:c r="T234" s="165" t="n">
        <x:f>IFERROR(K234/J234,0)</x:f>
        <x:v>0.2857142857142857</x:v>
      </x:c>
    </x:row>
    <x:row r="235">
      <x:c r="A235" s="161" t="n">
        <x:v>46082</x:v>
      </x:c>
      <x:c r="B235" s="162" t="str">
        <x:v>Retargeting</x:v>
      </x:c>
      <x:c r="C235" s="162" t="str">
        <x:v>South</x:v>
      </x:c>
      <x:c r="D235" s="162" t="str">
        <x:v>Cartoning Machines</x:v>
      </x:c>
      <x:c r="E235" s="163" t="n">
        <x:v>19170</x:v>
      </x:c>
      <x:c r="F235" s="163" t="n">
        <x:v>621</x:v>
      </x:c>
      <x:c r="G235" s="163" t="n">
        <x:v>49</x:v>
      </x:c>
      <x:c r="H235" s="163" t="n">
        <x:v>31</x:v>
      </x:c>
      <x:c r="I235" s="163" t="n">
        <x:v>18</x:v>
      </x:c>
      <x:c r="J235" s="163" t="n">
        <x:v>9</x:v>
      </x:c>
      <x:c r="K235" s="163" t="n">
        <x:v>3</x:v>
      </x:c>
      <x:c r="L235" s="164" t="n">
        <x:v>3070</x:v>
      </x:c>
      <x:c r="M235" s="164" t="n">
        <x:v>998071</x:v>
      </x:c>
      <x:c r="N235" s="164" t="n">
        <x:v>405720</x:v>
      </x:c>
      <x:c r="O235" s="165" t="n">
        <x:f>IFERROR(F235/E235,0)</x:f>
        <x:v>0.0323943661971831</x:v>
      </x:c>
      <x:c r="P235" s="166" t="n">
        <x:f>IFERROR(L235/F235,0)</x:f>
        <x:v>4.943639291465378</x:v>
      </x:c>
      <x:c r="Q235" s="165" t="n">
        <x:f>IFERROR(G235/F235,0)</x:f>
        <x:v>0.07890499194847021</x:v>
      </x:c>
      <x:c r="R235" s="164" t="n">
        <x:f>IFERROR(L235/G235,0)</x:f>
        <x:v>62.6530612244898</x:v>
      </x:c>
      <x:c r="S235" s="167" t="n">
        <x:f>IFERROR(N235/L235,0)</x:f>
        <x:v>132.15635179153094</x:v>
      </x:c>
      <x:c r="T235" s="165" t="n">
        <x:f>IFERROR(K235/J235,0)</x:f>
        <x:v>0.3333333333333333</x:v>
      </x:c>
    </x:row>
    <x:row r="236">
      <x:c r="A236" s="161" t="n">
        <x:v>46082</x:v>
      </x:c>
      <x:c r="B236" s="162" t="str">
        <x:v>Retargeting</x:v>
      </x:c>
      <x:c r="C236" s="162" t="str">
        <x:v>South</x:v>
      </x:c>
      <x:c r="D236" s="162" t="str">
        <x:v>Labeling Systems</x:v>
      </x:c>
      <x:c r="E236" s="163" t="n">
        <x:v>18720</x:v>
      </x:c>
      <x:c r="F236" s="163" t="n">
        <x:v>562</x:v>
      </x:c>
      <x:c r="G236" s="163" t="n">
        <x:v>43</x:v>
      </x:c>
      <x:c r="H236" s="163" t="n">
        <x:v>28</x:v>
      </x:c>
      <x:c r="I236" s="163" t="n">
        <x:v>17</x:v>
      </x:c>
      <x:c r="J236" s="163" t="n">
        <x:v>9</x:v>
      </x:c>
      <x:c r="K236" s="163" t="n">
        <x:v>3</x:v>
      </x:c>
      <x:c r="L236" s="164" t="n">
        <x:v>2779</x:v>
      </x:c>
      <x:c r="M236" s="164" t="n">
        <x:v>347155</x:v>
      </x:c>
      <x:c r="N236" s="164" t="n">
        <x:v>141120</x:v>
      </x:c>
      <x:c r="O236" s="165" t="n">
        <x:f>IFERROR(F236/E236,0)</x:f>
        <x:v>0.030021367521367522</x:v>
      </x:c>
      <x:c r="P236" s="166" t="n">
        <x:f>IFERROR(L236/F236,0)</x:f>
        <x:v>4.944839857651245</x:v>
      </x:c>
      <x:c r="Q236" s="165" t="n">
        <x:f>IFERROR(G236/F236,0)</x:f>
        <x:v>0.07651245551601424</x:v>
      </x:c>
      <x:c r="R236" s="164" t="n">
        <x:f>IFERROR(L236/G236,0)</x:f>
        <x:v>64.62790697674419</x:v>
      </x:c>
      <x:c r="S236" s="167" t="n">
        <x:f>IFERROR(N236/L236,0)</x:f>
        <x:v>50.7808564231738</x:v>
      </x:c>
      <x:c r="T236" s="165" t="n">
        <x:f>IFERROR(K236/J236,0)</x:f>
        <x:v>0.3333333333333333</x:v>
      </x:c>
    </x:row>
    <x:row r="237">
      <x:c r="A237" s="161" t="n">
        <x:v>46082</x:v>
      </x:c>
      <x:c r="B237" s="162" t="str">
        <x:v>Retargeting</x:v>
      </x:c>
      <x:c r="C237" s="162" t="str">
        <x:v>South</x:v>
      </x:c>
      <x:c r="D237" s="162" t="str">
        <x:v>Case Packers</x:v>
      </x:c>
      <x:c r="E237" s="163" t="n">
        <x:v>20250</x:v>
      </x:c>
      <x:c r="F237" s="163" t="n">
        <x:v>640</x:v>
      </x:c>
      <x:c r="G237" s="163" t="n">
        <x:v>51</x:v>
      </x:c>
      <x:c r="H237" s="163" t="n">
        <x:v>34</x:v>
      </x:c>
      <x:c r="I237" s="163" t="n">
        <x:v>20</x:v>
      </x:c>
      <x:c r="J237" s="163" t="n">
        <x:v>11</x:v>
      </x:c>
      <x:c r="K237" s="163" t="n">
        <x:v>3</x:v>
      </x:c>
      <x:c r="L237" s="164" t="n">
        <x:v>3164</x:v>
      </x:c>
      <x:c r="M237" s="164" t="n">
        <x:v>990035</x:v>
      </x:c>
      <x:c r="N237" s="164" t="n">
        <x:v>329280</x:v>
      </x:c>
      <x:c r="O237" s="165" t="n">
        <x:f>IFERROR(F237/E237,0)</x:f>
        <x:v>0.03160493827160494</x:v>
      </x:c>
      <x:c r="P237" s="166" t="n">
        <x:f>IFERROR(L237/F237,0)</x:f>
        <x:v>4.94375</x:v>
      </x:c>
      <x:c r="Q237" s="165" t="n">
        <x:f>IFERROR(G237/F237,0)</x:f>
        <x:v>0.0796875</x:v>
      </x:c>
      <x:c r="R237" s="164" t="n">
        <x:f>IFERROR(L237/G237,0)</x:f>
        <x:v>62.03921568627451</x:v>
      </x:c>
      <x:c r="S237" s="167" t="n">
        <x:f>IFERROR(N237/L237,0)</x:f>
        <x:v>104.070796460177</x:v>
      </x:c>
      <x:c r="T237" s="165" t="n">
        <x:f>IFERROR(K237/J237,0)</x:f>
        <x:v>0.2727272727272727</x:v>
      </x:c>
    </x:row>
    <x:row r="238">
      <x:c r="A238" s="161" t="n">
        <x:v>46082</x:v>
      </x:c>
      <x:c r="B238" s="162" t="str">
        <x:v>Retargeting</x:v>
      </x:c>
      <x:c r="C238" s="162" t="str">
        <x:v>West</x:v>
      </x:c>
      <x:c r="D238" s="162" t="str">
        <x:v>Pouch Fillers</x:v>
      </x:c>
      <x:c r="E238" s="163" t="n">
        <x:v>18630</x:v>
      </x:c>
      <x:c r="F238" s="163" t="n">
        <x:v>619</x:v>
      </x:c>
      <x:c r="G238" s="163" t="n">
        <x:v>48</x:v>
      </x:c>
      <x:c r="H238" s="163" t="n">
        <x:v>29</x:v>
      </x:c>
      <x:c r="I238" s="163" t="n">
        <x:v>18</x:v>
      </x:c>
      <x:c r="J238" s="163" t="n">
        <x:v>9</x:v>
      </x:c>
      <x:c r="K238" s="163" t="n">
        <x:v>3</x:v>
      </x:c>
      <x:c r="L238" s="164" t="n">
        <x:v>3105</x:v>
      </x:c>
      <x:c r="M238" s="164" t="n">
        <x:v>608186</x:v>
      </x:c>
      <x:c r="N238" s="164" t="n">
        <x:v>247230</x:v>
      </x:c>
      <x:c r="O238" s="165" t="n">
        <x:f>IFERROR(F238/E238,0)</x:f>
        <x:v>0.033225979602791195</x:v>
      </x:c>
      <x:c r="P238" s="166" t="n">
        <x:f>IFERROR(L238/F238,0)</x:f>
        <x:v>5.016155088852988</x:v>
      </x:c>
      <x:c r="Q238" s="165" t="n">
        <x:f>IFERROR(G238/F238,0)</x:f>
        <x:v>0.07754442649434572</x:v>
      </x:c>
      <x:c r="R238" s="164" t="n">
        <x:f>IFERROR(L238/G238,0)</x:f>
        <x:v>64.6875</x:v>
      </x:c>
      <x:c r="S238" s="167" t="n">
        <x:f>IFERROR(N238/L238,0)</x:f>
        <x:v>79.6231884057971</x:v>
      </x:c>
      <x:c r="T238" s="165" t="n">
        <x:f>IFERROR(K238/J238,0)</x:f>
        <x:v>0.3333333333333333</x:v>
      </x:c>
    </x:row>
    <x:row r="239">
      <x:c r="A239" s="161" t="n">
        <x:v>46082</x:v>
      </x:c>
      <x:c r="B239" s="162" t="str">
        <x:v>Retargeting</x:v>
      </x:c>
      <x:c r="C239" s="162" t="str">
        <x:v>West</x:v>
      </x:c>
      <x:c r="D239" s="162" t="str">
        <x:v>Cartoning Machines</x:v>
      </x:c>
      <x:c r="E239" s="163" t="n">
        <x:v>20160</x:v>
      </x:c>
      <x:c r="F239" s="163" t="n">
        <x:v>621</x:v>
      </x:c>
      <x:c r="G239" s="163" t="n">
        <x:v>49</x:v>
      </x:c>
      <x:c r="H239" s="163" t="n">
        <x:v>31</x:v>
      </x:c>
      <x:c r="I239" s="163" t="n">
        <x:v>19</x:v>
      </x:c>
      <x:c r="J239" s="163" t="n">
        <x:v>10</x:v>
      </x:c>
      <x:c r="K239" s="163" t="n">
        <x:v>3</x:v>
      </x:c>
      <x:c r="L239" s="164" t="n">
        <x:v>3115</x:v>
      </x:c>
      <x:c r="M239" s="164" t="n">
        <x:v>1137258</x:v>
      </x:c>
      <x:c r="N239" s="164" t="n">
        <x:v>416070</x:v>
      </x:c>
      <x:c r="O239" s="165" t="n">
        <x:f>IFERROR(F239/E239,0)</x:f>
        <x:v>0.03080357142857143</x:v>
      </x:c>
      <x:c r="P239" s="166" t="n">
        <x:f>IFERROR(L239/F239,0)</x:f>
        <x:v>5.0161030595813205</x:v>
      </x:c>
      <x:c r="Q239" s="165" t="n">
        <x:f>IFERROR(G239/F239,0)</x:f>
        <x:v>0.07890499194847021</x:v>
      </x:c>
      <x:c r="R239" s="164" t="n">
        <x:f>IFERROR(L239/G239,0)</x:f>
        <x:v>63.57142857142857</x:v>
      </x:c>
      <x:c r="S239" s="167" t="n">
        <x:f>IFERROR(N239/L239,0)</x:f>
        <x:v>133.56982343499197</x:v>
      </x:c>
      <x:c r="T239" s="165" t="n">
        <x:f>IFERROR(K239/J239,0)</x:f>
        <x:v>0.3</x:v>
      </x:c>
    </x:row>
    <x:row r="240">
      <x:c r="A240" s="161" t="n">
        <x:v>46082</x:v>
      </x:c>
      <x:c r="B240" s="162" t="str">
        <x:v>Retargeting</x:v>
      </x:c>
      <x:c r="C240" s="162" t="str">
        <x:v>West</x:v>
      </x:c>
      <x:c r="D240" s="162" t="str">
        <x:v>Labeling Systems</x:v>
      </x:c>
      <x:c r="E240" s="163" t="n">
        <x:v>19710</x:v>
      </x:c>
      <x:c r="F240" s="163" t="n">
        <x:v>639</x:v>
      </x:c>
      <x:c r="G240" s="163" t="n">
        <x:v>49</x:v>
      </x:c>
      <x:c r="H240" s="163" t="n">
        <x:v>32</x:v>
      </x:c>
      <x:c r="I240" s="163" t="n">
        <x:v>20</x:v>
      </x:c>
      <x:c r="J240" s="163" t="n">
        <x:v>11</x:v>
      </x:c>
      <x:c r="K240" s="163" t="n">
        <x:v>3</x:v>
      </x:c>
      <x:c r="L240" s="164" t="n">
        <x:v>3205</x:v>
      </x:c>
      <x:c r="M240" s="164" t="n">
        <x:v>435125</x:v>
      </x:c>
      <x:c r="N240" s="164" t="n">
        <x:v>144720</x:v>
      </x:c>
      <x:c r="O240" s="165" t="n">
        <x:f>IFERROR(F240/E240,0)</x:f>
        <x:v>0.032420091324200914</x:v>
      </x:c>
      <x:c r="P240" s="166" t="n">
        <x:f>IFERROR(L240/F240,0)</x:f>
        <x:v>5.01564945226917</x:v>
      </x:c>
      <x:c r="Q240" s="165" t="n">
        <x:f>IFERROR(G240/F240,0)</x:f>
        <x:v>0.07668231611893583</x:v>
      </x:c>
      <x:c r="R240" s="164" t="n">
        <x:f>IFERROR(L240/G240,0)</x:f>
        <x:v>65.40816326530613</x:v>
      </x:c>
      <x:c r="S240" s="167" t="n">
        <x:f>IFERROR(N240/L240,0)</x:f>
        <x:v>45.15444617784711</x:v>
      </x:c>
      <x:c r="T240" s="165" t="n">
        <x:f>IFERROR(K240/J240,0)</x:f>
        <x:v>0.2727272727272727</x:v>
      </x:c>
    </x:row>
    <x:row r="241">
      <x:c r="A241" s="161" t="n">
        <x:v>46082</x:v>
      </x:c>
      <x:c r="B241" s="162" t="str">
        <x:v>Retargeting</x:v>
      </x:c>
      <x:c r="C241" s="162" t="str">
        <x:v>West</x:v>
      </x:c>
      <x:c r="D241" s="162" t="str">
        <x:v>Case Packers</x:v>
      </x:c>
      <x:c r="E241" s="163" t="n">
        <x:v>21240</x:v>
      </x:c>
      <x:c r="F241" s="163" t="n">
        <x:v>637</x:v>
      </x:c>
      <x:c r="G241" s="163" t="n">
        <x:v>50</x:v>
      </x:c>
      <x:c r="H241" s="163" t="n">
        <x:v>34</x:v>
      </x:c>
      <x:c r="I241" s="163" t="n">
        <x:v>21</x:v>
      </x:c>
      <x:c r="J241" s="163" t="n">
        <x:v>12</x:v>
      </x:c>
      <x:c r="K241" s="163" t="n">
        <x:v>4</x:v>
      </x:c>
      <x:c r="L241" s="164" t="n">
        <x:v>3195</x:v>
      </x:c>
      <x:c r="M241" s="164" t="n">
        <x:v>1107590</x:v>
      </x:c>
      <x:c r="N241" s="164" t="n">
        <x:v>450240</x:v>
      </x:c>
      <x:c r="O241" s="165" t="n">
        <x:f>IFERROR(F241/E241,0)</x:f>
        <x:v>0.029990583804143125</x:v>
      </x:c>
      <x:c r="P241" s="166" t="n">
        <x:f>IFERROR(L241/F241,0)</x:f>
        <x:v>5.015698587127159</x:v>
      </x:c>
      <x:c r="Q241" s="165" t="n">
        <x:f>IFERROR(G241/F241,0)</x:f>
        <x:v>0.07849293563579278</x:v>
      </x:c>
      <x:c r="R241" s="164" t="n">
        <x:f>IFERROR(L241/G241,0)</x:f>
        <x:v>63.9</x:v>
      </x:c>
      <x:c r="S241" s="167" t="n">
        <x:f>IFERROR(N241/L241,0)</x:f>
        <x:v>140.92018779342723</x:v>
      </x:c>
      <x:c r="T241" s="165" t="n">
        <x:f>IFERROR(K241/J241,0)</x:f>
        <x:v>0.3333333333333333</x:v>
      </x:c>
    </x:row>
    <x:row r="242">
      <x:c r="A242" s="161" t="n">
        <x:v>46113</x:v>
      </x:c>
      <x:c r="B242" s="162" t="str">
        <x:v>Google Search</x:v>
      </x:c>
      <x:c r="C242" s="162" t="str">
        <x:v>Northeast</x:v>
      </x:c>
      <x:c r="D242" s="162" t="str">
        <x:v>Pouch Fillers</x:v>
      </x:c>
      <x:c r="E242" s="163" t="n">
        <x:v>24240</x:v>
      </x:c>
      <x:c r="F242" s="163" t="n">
        <x:v>1021</x:v>
      </x:c>
      <x:c r="G242" s="163" t="n">
        <x:v>71</x:v>
      </x:c>
      <x:c r="H242" s="163" t="n">
        <x:v>43</x:v>
      </x:c>
      <x:c r="I242" s="163" t="n">
        <x:v>24</x:v>
      </x:c>
      <x:c r="J242" s="163" t="n">
        <x:v>12</x:v>
      </x:c>
      <x:c r="K242" s="163" t="n">
        <x:v>3</x:v>
      </x:c>
      <x:c r="L242" s="164" t="n">
        <x:v>7082</x:v>
      </x:c>
      <x:c r="M242" s="164" t="n">
        <x:v>768701</x:v>
      </x:c>
      <x:c r="N242" s="164" t="n">
        <x:v>228780</x:v>
      </x:c>
      <x:c r="O242" s="165" t="n">
        <x:f>IFERROR(F242/E242,0)</x:f>
        <x:v>0.04212046204620462</x:v>
      </x:c>
      <x:c r="P242" s="166" t="n">
        <x:f>IFERROR(L242/F242,0)</x:f>
        <x:v>6.936336924583742</x:v>
      </x:c>
      <x:c r="Q242" s="165" t="n">
        <x:f>IFERROR(G242/F242,0)</x:f>
        <x:v>0.06953966699314397</x:v>
      </x:c>
      <x:c r="R242" s="164" t="n">
        <x:f>IFERROR(L242/G242,0)</x:f>
        <x:v>99.74647887323944</x:v>
      </x:c>
      <x:c r="S242" s="167" t="n">
        <x:f>IFERROR(N242/L242,0)</x:f>
        <x:v>32.30443377576956</x:v>
      </x:c>
      <x:c r="T242" s="165" t="n">
        <x:f>IFERROR(K242/J242,0)</x:f>
        <x:v>0.25</x:v>
      </x:c>
    </x:row>
    <x:row r="243">
      <x:c r="A243" s="161" t="n">
        <x:v>46113</x:v>
      </x:c>
      <x:c r="B243" s="162" t="str">
        <x:v>Google Search</x:v>
      </x:c>
      <x:c r="C243" s="162" t="str">
        <x:v>Northeast</x:v>
      </x:c>
      <x:c r="D243" s="162" t="str">
        <x:v>Cartoning Machines</x:v>
      </x:c>
      <x:c r="E243" s="163" t="n">
        <x:v>23640</x:v>
      </x:c>
      <x:c r="F243" s="163" t="n">
        <x:v>1033</x:v>
      </x:c>
      <x:c r="G243" s="163" t="n">
        <x:v>74</x:v>
      </x:c>
      <x:c r="H243" s="163" t="n">
        <x:v>47</x:v>
      </x:c>
      <x:c r="I243" s="163" t="n">
        <x:v>26</x:v>
      </x:c>
      <x:c r="J243" s="163" t="n">
        <x:v>13</x:v>
      </x:c>
      <x:c r="K243" s="163" t="n">
        <x:v>4</x:v>
      </x:c>
      <x:c r="L243" s="164" t="n">
        <x:v>7165</x:v>
      </x:c>
      <x:c r="M243" s="164" t="n">
        <x:v>1401473</x:v>
      </x:c>
      <x:c r="N243" s="164" t="n">
        <x:v>513360</x:v>
      </x:c>
      <x:c r="O243" s="165" t="n">
        <x:f>IFERROR(F243/E243,0)</x:f>
        <x:v>0.04369712351945854</x:v>
      </x:c>
      <x:c r="P243" s="166" t="n">
        <x:f>IFERROR(L243/F243,0)</x:f>
        <x:v>6.936108422071636</x:v>
      </x:c>
      <x:c r="Q243" s="165" t="n">
        <x:f>IFERROR(G243/F243,0)</x:f>
        <x:v>0.07163601161665054</x:v>
      </x:c>
      <x:c r="R243" s="164" t="n">
        <x:f>IFERROR(L243/G243,0)</x:f>
        <x:v>96.82432432432432</x:v>
      </x:c>
      <x:c r="S243" s="167" t="n">
        <x:f>IFERROR(N243/L243,0)</x:f>
        <x:v>71.64829030006979</x:v>
      </x:c>
      <x:c r="T243" s="165" t="n">
        <x:f>IFERROR(K243/J243,0)</x:f>
        <x:v>0.3076923076923077</x:v>
      </x:c>
    </x:row>
    <x:row r="244">
      <x:c r="A244" s="161" t="n">
        <x:v>46113</x:v>
      </x:c>
      <x:c r="B244" s="162" t="str">
        <x:v>Google Search</x:v>
      </x:c>
      <x:c r="C244" s="162" t="str">
        <x:v>Northeast</x:v>
      </x:c>
      <x:c r="D244" s="162" t="str">
        <x:v>Labeling Systems</x:v>
      </x:c>
      <x:c r="E244" s="163" t="n">
        <x:v>25680</x:v>
      </x:c>
      <x:c r="F244" s="163" t="n">
        <x:v>1061</x:v>
      </x:c>
      <x:c r="G244" s="163" t="n">
        <x:v>74</x:v>
      </x:c>
      <x:c r="H244" s="163" t="n">
        <x:v>49</x:v>
      </x:c>
      <x:c r="I244" s="163" t="n">
        <x:v>27</x:v>
      </x:c>
      <x:c r="J244" s="163" t="n">
        <x:v>15</x:v>
      </x:c>
      <x:c r="K244" s="163" t="n">
        <x:v>4</x:v>
      </x:c>
      <x:c r="L244" s="164" t="n">
        <x:v>7359</x:v>
      </x:c>
      <x:c r="M244" s="164" t="n">
        <x:v>562464</x:v>
      </x:c>
      <x:c r="N244" s="164" t="n">
        <x:v>178560</x:v>
      </x:c>
      <x:c r="O244" s="165" t="n">
        <x:f>IFERROR(F244/E244,0)</x:f>
        <x:v>0.04131619937694704</x:v>
      </x:c>
      <x:c r="P244" s="166" t="n">
        <x:f>IFERROR(L244/F244,0)</x:f>
        <x:v>6.935909519321395</x:v>
      </x:c>
      <x:c r="Q244" s="165" t="n">
        <x:f>IFERROR(G244/F244,0)</x:f>
        <x:v>0.06974552309142319</x:v>
      </x:c>
      <x:c r="R244" s="164" t="n">
        <x:f>IFERROR(L244/G244,0)</x:f>
        <x:v>99.44594594594595</x:v>
      </x:c>
      <x:c r="S244" s="167" t="n">
        <x:f>IFERROR(N244/L244,0)</x:f>
        <x:v>24.264166326946597</x:v>
      </x:c>
      <x:c r="T244" s="165" t="n">
        <x:f>IFERROR(K244/J244,0)</x:f>
        <x:v>0.26666666666666666</x:v>
      </x:c>
    </x:row>
    <x:row r="245">
      <x:c r="A245" s="161" t="n">
        <x:v>46113</x:v>
      </x:c>
      <x:c r="B245" s="162" t="str">
        <x:v>Google Search</x:v>
      </x:c>
      <x:c r="C245" s="162" t="str">
        <x:v>Northeast</x:v>
      </x:c>
      <x:c r="D245" s="162" t="str">
        <x:v>Case Packers</x:v>
      </x:c>
      <x:c r="E245" s="163" t="n">
        <x:v>25080</x:v>
      </x:c>
      <x:c r="F245" s="163" t="n">
        <x:v>1076</x:v>
      </x:c>
      <x:c r="G245" s="163" t="n">
        <x:v>77</x:v>
      </x:c>
      <x:c r="H245" s="163" t="n">
        <x:v>53</x:v>
      </x:c>
      <x:c r="I245" s="163" t="n">
        <x:v>29</x:v>
      </x:c>
      <x:c r="J245" s="163" t="n">
        <x:v>16</x:v>
      </x:c>
      <x:c r="K245" s="163" t="n">
        <x:v>5</x:v>
      </x:c>
      <x:c r="L245" s="164" t="n">
        <x:v>7463</x:v>
      </x:c>
      <x:c r="M245" s="164" t="n">
        <x:v>1399910</x:v>
      </x:c>
      <x:c r="N245" s="164" t="n">
        <x:v>520800</x:v>
      </x:c>
      <x:c r="O245" s="165" t="n">
        <x:f>IFERROR(F245/E245,0)</x:f>
        <x:v>0.042902711323763956</x:v>
      </x:c>
      <x:c r="P245" s="166" t="n">
        <x:f>IFERROR(L245/F245,0)</x:f>
        <x:v>6.935873605947956</x:v>
      </x:c>
      <x:c r="Q245" s="165" t="n">
        <x:f>IFERROR(G245/F245,0)</x:f>
        <x:v>0.07156133828996282</x:v>
      </x:c>
      <x:c r="R245" s="164" t="n">
        <x:f>IFERROR(L245/G245,0)</x:f>
        <x:v>96.92207792207792</x:v>
      </x:c>
      <x:c r="S245" s="167" t="n">
        <x:f>IFERROR(N245/L245,0)</x:f>
        <x:v>69.78426906069944</x:v>
      </x:c>
      <x:c r="T245" s="165" t="n">
        <x:f>IFERROR(K245/J245,0)</x:f>
        <x:v>0.3125</x:v>
      </x:c>
    </x:row>
    <x:row r="246">
      <x:c r="A246" s="161" t="n">
        <x:v>46113</x:v>
      </x:c>
      <x:c r="B246" s="162" t="str">
        <x:v>Google Search</x:v>
      </x:c>
      <x:c r="C246" s="162" t="str">
        <x:v>Midwest</x:v>
      </x:c>
      <x:c r="D246" s="162" t="str">
        <x:v>Pouch Fillers</x:v>
      </x:c>
      <x:c r="E246" s="163" t="n">
        <x:v>25560</x:v>
      </x:c>
      <x:c r="F246" s="163" t="n">
        <x:v>1035</x:v>
      </x:c>
      <x:c r="G246" s="163" t="n">
        <x:v>72</x:v>
      </x:c>
      <x:c r="H246" s="163" t="n">
        <x:v>44</x:v>
      </x:c>
      <x:c r="I246" s="163" t="n">
        <x:v>25</x:v>
      </x:c>
      <x:c r="J246" s="163" t="n">
        <x:v>12</x:v>
      </x:c>
      <x:c r="K246" s="163" t="n">
        <x:v>4</x:v>
      </x:c>
      <x:c r="L246" s="164" t="n">
        <x:v>7284</x:v>
      </x:c>
      <x:c r="M246" s="164" t="n">
        <x:v>789365</x:v>
      </x:c>
      <x:c r="N246" s="164" t="n">
        <x:v>313240</x:v>
      </x:c>
      <x:c r="O246" s="165" t="n">
        <x:f>IFERROR(F246/E246,0)</x:f>
        <x:v>0.040492957746478875</x:v>
      </x:c>
      <x:c r="P246" s="166" t="n">
        <x:f>IFERROR(L246/F246,0)</x:f>
        <x:v>7.0376811594202895</x:v>
      </x:c>
      <x:c r="Q246" s="165" t="n">
        <x:f>IFERROR(G246/F246,0)</x:f>
        <x:v>0.06956521739130435</x:v>
      </x:c>
      <x:c r="R246" s="164" t="n">
        <x:f>IFERROR(L246/G246,0)</x:f>
        <x:v>101.16666666666667</x:v>
      </x:c>
      <x:c r="S246" s="167" t="n">
        <x:f>IFERROR(N246/L246,0)</x:f>
        <x:v>43.00384404173531</x:v>
      </x:c>
      <x:c r="T246" s="165" t="n">
        <x:f>IFERROR(K246/J246,0)</x:f>
        <x:v>0.3333333333333333</x:v>
      </x:c>
    </x:row>
    <x:row r="247">
      <x:c r="A247" s="161" t="n">
        <x:v>46113</x:v>
      </x:c>
      <x:c r="B247" s="162" t="str">
        <x:v>Google Search</x:v>
      </x:c>
      <x:c r="C247" s="162" t="str">
        <x:v>Midwest</x:v>
      </x:c>
      <x:c r="D247" s="162" t="str">
        <x:v>Cartoning Machines</x:v>
      </x:c>
      <x:c r="E247" s="163" t="n">
        <x:v>24960</x:v>
      </x:c>
      <x:c r="F247" s="163" t="n">
        <x:v>1051</x:v>
      </x:c>
      <x:c r="G247" s="163" t="n">
        <x:v>76</x:v>
      </x:c>
      <x:c r="H247" s="163" t="n">
        <x:v>48</x:v>
      </x:c>
      <x:c r="I247" s="163" t="n">
        <x:v>27</x:v>
      </x:c>
      <x:c r="J247" s="163" t="n">
        <x:v>14</x:v>
      </x:c>
      <x:c r="K247" s="163" t="n">
        <x:v>4</x:v>
      </x:c>
      <x:c r="L247" s="164" t="n">
        <x:v>7397</x:v>
      </x:c>
      <x:c r="M247" s="164" t="n">
        <x:v>1549850</x:v>
      </x:c>
      <x:c r="N247" s="164" t="n">
        <x:v>527160</x:v>
      </x:c>
      <x:c r="O247" s="165" t="n">
        <x:f>IFERROR(F247/E247,0)</x:f>
        <x:v>0.0421073717948718</x:v>
      </x:c>
      <x:c r="P247" s="166" t="n">
        <x:f>IFERROR(L247/F247,0)</x:f>
        <x:v>7.038058991436727</x:v>
      </x:c>
      <x:c r="Q247" s="165" t="n">
        <x:f>IFERROR(G247/F247,0)</x:f>
        <x:v>0.07231208372978117</x:v>
      </x:c>
      <x:c r="R247" s="164" t="n">
        <x:f>IFERROR(L247/G247,0)</x:f>
        <x:v>97.32894736842105</x:v>
      </x:c>
      <x:c r="S247" s="167" t="n">
        <x:f>IFERROR(N247/L247,0)</x:f>
        <x:v>71.2667297553062</x:v>
      </x:c>
      <x:c r="T247" s="165" t="n">
        <x:f>IFERROR(K247/J247,0)</x:f>
        <x:v>0.2857142857142857</x:v>
      </x:c>
    </x:row>
    <x:row r="248">
      <x:c r="A248" s="161" t="n">
        <x:v>46113</x:v>
      </x:c>
      <x:c r="B248" s="162" t="str">
        <x:v>Google Search</x:v>
      </x:c>
      <x:c r="C248" s="162" t="str">
        <x:v>Midwest</x:v>
      </x:c>
      <x:c r="D248" s="162" t="str">
        <x:v>Labeling Systems</x:v>
      </x:c>
      <x:c r="E248" s="163" t="n">
        <x:v>27000</x:v>
      </x:c>
      <x:c r="F248" s="163" t="n">
        <x:v>1180</x:v>
      </x:c>
      <x:c r="G248" s="163" t="n">
        <x:v>83</x:v>
      </x:c>
      <x:c r="H248" s="163" t="n">
        <x:v>55</x:v>
      </x:c>
      <x:c r="I248" s="163" t="n">
        <x:v>31</x:v>
      </x:c>
      <x:c r="J248" s="163" t="n">
        <x:v>17</x:v>
      </x:c>
      <x:c r="K248" s="163" t="n">
        <x:v>5</x:v>
      </x:c>
      <x:c r="L248" s="164" t="n">
        <x:v>8305</x:v>
      </x:c>
      <x:c r="M248" s="164" t="n">
        <x:v>654595</x:v>
      </x:c>
      <x:c r="N248" s="164" t="n">
        <x:v>229200</x:v>
      </x:c>
      <x:c r="O248" s="165" t="n">
        <x:f>IFERROR(F248/E248,0)</x:f>
        <x:v>0.0437037037037037</x:v>
      </x:c>
      <x:c r="P248" s="166" t="n">
        <x:f>IFERROR(L248/F248,0)</x:f>
        <x:v>7.038135593220339</x:v>
      </x:c>
      <x:c r="Q248" s="165" t="n">
        <x:f>IFERROR(G248/F248,0)</x:f>
        <x:v>0.07033898305084746</x:v>
      </x:c>
      <x:c r="R248" s="164" t="n">
        <x:f>IFERROR(L248/G248,0)</x:f>
        <x:v>100.06024096385542</x:v>
      </x:c>
      <x:c r="S248" s="167" t="n">
        <x:f>IFERROR(N248/L248,0)</x:f>
        <x:v>27.597832630945213</x:v>
      </x:c>
      <x:c r="T248" s="165" t="n">
        <x:f>IFERROR(K248/J248,0)</x:f>
        <x:v>0.29411764705882354</x:v>
      </x:c>
    </x:row>
    <x:row r="249">
      <x:c r="A249" s="161" t="n">
        <x:v>46113</x:v>
      </x:c>
      <x:c r="B249" s="162" t="str">
        <x:v>Google Search</x:v>
      </x:c>
      <x:c r="C249" s="162" t="str">
        <x:v>Midwest</x:v>
      </x:c>
      <x:c r="D249" s="162" t="str">
        <x:v>Case Packers</x:v>
      </x:c>
      <x:c r="E249" s="163" t="n">
        <x:v>26400</x:v>
      </x:c>
      <x:c r="F249" s="163" t="n">
        <x:v>1090</x:v>
      </x:c>
      <x:c r="G249" s="163" t="n">
        <x:v>78</x:v>
      </x:c>
      <x:c r="H249" s="163" t="n">
        <x:v>53</x:v>
      </x:c>
      <x:c r="I249" s="163" t="n">
        <x:v>30</x:v>
      </x:c>
      <x:c r="J249" s="163" t="n">
        <x:v>17</x:v>
      </x:c>
      <x:c r="K249" s="163" t="n">
        <x:v>5</x:v>
      </x:c>
      <x:c r="L249" s="164" t="n">
        <x:v>7671</x:v>
      </x:c>
      <x:c r="M249" s="164" t="n">
        <x:v>1527389</x:v>
      </x:c>
      <x:c r="N249" s="164" t="n">
        <x:v>534800</x:v>
      </x:c>
      <x:c r="O249" s="165" t="n">
        <x:f>IFERROR(F249/E249,0)</x:f>
        <x:v>0.04128787878787879</x:v>
      </x:c>
      <x:c r="P249" s="166" t="n">
        <x:f>IFERROR(L249/F249,0)</x:f>
        <x:v>7.037614678899082</x:v>
      </x:c>
      <x:c r="Q249" s="165" t="n">
        <x:f>IFERROR(G249/F249,0)</x:f>
        <x:v>0.07155963302752294</x:v>
      </x:c>
      <x:c r="R249" s="164" t="n">
        <x:f>IFERROR(L249/G249,0)</x:f>
        <x:v>98.34615384615384</x:v>
      </x:c>
      <x:c r="S249" s="167" t="n">
        <x:f>IFERROR(N249/L249,0)</x:f>
        <x:v>69.71711641246252</x:v>
      </x:c>
      <x:c r="T249" s="165" t="n">
        <x:f>IFERROR(K249/J249,0)</x:f>
        <x:v>0.29411764705882354</x:v>
      </x:c>
    </x:row>
    <x:row r="250">
      <x:c r="A250" s="161" t="n">
        <x:v>46113</x:v>
      </x:c>
      <x:c r="B250" s="162" t="str">
        <x:v>Google Search</x:v>
      </x:c>
      <x:c r="C250" s="162" t="str">
        <x:v>South</x:v>
      </x:c>
      <x:c r="D250" s="162" t="str">
        <x:v>Pouch Fillers</x:v>
      </x:c>
      <x:c r="E250" s="163" t="n">
        <x:v>26880</x:v>
      </x:c>
      <x:c r="F250" s="163" t="n">
        <x:v>1153</x:v>
      </x:c>
      <x:c r="G250" s="163" t="n">
        <x:v>81</x:v>
      </x:c>
      <x:c r="H250" s="163" t="n">
        <x:v>49</x:v>
      </x:c>
      <x:c r="I250" s="163" t="n">
        <x:v>29</x:v>
      </x:c>
      <x:c r="J250" s="163" t="n">
        <x:v>14</x:v>
      </x:c>
      <x:c r="K250" s="163" t="n">
        <x:v>4</x:v>
      </x:c>
      <x:c r="L250" s="164" t="n">
        <x:v>8232</x:v>
      </x:c>
      <x:c r="M250" s="164" t="n">
        <x:v>945034</x:v>
      </x:c>
      <x:c r="N250" s="164" t="n">
        <x:v>321440</x:v>
      </x:c>
      <x:c r="O250" s="165" t="n">
        <x:f>IFERROR(F250/E250,0)</x:f>
        <x:v>0.04289434523809524</x:v>
      </x:c>
      <x:c r="P250" s="166" t="n">
        <x:f>IFERROR(L250/F250,0)</x:f>
        <x:v>7.139635732870772</x:v>
      </x:c>
      <x:c r="Q250" s="165" t="n">
        <x:f>IFERROR(G250/F250,0)</x:f>
        <x:v>0.07025151777970512</x:v>
      </x:c>
      <x:c r="R250" s="164" t="n">
        <x:f>IFERROR(L250/G250,0)</x:f>
        <x:v>101.62962962962963</x:v>
      </x:c>
      <x:c r="S250" s="167" t="n">
        <x:f>IFERROR(N250/L250,0)</x:f>
        <x:v>39.04761904761905</x:v>
      </x:c>
      <x:c r="T250" s="165" t="n">
        <x:f>IFERROR(K250/J250,0)</x:f>
        <x:v>0.2857142857142857</x:v>
      </x:c>
    </x:row>
    <x:row r="251">
      <x:c r="A251" s="161" t="n">
        <x:v>46113</x:v>
      </x:c>
      <x:c r="B251" s="162" t="str">
        <x:v>Google Search</x:v>
      </x:c>
      <x:c r="C251" s="162" t="str">
        <x:v>South</x:v>
      </x:c>
      <x:c r="D251" s="162" t="str">
        <x:v>Cartoning Machines</x:v>
      </x:c>
      <x:c r="E251" s="163" t="n">
        <x:v>26280</x:v>
      </x:c>
      <x:c r="F251" s="163" t="n">
        <x:v>1064</x:v>
      </x:c>
      <x:c r="G251" s="163" t="n">
        <x:v>77</x:v>
      </x:c>
      <x:c r="H251" s="163" t="n">
        <x:v>49</x:v>
      </x:c>
      <x:c r="I251" s="163" t="n">
        <x:v>29</x:v>
      </x:c>
      <x:c r="J251" s="163" t="n">
        <x:v>15</x:v>
      </x:c>
      <x:c r="K251" s="163" t="n">
        <x:v>5</x:v>
      </x:c>
      <x:c r="L251" s="164" t="n">
        <x:v>7597</x:v>
      </x:c>
      <x:c r="M251" s="164" t="n">
        <x:v>1704024</x:v>
      </x:c>
      <x:c r="N251" s="164" t="n">
        <x:v>676200</x:v>
      </x:c>
      <x:c r="O251" s="165" t="n">
        <x:f>IFERROR(F251/E251,0)</x:f>
        <x:v>0.04048706240487063</x:v>
      </x:c>
      <x:c r="P251" s="166" t="n">
        <x:f>IFERROR(L251/F251,0)</x:f>
        <x:v>7.140037593984962</x:v>
      </x:c>
      <x:c r="Q251" s="165" t="n">
        <x:f>IFERROR(G251/F251,0)</x:f>
        <x:v>0.07236842105263158</x:v>
      </x:c>
      <x:c r="R251" s="164" t="n">
        <x:f>IFERROR(L251/G251,0)</x:f>
        <x:v>98.66233766233766</x:v>
      </x:c>
      <x:c r="S251" s="167" t="n">
        <x:f>IFERROR(N251/L251,0)</x:f>
        <x:v>89.00881927076477</x:v>
      </x:c>
      <x:c r="T251" s="165" t="n">
        <x:f>IFERROR(K251/J251,0)</x:f>
        <x:v>0.3333333333333333</x:v>
      </x:c>
    </x:row>
    <x:row r="252">
      <x:c r="A252" s="161" t="n">
        <x:v>46113</x:v>
      </x:c>
      <x:c r="B252" s="162" t="str">
        <x:v>Google Search</x:v>
      </x:c>
      <x:c r="C252" s="162" t="str">
        <x:v>South</x:v>
      </x:c>
      <x:c r="D252" s="162" t="str">
        <x:v>Labeling Systems</x:v>
      </x:c>
      <x:c r="E252" s="163" t="n">
        <x:v>28320</x:v>
      </x:c>
      <x:c r="F252" s="163" t="n">
        <x:v>1192</x:v>
      </x:c>
      <x:c r="G252" s="163" t="n">
        <x:v>83</x:v>
      </x:c>
      <x:c r="H252" s="163" t="n">
        <x:v>55</x:v>
      </x:c>
      <x:c r="I252" s="163" t="n">
        <x:v>32</x:v>
      </x:c>
      <x:c r="J252" s="163" t="n">
        <x:v>17</x:v>
      </x:c>
      <x:c r="K252" s="163" t="n">
        <x:v>5</x:v>
      </x:c>
      <x:c r="L252" s="164" t="n">
        <x:v>8511</x:v>
      </x:c>
      <x:c r="M252" s="164" t="n">
        <x:v>671731</x:v>
      </x:c>
      <x:c r="N252" s="164" t="n">
        <x:v>235200</x:v>
      </x:c>
      <x:c r="O252" s="165" t="n">
        <x:f>IFERROR(F252/E252,0)</x:f>
        <x:v>0.04209039548022599</x:v>
      </x:c>
      <x:c r="P252" s="166" t="n">
        <x:f>IFERROR(L252/F252,0)</x:f>
        <x:v>7.14010067114094</x:v>
      </x:c>
      <x:c r="Q252" s="165" t="n">
        <x:f>IFERROR(G252/F252,0)</x:f>
        <x:v>0.06963087248322147</x:v>
      </x:c>
      <x:c r="R252" s="164" t="n">
        <x:f>IFERROR(L252/G252,0)</x:f>
        <x:v>102.5421686746988</x:v>
      </x:c>
      <x:c r="S252" s="167" t="n">
        <x:f>IFERROR(N252/L252,0)</x:f>
        <x:v>27.634825519915402</x:v>
      </x:c>
      <x:c r="T252" s="165" t="n">
        <x:f>IFERROR(K252/J252,0)</x:f>
        <x:v>0.29411764705882354</x:v>
      </x:c>
    </x:row>
    <x:row r="253">
      <x:c r="A253" s="161" t="n">
        <x:v>46113</x:v>
      </x:c>
      <x:c r="B253" s="162" t="str">
        <x:v>Google Search</x:v>
      </x:c>
      <x:c r="C253" s="162" t="str">
        <x:v>South</x:v>
      </x:c>
      <x:c r="D253" s="162" t="str">
        <x:v>Case Packers</x:v>
      </x:c>
      <x:c r="E253" s="163" t="n">
        <x:v>27720</x:v>
      </x:c>
      <x:c r="F253" s="163" t="n">
        <x:v>1211</x:v>
      </x:c>
      <x:c r="G253" s="163" t="n">
        <x:v>87</x:v>
      </x:c>
      <x:c r="H253" s="163" t="n">
        <x:v>60</x:v>
      </x:c>
      <x:c r="I253" s="163" t="n">
        <x:v>35</x:v>
      </x:c>
      <x:c r="J253" s="163" t="n">
        <x:v>20</x:v>
      </x:c>
      <x:c r="K253" s="163" t="n">
        <x:v>6</x:v>
      </x:c>
      <x:c r="L253" s="164" t="n">
        <x:v>8647</x:v>
      </x:c>
      <x:c r="M253" s="164" t="n">
        <x:v>1843968</x:v>
      </x:c>
      <x:c r="N253" s="164" t="n">
        <x:v>658560</x:v>
      </x:c>
      <x:c r="O253" s="165" t="n">
        <x:f>IFERROR(F253/E253,0)</x:f>
        <x:v>0.043686868686868684</x:v>
      </x:c>
      <x:c r="P253" s="166" t="n">
        <x:f>IFERROR(L253/F253,0)</x:f>
        <x:v>7.1403798513625105</x:v>
      </x:c>
      <x:c r="Q253" s="165" t="n">
        <x:f>IFERROR(G253/F253,0)</x:f>
        <x:v>0.07184145334434351</x:v>
      </x:c>
      <x:c r="R253" s="164" t="n">
        <x:f>IFERROR(L253/G253,0)</x:f>
        <x:v>99.39080459770115</x:v>
      </x:c>
      <x:c r="S253" s="167" t="n">
        <x:f>IFERROR(N253/L253,0)</x:f>
        <x:v>76.16051809876258</x:v>
      </x:c>
      <x:c r="T253" s="165" t="n">
        <x:f>IFERROR(K253/J253,0)</x:f>
        <x:v>0.3</x:v>
      </x:c>
    </x:row>
    <x:row r="254">
      <x:c r="A254" s="161" t="n">
        <x:v>46113</x:v>
      </x:c>
      <x:c r="B254" s="162" t="str">
        <x:v>Google Search</x:v>
      </x:c>
      <x:c r="C254" s="162" t="str">
        <x:v>West</x:v>
      </x:c>
      <x:c r="D254" s="162" t="str">
        <x:v>Pouch Fillers</x:v>
      </x:c>
      <x:c r="E254" s="163" t="n">
        <x:v>25560</x:v>
      </x:c>
      <x:c r="F254" s="163" t="n">
        <x:v>1056</x:v>
      </x:c>
      <x:c r="G254" s="163" t="n">
        <x:v>74</x:v>
      </x:c>
      <x:c r="H254" s="163" t="n">
        <x:v>45</x:v>
      </x:c>
      <x:c r="I254" s="163" t="n">
        <x:v>27</x:v>
      </x:c>
      <x:c r="J254" s="163" t="n">
        <x:v>13</x:v>
      </x:c>
      <x:c r="K254" s="163" t="n">
        <x:v>4</x:v>
      </x:c>
      <x:c r="L254" s="164" t="n">
        <x:v>7648</x:v>
      </x:c>
      <x:c r="M254" s="164" t="n">
        <x:v>899917</x:v>
      </x:c>
      <x:c r="N254" s="164" t="n">
        <x:v>329640</x:v>
      </x:c>
      <x:c r="O254" s="165" t="n">
        <x:f>IFERROR(F254/E254,0)</x:f>
        <x:v>0.04131455399061033</x:v>
      </x:c>
      <x:c r="P254" s="166" t="n">
        <x:f>IFERROR(L254/F254,0)</x:f>
        <x:v>7.242424242424242</x:v>
      </x:c>
      <x:c r="Q254" s="165" t="n">
        <x:f>IFERROR(G254/F254,0)</x:f>
        <x:v>0.07007575757575757</x:v>
      </x:c>
      <x:c r="R254" s="164" t="n">
        <x:f>IFERROR(L254/G254,0)</x:f>
        <x:v>103.35135135135135</x:v>
      </x:c>
      <x:c r="S254" s="167" t="n">
        <x:f>IFERROR(N254/L254,0)</x:f>
        <x:v>43.10146443514645</x:v>
      </x:c>
      <x:c r="T254" s="165" t="n">
        <x:f>IFERROR(K254/J254,0)</x:f>
        <x:v>0.3076923076923077</x:v>
      </x:c>
    </x:row>
    <x:row r="255">
      <x:c r="A255" s="161" t="n">
        <x:v>46113</x:v>
      </x:c>
      <x:c r="B255" s="162" t="str">
        <x:v>Google Search</x:v>
      </x:c>
      <x:c r="C255" s="162" t="str">
        <x:v>West</x:v>
      </x:c>
      <x:c r="D255" s="162" t="str">
        <x:v>Cartoning Machines</x:v>
      </x:c>
      <x:c r="E255" s="163" t="n">
        <x:v>27600</x:v>
      </x:c>
      <x:c r="F255" s="163" t="n">
        <x:v>1184</x:v>
      </x:c>
      <x:c r="G255" s="163" t="n">
        <x:v>85</x:v>
      </x:c>
      <x:c r="H255" s="163" t="n">
        <x:v>54</x:v>
      </x:c>
      <x:c r="I255" s="163" t="n">
        <x:v>33</x:v>
      </x:c>
      <x:c r="J255" s="163" t="n">
        <x:v>17</x:v>
      </x:c>
      <x:c r="K255" s="163" t="n">
        <x:v>5</x:v>
      </x:c>
      <x:c r="L255" s="164" t="n">
        <x:v>8575</x:v>
      </x:c>
      <x:c r="M255" s="164" t="n">
        <x:v>1980493</x:v>
      </x:c>
      <x:c r="N255" s="164" t="n">
        <x:v>693450</x:v>
      </x:c>
      <x:c r="O255" s="165" t="n">
        <x:f>IFERROR(F255/E255,0)</x:f>
        <x:v>0.042898550724637684</x:v>
      </x:c>
      <x:c r="P255" s="166" t="n">
        <x:f>IFERROR(L255/F255,0)</x:f>
        <x:v>7.242398648648648</x:v>
      </x:c>
      <x:c r="Q255" s="165" t="n">
        <x:f>IFERROR(G255/F255,0)</x:f>
        <x:v>0.07179054054054054</x:v>
      </x:c>
      <x:c r="R255" s="164" t="n">
        <x:f>IFERROR(L255/G255,0)</x:f>
        <x:v>100.88235294117646</x:v>
      </x:c>
      <x:c r="S255" s="167" t="n">
        <x:f>IFERROR(N255/L255,0)</x:f>
        <x:v>80.86880466472303</x:v>
      </x:c>
      <x:c r="T255" s="165" t="n">
        <x:f>IFERROR(K255/J255,0)</x:f>
        <x:v>0.29411764705882354</x:v>
      </x:c>
    </x:row>
    <x:row r="256">
      <x:c r="A256" s="161" t="n">
        <x:v>46113</x:v>
      </x:c>
      <x:c r="B256" s="162" t="str">
        <x:v>Google Search</x:v>
      </x:c>
      <x:c r="C256" s="162" t="str">
        <x:v>West</x:v>
      </x:c>
      <x:c r="D256" s="162" t="str">
        <x:v>Labeling Systems</x:v>
      </x:c>
      <x:c r="E256" s="163" t="n">
        <x:v>27000</x:v>
      </x:c>
      <x:c r="F256" s="163" t="n">
        <x:v>1093</x:v>
      </x:c>
      <x:c r="G256" s="163" t="n">
        <x:v>77</x:v>
      </x:c>
      <x:c r="H256" s="163" t="n">
        <x:v>51</x:v>
      </x:c>
      <x:c r="I256" s="163" t="n">
        <x:v>31</x:v>
      </x:c>
      <x:c r="J256" s="163" t="n">
        <x:v>17</x:v>
      </x:c>
      <x:c r="K256" s="163" t="n">
        <x:v>5</x:v>
      </x:c>
      <x:c r="L256" s="164" t="n">
        <x:v>7916</x:v>
      </x:c>
      <x:c r="M256" s="164" t="n">
        <x:v>688867</x:v>
      </x:c>
      <x:c r="N256" s="164" t="n">
        <x:v>241200</x:v>
      </x:c>
      <x:c r="O256" s="165" t="n">
        <x:f>IFERROR(F256/E256,0)</x:f>
        <x:v>0.04048148148148148</x:v>
      </x:c>
      <x:c r="P256" s="166" t="n">
        <x:f>IFERROR(L256/F256,0)</x:f>
        <x:v>7.242451967063129</x:v>
      </x:c>
      <x:c r="Q256" s="165" t="n">
        <x:f>IFERROR(G256/F256,0)</x:f>
        <x:v>0.07044830741079597</x:v>
      </x:c>
      <x:c r="R256" s="164" t="n">
        <x:f>IFERROR(L256/G256,0)</x:f>
        <x:v>102.8051948051948</x:v>
      </x:c>
      <x:c r="S256" s="167" t="n">
        <x:f>IFERROR(N256/L256,0)</x:f>
        <x:v>30.469934310257706</x:v>
      </x:c>
      <x:c r="T256" s="165" t="n">
        <x:f>IFERROR(K256/J256,0)</x:f>
        <x:v>0.29411764705882354</x:v>
      </x:c>
    </x:row>
    <x:row r="257">
      <x:c r="A257" s="161" t="n">
        <x:v>46113</x:v>
      </x:c>
      <x:c r="B257" s="162" t="str">
        <x:v>Google Search</x:v>
      </x:c>
      <x:c r="C257" s="162" t="str">
        <x:v>West</x:v>
      </x:c>
      <x:c r="D257" s="162" t="str">
        <x:v>Case Packers</x:v>
      </x:c>
      <x:c r="E257" s="163" t="n">
        <x:v>29040</x:v>
      </x:c>
      <x:c r="F257" s="163" t="n">
        <x:v>1223</x:v>
      </x:c>
      <x:c r="G257" s="163" t="n">
        <x:v>88</x:v>
      </x:c>
      <x:c r="H257" s="163" t="n">
        <x:v>60</x:v>
      </x:c>
      <x:c r="I257" s="163" t="n">
        <x:v>37</x:v>
      </x:c>
      <x:c r="J257" s="163" t="n">
        <x:v>21</x:v>
      </x:c>
      <x:c r="K257" s="163" t="n">
        <x:v>7</x:v>
      </x:c>
      <x:c r="L257" s="164" t="n">
        <x:v>8857</x:v>
      </x:c>
      <x:c r="M257" s="164" t="n">
        <x:v>1985558</x:v>
      </x:c>
      <x:c r="N257" s="164" t="n">
        <x:v>787920</x:v>
      </x:c>
      <x:c r="O257" s="165" t="n">
        <x:f>IFERROR(F257/E257,0)</x:f>
        <x:v>0.04211432506887052</x:v>
      </x:c>
      <x:c r="P257" s="166" t="n">
        <x:f>IFERROR(L257/F257,0)</x:f>
        <x:v>7.242027800490597</x:v>
      </x:c>
      <x:c r="Q257" s="165" t="n">
        <x:f>IFERROR(G257/F257,0)</x:f>
        <x:v>0.07195421095666395</x:v>
      </x:c>
      <x:c r="R257" s="164" t="n">
        <x:f>IFERROR(L257/G257,0)</x:f>
        <x:v>100.64772727272727</x:v>
      </x:c>
      <x:c r="S257" s="167" t="n">
        <x:f>IFERROR(N257/L257,0)</x:f>
        <x:v>88.96014451845997</x:v>
      </x:c>
      <x:c r="T257" s="165" t="n">
        <x:f>IFERROR(K257/J257,0)</x:f>
        <x:v>0.3333333333333333</x:v>
      </x:c>
    </x:row>
    <x:row r="258">
      <x:c r="A258" s="161" t="n">
        <x:v>46113</x:v>
      </x:c>
      <x:c r="B258" s="162" t="str">
        <x:v>LinkedIn</x:v>
      </x:c>
      <x:c r="C258" s="162" t="str">
        <x:v>Northeast</x:v>
      </x:c>
      <x:c r="D258" s="162" t="str">
        <x:v>Pouch Fillers</x:v>
      </x:c>
      <x:c r="E258" s="163" t="n">
        <x:v>14700</x:v>
      </x:c>
      <x:c r="F258" s="163" t="n">
        <x:v>378</x:v>
      </x:c>
      <x:c r="G258" s="163" t="n">
        <x:v>33</x:v>
      </x:c>
      <x:c r="H258" s="163" t="n">
        <x:v>20</x:v>
      </x:c>
      <x:c r="I258" s="163" t="n">
        <x:v>11</x:v>
      </x:c>
      <x:c r="J258" s="163" t="n">
        <x:v>5</x:v>
      </x:c>
      <x:c r="K258" s="163" t="n">
        <x:v>1</x:v>
      </x:c>
      <x:c r="L258" s="164" t="n">
        <x:v>3701</x:v>
      </x:c>
      <x:c r="M258" s="164" t="n">
        <x:v>320292</x:v>
      </x:c>
      <x:c r="N258" s="164" t="n">
        <x:v>76260</x:v>
      </x:c>
      <x:c r="O258" s="165" t="n">
        <x:f>IFERROR(F258/E258,0)</x:f>
        <x:v>0.025714285714285714</x:v>
      </x:c>
      <x:c r="P258" s="166" t="n">
        <x:f>IFERROR(L258/F258,0)</x:f>
        <x:v>9.791005291005291</x:v>
      </x:c>
      <x:c r="Q258" s="165" t="n">
        <x:f>IFERROR(G258/F258,0)</x:f>
        <x:v>0.0873015873015873</x:v>
      </x:c>
      <x:c r="R258" s="164" t="n">
        <x:f>IFERROR(L258/G258,0)</x:f>
        <x:v>112.15151515151516</x:v>
      </x:c>
      <x:c r="S258" s="167" t="n">
        <x:f>IFERROR(N258/L258,0)</x:f>
        <x:v>20.60524182653337</x:v>
      </x:c>
      <x:c r="T258" s="165" t="n">
        <x:f>IFERROR(K258/J258,0)</x:f>
        <x:v>0.2</x:v>
      </x:c>
    </x:row>
    <x:row r="259">
      <x:c r="A259" s="161" t="n">
        <x:v>46113</x:v>
      </x:c>
      <x:c r="B259" s="162" t="str">
        <x:v>LinkedIn</x:v>
      </x:c>
      <x:c r="C259" s="162" t="str">
        <x:v>Northeast</x:v>
      </x:c>
      <x:c r="D259" s="162" t="str">
        <x:v>Cartoning Machines</x:v>
      </x:c>
      <x:c r="E259" s="163" t="n">
        <x:v>15975</x:v>
      </x:c>
      <x:c r="F259" s="163" t="n">
        <x:v>372</x:v>
      </x:c>
      <x:c r="G259" s="163" t="n">
        <x:v>33</x:v>
      </x:c>
      <x:c r="H259" s="163" t="n">
        <x:v>21</x:v>
      </x:c>
      <x:c r="I259" s="163" t="n">
        <x:v>12</x:v>
      </x:c>
      <x:c r="J259" s="163" t="n">
        <x:v>6</x:v>
      </x:c>
      <x:c r="K259" s="163" t="n">
        <x:v>2</x:v>
      </x:c>
      <x:c r="L259" s="164" t="n">
        <x:v>3643</x:v>
      </x:c>
      <x:c r="M259" s="164" t="n">
        <x:v>646834</x:v>
      </x:c>
      <x:c r="N259" s="164" t="n">
        <x:v>256680</x:v>
      </x:c>
      <x:c r="O259" s="165" t="n">
        <x:f>IFERROR(F259/E259,0)</x:f>
        <x:v>0.023286384976525822</x:v>
      </x:c>
      <x:c r="P259" s="166" t="n">
        <x:f>IFERROR(L259/F259,0)</x:f>
        <x:v>9.793010752688172</x:v>
      </x:c>
      <x:c r="Q259" s="165" t="n">
        <x:f>IFERROR(G259/F259,0)</x:f>
        <x:v>0.08870967741935484</x:v>
      </x:c>
      <x:c r="R259" s="164" t="n">
        <x:f>IFERROR(L259/G259,0)</x:f>
        <x:v>110.39393939393939</x:v>
      </x:c>
      <x:c r="S259" s="167" t="n">
        <x:f>IFERROR(N259/L259,0)</x:f>
        <x:v>70.45841339555311</x:v>
      </x:c>
      <x:c r="T259" s="165" t="n">
        <x:f>IFERROR(K259/J259,0)</x:f>
        <x:v>0.3333333333333333</x:v>
      </x:c>
    </x:row>
    <x:row r="260">
      <x:c r="A260" s="161" t="n">
        <x:v>46113</x:v>
      </x:c>
      <x:c r="B260" s="162" t="str">
        <x:v>LinkedIn</x:v>
      </x:c>
      <x:c r="C260" s="162" t="str">
        <x:v>Northeast</x:v>
      </x:c>
      <x:c r="D260" s="162" t="str">
        <x:v>Labeling Systems</x:v>
      </x:c>
      <x:c r="E260" s="163" t="n">
        <x:v>15600</x:v>
      </x:c>
      <x:c r="F260" s="163" t="n">
        <x:v>388</x:v>
      </x:c>
      <x:c r="G260" s="163" t="n">
        <x:v>34</x:v>
      </x:c>
      <x:c r="H260" s="163" t="n">
        <x:v>22</x:v>
      </x:c>
      <x:c r="I260" s="163" t="n">
        <x:v>12</x:v>
      </x:c>
      <x:c r="J260" s="163" t="n">
        <x:v>6</x:v>
      </x:c>
      <x:c r="K260" s="163" t="n">
        <x:v>2</x:v>
      </x:c>
      <x:c r="L260" s="164" t="n">
        <x:v>3799</x:v>
      </x:c>
      <x:c r="M260" s="164" t="n">
        <x:v>224986</x:v>
      </x:c>
      <x:c r="N260" s="164" t="n">
        <x:v>89280</x:v>
      </x:c>
      <x:c r="O260" s="165" t="n">
        <x:f>IFERROR(F260/E260,0)</x:f>
        <x:v>0.02487179487179487</x:v>
      </x:c>
      <x:c r="P260" s="166" t="n">
        <x:f>IFERROR(L260/F260,0)</x:f>
        <x:v>9.791237113402062</x:v>
      </x:c>
      <x:c r="Q260" s="165" t="n">
        <x:f>IFERROR(G260/F260,0)</x:f>
        <x:v>0.08762886597938144</x:v>
      </x:c>
      <x:c r="R260" s="164" t="n">
        <x:f>IFERROR(L260/G260,0)</x:f>
        <x:v>111.73529411764706</x:v>
      </x:c>
      <x:c r="S260" s="167" t="n">
        <x:f>IFERROR(N260/L260,0)</x:f>
        <x:v>23.500921295077653</x:v>
      </x:c>
      <x:c r="T260" s="165" t="n">
        <x:f>IFERROR(K260/J260,0)</x:f>
        <x:v>0.3333333333333333</x:v>
      </x:c>
    </x:row>
    <x:row r="261">
      <x:c r="A261" s="161" t="n">
        <x:v>46113</x:v>
      </x:c>
      <x:c r="B261" s="162" t="str">
        <x:v>LinkedIn</x:v>
      </x:c>
      <x:c r="C261" s="162" t="str">
        <x:v>Northeast</x:v>
      </x:c>
      <x:c r="D261" s="162" t="str">
        <x:v>Case Packers</x:v>
      </x:c>
      <x:c r="E261" s="163" t="n">
        <x:v>16875</x:v>
      </x:c>
      <x:c r="F261" s="163" t="n">
        <x:v>380</x:v>
      </x:c>
      <x:c r="G261" s="163" t="n">
        <x:v>34</x:v>
      </x:c>
      <x:c r="H261" s="163" t="n">
        <x:v>23</x:v>
      </x:c>
      <x:c r="I261" s="163" t="n">
        <x:v>13</x:v>
      </x:c>
      <x:c r="J261" s="163" t="n">
        <x:v>7</x:v>
      </x:c>
      <x:c r="K261" s="163" t="n">
        <x:v>2</x:v>
      </x:c>
      <x:c r="L261" s="164" t="n">
        <x:v>3721</x:v>
      </x:c>
      <x:c r="M261" s="164" t="n">
        <x:v>612461</x:v>
      </x:c>
      <x:c r="N261" s="164" t="n">
        <x:v>208320</x:v>
      </x:c>
      <x:c r="O261" s="165" t="n">
        <x:f>IFERROR(F261/E261,0)</x:f>
        <x:v>0.022518518518518518</x:v>
      </x:c>
      <x:c r="P261" s="166" t="n">
        <x:f>IFERROR(L261/F261,0)</x:f>
        <x:v>9.792105263157895</x:v>
      </x:c>
      <x:c r="Q261" s="165" t="n">
        <x:f>IFERROR(G261/F261,0)</x:f>
        <x:v>0.08947368421052632</x:v>
      </x:c>
      <x:c r="R261" s="164" t="n">
        <x:f>IFERROR(L261/G261,0)</x:f>
        <x:v>109.44117647058823</x:v>
      </x:c>
      <x:c r="S261" s="167" t="n">
        <x:f>IFERROR(N261/L261,0)</x:f>
        <x:v>55.98495028218221</x:v>
      </x:c>
      <x:c r="T261" s="165" t="n">
        <x:f>IFERROR(K261/J261,0)</x:f>
        <x:v>0.2857142857142857</x:v>
      </x:c>
    </x:row>
    <x:row r="262">
      <x:c r="A262" s="161" t="n">
        <x:v>46113</x:v>
      </x:c>
      <x:c r="B262" s="162" t="str">
        <x:v>LinkedIn</x:v>
      </x:c>
      <x:c r="C262" s="162" t="str">
        <x:v>Midwest</x:v>
      </x:c>
      <x:c r="D262" s="162" t="str">
        <x:v>Pouch Fillers</x:v>
      </x:c>
      <x:c r="E262" s="163" t="n">
        <x:v>15525</x:v>
      </x:c>
      <x:c r="F262" s="163" t="n">
        <x:v>374</x:v>
      </x:c>
      <x:c r="G262" s="163" t="n">
        <x:v>33</x:v>
      </x:c>
      <x:c r="H262" s="163" t="n">
        <x:v>20</x:v>
      </x:c>
      <x:c r="I262" s="163" t="n">
        <x:v>11</x:v>
      </x:c>
      <x:c r="J262" s="163" t="n">
        <x:v>5</x:v>
      </x:c>
      <x:c r="K262" s="163" t="n">
        <x:v>1</x:v>
      </x:c>
      <x:c r="L262" s="164" t="n">
        <x:v>3716</x:v>
      </x:c>
      <x:c r="M262" s="164" t="n">
        <x:v>328902</x:v>
      </x:c>
      <x:c r="N262" s="164" t="n">
        <x:v>78310</x:v>
      </x:c>
      <x:c r="O262" s="165" t="n">
        <x:f>IFERROR(F262/E262,0)</x:f>
        <x:v>0.024090177133655393</x:v>
      </x:c>
      <x:c r="P262" s="166" t="n">
        <x:f>IFERROR(L262/F262,0)</x:f>
        <x:v>9.935828877005347</x:v>
      </x:c>
      <x:c r="Q262" s="165" t="n">
        <x:f>IFERROR(G262/F262,0)</x:f>
        <x:v>0.08823529411764706</x:v>
      </x:c>
      <x:c r="R262" s="164" t="n">
        <x:f>IFERROR(L262/G262,0)</x:f>
        <x:v>112.60606060606061</x:v>
      </x:c>
      <x:c r="S262" s="167" t="n">
        <x:f>IFERROR(N262/L262,0)</x:f>
        <x:v>21.07373519913886</x:v>
      </x:c>
      <x:c r="T262" s="165" t="n">
        <x:f>IFERROR(K262/J262,0)</x:f>
        <x:v>0.2</x:v>
      </x:c>
    </x:row>
    <x:row r="263">
      <x:c r="A263" s="161" t="n">
        <x:v>46113</x:v>
      </x:c>
      <x:c r="B263" s="162" t="str">
        <x:v>LinkedIn</x:v>
      </x:c>
      <x:c r="C263" s="162" t="str">
        <x:v>Midwest</x:v>
      </x:c>
      <x:c r="D263" s="162" t="str">
        <x:v>Cartoning Machines</x:v>
      </x:c>
      <x:c r="E263" s="163" t="n">
        <x:v>16800</x:v>
      </x:c>
      <x:c r="F263" s="163" t="n">
        <x:v>432</x:v>
      </x:c>
      <x:c r="G263" s="163" t="n">
        <x:v>38</x:v>
      </x:c>
      <x:c r="H263" s="163" t="n">
        <x:v>24</x:v>
      </x:c>
      <x:c r="I263" s="163" t="n">
        <x:v>14</x:v>
      </x:c>
      <x:c r="J263" s="163" t="n">
        <x:v>7</x:v>
      </x:c>
      <x:c r="K263" s="163" t="n">
        <x:v>2</x:v>
      </x:c>
      <x:c r="L263" s="164" t="n">
        <x:v>4292</x:v>
      </x:c>
      <x:c r="M263" s="164" t="n">
        <x:v>774925</x:v>
      </x:c>
      <x:c r="N263" s="164" t="n">
        <x:v>263580</x:v>
      </x:c>
      <x:c r="O263" s="165" t="n">
        <x:f>IFERROR(F263/E263,0)</x:f>
        <x:v>0.025714285714285714</x:v>
      </x:c>
      <x:c r="P263" s="166" t="n">
        <x:f>IFERROR(L263/F263,0)</x:f>
        <x:v>9.935185185185185</x:v>
      </x:c>
      <x:c r="Q263" s="165" t="n">
        <x:f>IFERROR(G263/F263,0)</x:f>
        <x:v>0.08796296296296297</x:v>
      </x:c>
      <x:c r="R263" s="164" t="n">
        <x:f>IFERROR(L263/G263,0)</x:f>
        <x:v>112.94736842105263</x:v>
      </x:c>
      <x:c r="S263" s="167" t="n">
        <x:f>IFERROR(N263/L263,0)</x:f>
        <x:v>61.41192917054986</x:v>
      </x:c>
      <x:c r="T263" s="165" t="n">
        <x:f>IFERROR(K263/J263,0)</x:f>
        <x:v>0.2857142857142857</x:v>
      </x:c>
    </x:row>
    <x:row r="264">
      <x:c r="A264" s="161" t="n">
        <x:v>46113</x:v>
      </x:c>
      <x:c r="B264" s="162" t="str">
        <x:v>LinkedIn</x:v>
      </x:c>
      <x:c r="C264" s="162" t="str">
        <x:v>Midwest</x:v>
      </x:c>
      <x:c r="D264" s="162" t="str">
        <x:v>Labeling Systems</x:v>
      </x:c>
      <x:c r="E264" s="163" t="n">
        <x:v>16425</x:v>
      </x:c>
      <x:c r="F264" s="163" t="n">
        <x:v>383</x:v>
      </x:c>
      <x:c r="G264" s="163" t="n">
        <x:v>33</x:v>
      </x:c>
      <x:c r="H264" s="163" t="n">
        <x:v>22</x:v>
      </x:c>
      <x:c r="I264" s="163" t="n">
        <x:v>13</x:v>
      </x:c>
      <x:c r="J264" s="163" t="n">
        <x:v>7</x:v>
      </x:c>
      <x:c r="K264" s="163" t="n">
        <x:v>2</x:v>
      </x:c>
      <x:c r="L264" s="164" t="n">
        <x:v>3805</x:v>
      </x:c>
      <x:c r="M264" s="164" t="n">
        <x:v>269539</x:v>
      </x:c>
      <x:c r="N264" s="164" t="n">
        <x:v>91680</x:v>
      </x:c>
      <x:c r="O264" s="165" t="n">
        <x:f>IFERROR(F264/E264,0)</x:f>
        <x:v>0.023318112633181128</x:v>
      </x:c>
      <x:c r="P264" s="166" t="n">
        <x:f>IFERROR(L264/F264,0)</x:f>
        <x:v>9.934725848563968</x:v>
      </x:c>
      <x:c r="Q264" s="165" t="n">
        <x:f>IFERROR(G264/F264,0)</x:f>
        <x:v>0.08616187989556136</x:v>
      </x:c>
      <x:c r="R264" s="164" t="n">
        <x:f>IFERROR(L264/G264,0)</x:f>
        <x:v>115.3030303030303</x:v>
      </x:c>
      <x:c r="S264" s="167" t="n">
        <x:f>IFERROR(N264/L264,0)</x:f>
        <x:v>24.0946123521682</x:v>
      </x:c>
      <x:c r="T264" s="165" t="n">
        <x:f>IFERROR(K264/J264,0)</x:f>
        <x:v>0.2857142857142857</x:v>
      </x:c>
    </x:row>
    <x:row r="265">
      <x:c r="A265" s="161" t="n">
        <x:v>46113</x:v>
      </x:c>
      <x:c r="B265" s="162" t="str">
        <x:v>LinkedIn</x:v>
      </x:c>
      <x:c r="C265" s="162" t="str">
        <x:v>Midwest</x:v>
      </x:c>
      <x:c r="D265" s="162" t="str">
        <x:v>Case Packers</x:v>
      </x:c>
      <x:c r="E265" s="163" t="n">
        <x:v>16050</x:v>
      </x:c>
      <x:c r="F265" s="163" t="n">
        <x:v>400</x:v>
      </x:c>
      <x:c r="G265" s="163" t="n">
        <x:v>36</x:v>
      </x:c>
      <x:c r="H265" s="163" t="n">
        <x:v>25</x:v>
      </x:c>
      <x:c r="I265" s="163" t="n">
        <x:v>14</x:v>
      </x:c>
      <x:c r="J265" s="163" t="n">
        <x:v>8</x:v>
      </x:c>
      <x:c r="K265" s="163" t="n">
        <x:v>2</x:v>
      </x:c>
      <x:c r="L265" s="164" t="n">
        <x:v>3974</x:v>
      </x:c>
      <x:c r="M265" s="164" t="n">
        <x:v>718771</x:v>
      </x:c>
      <x:c r="N265" s="164" t="n">
        <x:v>213920</x:v>
      </x:c>
      <x:c r="O265" s="165" t="n">
        <x:f>IFERROR(F265/E265,0)</x:f>
        <x:v>0.024922118380062305</x:v>
      </x:c>
      <x:c r="P265" s="166" t="n">
        <x:f>IFERROR(L265/F265,0)</x:f>
        <x:v>9.935</x:v>
      </x:c>
      <x:c r="Q265" s="165" t="n">
        <x:f>IFERROR(G265/F265,0)</x:f>
        <x:v>0.09</x:v>
      </x:c>
      <x:c r="R265" s="164" t="n">
        <x:f>IFERROR(L265/G265,0)</x:f>
        <x:v>110.38888888888889</x:v>
      </x:c>
      <x:c r="S265" s="167" t="n">
        <x:f>IFERROR(N265/L265,0)</x:f>
        <x:v>53.82989431303473</x:v>
      </x:c>
      <x:c r="T265" s="165" t="n">
        <x:f>IFERROR(K265/J265,0)</x:f>
        <x:v>0.25</x:v>
      </x:c>
    </x:row>
    <x:row r="266">
      <x:c r="A266" s="161" t="n">
        <x:v>46113</x:v>
      </x:c>
      <x:c r="B266" s="162" t="str">
        <x:v>LinkedIn</x:v>
      </x:c>
      <x:c r="C266" s="162" t="str">
        <x:v>South</x:v>
      </x:c>
      <x:c r="D266" s="162" t="str">
        <x:v>Pouch Fillers</x:v>
      </x:c>
      <x:c r="E266" s="163" t="n">
        <x:v>16350</x:v>
      </x:c>
      <x:c r="F266" s="163" t="n">
        <x:v>368</x:v>
      </x:c>
      <x:c r="G266" s="163" t="n">
        <x:v>32</x:v>
      </x:c>
      <x:c r="H266" s="163" t="n">
        <x:v>20</x:v>
      </x:c>
      <x:c r="I266" s="163" t="n">
        <x:v>12</x:v>
      </x:c>
      <x:c r="J266" s="163" t="n">
        <x:v>6</x:v>
      </x:c>
      <x:c r="K266" s="163" t="n">
        <x:v>2</x:v>
      </x:c>
      <x:c r="L266" s="164" t="n">
        <x:v>3709</x:v>
      </x:c>
      <x:c r="M266" s="164" t="n">
        <x:v>405014</x:v>
      </x:c>
      <x:c r="N266" s="164" t="n">
        <x:v>160720</x:v>
      </x:c>
      <x:c r="O266" s="165" t="n">
        <x:f>IFERROR(F266/E266,0)</x:f>
        <x:v>0.022507645259938838</x:v>
      </x:c>
      <x:c r="P266" s="166" t="n">
        <x:f>IFERROR(L266/F266,0)</x:f>
        <x:v>10.078804347826088</x:v>
      </x:c>
      <x:c r="Q266" s="165" t="n">
        <x:f>IFERROR(G266/F266,0)</x:f>
        <x:v>0.08695652173913043</x:v>
      </x:c>
      <x:c r="R266" s="164" t="n">
        <x:f>IFERROR(L266/G266,0)</x:f>
        <x:v>115.90625</x:v>
      </x:c>
      <x:c r="S266" s="167" t="n">
        <x:f>IFERROR(N266/L266,0)</x:f>
        <x:v>43.332434618495554</x:v>
      </x:c>
      <x:c r="T266" s="165" t="n">
        <x:f>IFERROR(K266/J266,0)</x:f>
        <x:v>0.3333333333333333</x:v>
      </x:c>
    </x:row>
    <x:row r="267">
      <x:c r="A267" s="161" t="n">
        <x:v>46113</x:v>
      </x:c>
      <x:c r="B267" s="162" t="str">
        <x:v>LinkedIn</x:v>
      </x:c>
      <x:c r="C267" s="162" t="str">
        <x:v>South</x:v>
      </x:c>
      <x:c r="D267" s="162" t="str">
        <x:v>Cartoning Machines</x:v>
      </x:c>
      <x:c r="E267" s="163" t="n">
        <x:v>15975</x:v>
      </x:c>
      <x:c r="F267" s="163" t="n">
        <x:v>385</x:v>
      </x:c>
      <x:c r="G267" s="163" t="n">
        <x:v>34</x:v>
      </x:c>
      <x:c r="H267" s="163" t="n">
        <x:v>22</x:v>
      </x:c>
      <x:c r="I267" s="163" t="n">
        <x:v>13</x:v>
      </x:c>
      <x:c r="J267" s="163" t="n">
        <x:v>7</x:v>
      </x:c>
      <x:c r="K267" s="163" t="n">
        <x:v>2</x:v>
      </x:c>
      <x:c r="L267" s="164" t="n">
        <x:v>3881</x:v>
      </x:c>
      <x:c r="M267" s="164" t="n">
        <x:v>795211</x:v>
      </x:c>
      <x:c r="N267" s="164" t="n">
        <x:v>270480</x:v>
      </x:c>
      <x:c r="O267" s="165" t="n">
        <x:f>IFERROR(F267/E267,0)</x:f>
        <x:v>0.02410015649452269</x:v>
      </x:c>
      <x:c r="P267" s="166" t="n">
        <x:f>IFERROR(L267/F267,0)</x:f>
        <x:v>10.08051948051948</x:v>
      </x:c>
      <x:c r="Q267" s="165" t="n">
        <x:f>IFERROR(G267/F267,0)</x:f>
        <x:v>0.08831168831168831</x:v>
      </x:c>
      <x:c r="R267" s="164" t="n">
        <x:f>IFERROR(L267/G267,0)</x:f>
        <x:v>114.1470588235294</x:v>
      </x:c>
      <x:c r="S267" s="167" t="n">
        <x:f>IFERROR(N267/L267,0)</x:f>
        <x:v>69.69337799536201</x:v>
      </x:c>
      <x:c r="T267" s="165" t="n">
        <x:f>IFERROR(K267/J267,0)</x:f>
        <x:v>0.2857142857142857</x:v>
      </x:c>
    </x:row>
    <x:row r="268">
      <x:c r="A268" s="161" t="n">
        <x:v>46113</x:v>
      </x:c>
      <x:c r="B268" s="162" t="str">
        <x:v>LinkedIn</x:v>
      </x:c>
      <x:c r="C268" s="162" t="str">
        <x:v>South</x:v>
      </x:c>
      <x:c r="D268" s="162" t="str">
        <x:v>Labeling Systems</x:v>
      </x:c>
      <x:c r="E268" s="163" t="n">
        <x:v>17250</x:v>
      </x:c>
      <x:c r="F268" s="163" t="n">
        <x:v>443</x:v>
      </x:c>
      <x:c r="G268" s="163" t="n">
        <x:v>39</x:v>
      </x:c>
      <x:c r="H268" s="163" t="n">
        <x:v>26</x:v>
      </x:c>
      <x:c r="I268" s="163" t="n">
        <x:v>15</x:v>
      </x:c>
      <x:c r="J268" s="163" t="n">
        <x:v>8</x:v>
      </x:c>
      <x:c r="K268" s="163" t="n">
        <x:v>2</x:v>
      </x:c>
      <x:c r="L268" s="164" t="n">
        <x:v>4465</x:v>
      </x:c>
      <x:c r="M268" s="164" t="n">
        <x:v>316109</x:v>
      </x:c>
      <x:c r="N268" s="164" t="n">
        <x:v>94080</x:v>
      </x:c>
      <x:c r="O268" s="165" t="n">
        <x:f>IFERROR(F268/E268,0)</x:f>
        <x:v>0.025681159420289854</x:v>
      </x:c>
      <x:c r="P268" s="166" t="n">
        <x:f>IFERROR(L268/F268,0)</x:f>
        <x:v>10.079006772009029</x:v>
      </x:c>
      <x:c r="Q268" s="165" t="n">
        <x:f>IFERROR(G268/F268,0)</x:f>
        <x:v>0.08803611738148984</x:v>
      </x:c>
      <x:c r="R268" s="164" t="n">
        <x:f>IFERROR(L268/G268,0)</x:f>
        <x:v>114.48717948717949</x:v>
      </x:c>
      <x:c r="S268" s="167" t="n">
        <x:f>IFERROR(N268/L268,0)</x:f>
        <x:v>21.070548712206048</x:v>
      </x:c>
      <x:c r="T268" s="165" t="n">
        <x:f>IFERROR(K268/J268,0)</x:f>
        <x:v>0.25</x:v>
      </x:c>
    </x:row>
    <x:row r="269">
      <x:c r="A269" s="161" t="n">
        <x:v>46113</x:v>
      </x:c>
      <x:c r="B269" s="162" t="str">
        <x:v>LinkedIn</x:v>
      </x:c>
      <x:c r="C269" s="162" t="str">
        <x:v>South</x:v>
      </x:c>
      <x:c r="D269" s="162" t="str">
        <x:v>Case Packers</x:v>
      </x:c>
      <x:c r="E269" s="163" t="n">
        <x:v>16875</x:v>
      </x:c>
      <x:c r="F269" s="163" t="n">
        <x:v>393</x:v>
      </x:c>
      <x:c r="G269" s="163" t="n">
        <x:v>35</x:v>
      </x:c>
      <x:c r="H269" s="163" t="n">
        <x:v>24</x:v>
      </x:c>
      <x:c r="I269" s="163" t="n">
        <x:v>14</x:v>
      </x:c>
      <x:c r="J269" s="163" t="n">
        <x:v>8</x:v>
      </x:c>
      <x:c r="K269" s="163" t="n">
        <x:v>2</x:v>
      </x:c>
      <x:c r="L269" s="164" t="n">
        <x:v>3961</x:v>
      </x:c>
      <x:c r="M269" s="164" t="n">
        <x:v>737587</x:v>
      </x:c>
      <x:c r="N269" s="164" t="n">
        <x:v>219520</x:v>
      </x:c>
      <x:c r="O269" s="165" t="n">
        <x:f>IFERROR(F269/E269,0)</x:f>
        <x:v>0.02328888888888889</x:v>
      </x:c>
      <x:c r="P269" s="166" t="n">
        <x:f>IFERROR(L269/F269,0)</x:f>
        <x:v>10.078880407124682</x:v>
      </x:c>
      <x:c r="Q269" s="165" t="n">
        <x:f>IFERROR(G269/F269,0)</x:f>
        <x:v>0.089058524173028</x:v>
      </x:c>
      <x:c r="R269" s="164" t="n">
        <x:f>IFERROR(L269/G269,0)</x:f>
        <x:v>113.17142857142858</x:v>
      </x:c>
      <x:c r="S269" s="167" t="n">
        <x:f>IFERROR(N269/L269,0)</x:f>
        <x:v>55.42034839686948</x:v>
      </x:c>
      <x:c r="T269" s="165" t="n">
        <x:f>IFERROR(K269/J269,0)</x:f>
        <x:v>0.25</x:v>
      </x:c>
    </x:row>
    <x:row r="270">
      <x:c r="A270" s="161" t="n">
        <x:v>46113</x:v>
      </x:c>
      <x:c r="B270" s="162" t="str">
        <x:v>LinkedIn</x:v>
      </x:c>
      <x:c r="C270" s="162" t="str">
        <x:v>West</x:v>
      </x:c>
      <x:c r="D270" s="162" t="str">
        <x:v>Pouch Fillers</x:v>
      </x:c>
      <x:c r="E270" s="163" t="n">
        <x:v>17175</x:v>
      </x:c>
      <x:c r="F270" s="163" t="n">
        <x:v>428</x:v>
      </x:c>
      <x:c r="G270" s="163" t="n">
        <x:v>37</x:v>
      </x:c>
      <x:c r="H270" s="163" t="n">
        <x:v>23</x:v>
      </x:c>
      <x:c r="I270" s="163" t="n">
        <x:v>14</x:v>
      </x:c>
      <x:c r="J270" s="163" t="n">
        <x:v>7</x:v>
      </x:c>
      <x:c r="K270" s="163" t="n">
        <x:v>2</x:v>
      </x:c>
      <x:c r="L270" s="164" t="n">
        <x:v>4376</x:v>
      </x:c>
      <x:c r="M270" s="164" t="n">
        <x:v>484571</x:v>
      </x:c>
      <x:c r="N270" s="164" t="n">
        <x:v>164820</x:v>
      </x:c>
      <x:c r="O270" s="165" t="n">
        <x:f>IFERROR(F270/E270,0)</x:f>
        <x:v>0.024919941775836972</x:v>
      </x:c>
      <x:c r="P270" s="166" t="n">
        <x:f>IFERROR(L270/F270,0)</x:f>
        <x:v>10.22429906542056</x:v>
      </x:c>
      <x:c r="Q270" s="165" t="n">
        <x:f>IFERROR(G270/F270,0)</x:f>
        <x:v>0.08644859813084112</x:v>
      </x:c>
      <x:c r="R270" s="164" t="n">
        <x:f>IFERROR(L270/G270,0)</x:f>
        <x:v>118.27027027027027</x:v>
      </x:c>
      <x:c r="S270" s="167" t="n">
        <x:f>IFERROR(N270/L270,0)</x:f>
        <x:v>37.66453382084095</x:v>
      </x:c>
      <x:c r="T270" s="165" t="n">
        <x:f>IFERROR(K270/J270,0)</x:f>
        <x:v>0.2857142857142857</x:v>
      </x:c>
    </x:row>
    <x:row r="271">
      <x:c r="A271" s="161" t="n">
        <x:v>46113</x:v>
      </x:c>
      <x:c r="B271" s="162" t="str">
        <x:v>LinkedIn</x:v>
      </x:c>
      <x:c r="C271" s="162" t="str">
        <x:v>West</x:v>
      </x:c>
      <x:c r="D271" s="162" t="str">
        <x:v>Cartoning Machines</x:v>
      </x:c>
      <x:c r="E271" s="163" t="n">
        <x:v>16800</x:v>
      </x:c>
      <x:c r="F271" s="163" t="n">
        <x:v>378</x:v>
      </x:c>
      <x:c r="G271" s="163" t="n">
        <x:v>34</x:v>
      </x:c>
      <x:c r="H271" s="163" t="n">
        <x:v>22</x:v>
      </x:c>
      <x:c r="I271" s="163" t="n">
        <x:v>13</x:v>
      </x:c>
      <x:c r="J271" s="163" t="n">
        <x:v>7</x:v>
      </x:c>
      <x:c r="K271" s="163" t="n">
        <x:v>2</x:v>
      </x:c>
      <x:c r="L271" s="164" t="n">
        <x:v>3865</x:v>
      </x:c>
      <x:c r="M271" s="164" t="n">
        <x:v>815497</x:v>
      </x:c>
      <x:c r="N271" s="164" t="n">
        <x:v>277380</x:v>
      </x:c>
      <x:c r="O271" s="165" t="n">
        <x:f>IFERROR(F271/E271,0)</x:f>
        <x:v>0.0225</x:v>
      </x:c>
      <x:c r="P271" s="166" t="n">
        <x:f>IFERROR(L271/F271,0)</x:f>
        <x:v>10.224867724867725</x:v>
      </x:c>
      <x:c r="Q271" s="165" t="n">
        <x:f>IFERROR(G271/F271,0)</x:f>
        <x:v>0.08994708994708994</x:v>
      </x:c>
      <x:c r="R271" s="164" t="n">
        <x:f>IFERROR(L271/G271,0)</x:f>
        <x:v>113.67647058823529</x:v>
      </x:c>
      <x:c r="S271" s="167" t="n">
        <x:f>IFERROR(N271/L271,0)</x:f>
        <x:v>71.76714100905562</x:v>
      </x:c>
      <x:c r="T271" s="165" t="n">
        <x:f>IFERROR(K271/J271,0)</x:f>
        <x:v>0.2857142857142857</x:v>
      </x:c>
    </x:row>
    <x:row r="272">
      <x:c r="A272" s="161" t="n">
        <x:v>46113</x:v>
      </x:c>
      <x:c r="B272" s="162" t="str">
        <x:v>LinkedIn</x:v>
      </x:c>
      <x:c r="C272" s="162" t="str">
        <x:v>West</x:v>
      </x:c>
      <x:c r="D272" s="162" t="str">
        <x:v>Labeling Systems</x:v>
      </x:c>
      <x:c r="E272" s="163" t="n">
        <x:v>18075</x:v>
      </x:c>
      <x:c r="F272" s="163" t="n">
        <x:v>436</x:v>
      </x:c>
      <x:c r="G272" s="163" t="n">
        <x:v>38</x:v>
      </x:c>
      <x:c r="H272" s="163" t="n">
        <x:v>25</x:v>
      </x:c>
      <x:c r="I272" s="163" t="n">
        <x:v>15</x:v>
      </x:c>
      <x:c r="J272" s="163" t="n">
        <x:v>8</x:v>
      </x:c>
      <x:c r="K272" s="163" t="n">
        <x:v>3</x:v>
      </x:c>
      <x:c r="L272" s="164" t="n">
        <x:v>4458</x:v>
      </x:c>
      <x:c r="M272" s="164" t="n">
        <x:v>324173</x:v>
      </x:c>
      <x:c r="N272" s="164" t="n">
        <x:v>144720</x:v>
      </x:c>
      <x:c r="O272" s="165" t="n">
        <x:f>IFERROR(F272/E272,0)</x:f>
        <x:v>0.02412171507607192</x:v>
      </x:c>
      <x:c r="P272" s="166" t="n">
        <x:f>IFERROR(L272/F272,0)</x:f>
        <x:v>10.224770642201834</x:v>
      </x:c>
      <x:c r="Q272" s="165" t="n">
        <x:f>IFERROR(G272/F272,0)</x:f>
        <x:v>0.0871559633027523</x:v>
      </x:c>
      <x:c r="R272" s="164" t="n">
        <x:f>IFERROR(L272/G272,0)</x:f>
        <x:v>117.3157894736842</x:v>
      </x:c>
      <x:c r="S272" s="167" t="n">
        <x:f>IFERROR(N272/L272,0)</x:f>
        <x:v>32.462987886944816</x:v>
      </x:c>
      <x:c r="T272" s="165" t="n">
        <x:f>IFERROR(K272/J272,0)</x:f>
        <x:v>0.375</x:v>
      </x:c>
    </x:row>
    <x:row r="273">
      <x:c r="A273" s="161" t="n">
        <x:v>46113</x:v>
      </x:c>
      <x:c r="B273" s="162" t="str">
        <x:v>LinkedIn</x:v>
      </x:c>
      <x:c r="C273" s="162" t="str">
        <x:v>West</x:v>
      </x:c>
      <x:c r="D273" s="162" t="str">
        <x:v>Case Packers</x:v>
      </x:c>
      <x:c r="E273" s="163" t="n">
        <x:v>17700</x:v>
      </x:c>
      <x:c r="F273" s="163" t="n">
        <x:v>455</x:v>
      </x:c>
      <x:c r="G273" s="163" t="n">
        <x:v>40</x:v>
      </x:c>
      <x:c r="H273" s="163" t="n">
        <x:v>27</x:v>
      </x:c>
      <x:c r="I273" s="163" t="n">
        <x:v>16</x:v>
      </x:c>
      <x:c r="J273" s="163" t="n">
        <x:v>9</x:v>
      </x:c>
      <x:c r="K273" s="163" t="n">
        <x:v>3</x:v>
      </x:c>
      <x:c r="L273" s="164" t="n">
        <x:v>4652</x:v>
      </x:c>
      <x:c r="M273" s="164" t="n">
        <x:v>850954</x:v>
      </x:c>
      <x:c r="N273" s="164" t="n">
        <x:v>337680</x:v>
      </x:c>
      <x:c r="O273" s="165" t="n">
        <x:f>IFERROR(F273/E273,0)</x:f>
        <x:v>0.025706214689265535</x:v>
      </x:c>
      <x:c r="P273" s="166" t="n">
        <x:f>IFERROR(L273/F273,0)</x:f>
        <x:v>10.224175824175823</x:v>
      </x:c>
      <x:c r="Q273" s="165" t="n">
        <x:f>IFERROR(G273/F273,0)</x:f>
        <x:v>0.08791208791208792</x:v>
      </x:c>
      <x:c r="R273" s="164" t="n">
        <x:f>IFERROR(L273/G273,0)</x:f>
        <x:v>116.3</x:v>
      </x:c>
      <x:c r="S273" s="167" t="n">
        <x:f>IFERROR(N273/L273,0)</x:f>
        <x:v>72.58813413585554</x:v>
      </x:c>
      <x:c r="T273" s="165" t="n">
        <x:f>IFERROR(K273/J273,0)</x:f>
        <x:v>0.3333333333333333</x:v>
      </x:c>
    </x:row>
    <x:row r="274">
      <x:c r="A274" s="161" t="n">
        <x:v>46113</x:v>
      </x:c>
      <x:c r="B274" s="162" t="str">
        <x:v>Email</x:v>
      </x:c>
      <x:c r="C274" s="162" t="str">
        <x:v>Northeast</x:v>
      </x:c>
      <x:c r="D274" s="162" t="str">
        <x:v>Pouch Fillers</x:v>
      </x:c>
      <x:c r="E274" s="163" t="n">
        <x:v>9540</x:v>
      </x:c>
      <x:c r="F274" s="163" t="n">
        <x:v>547</x:v>
      </x:c>
      <x:c r="G274" s="163" t="n">
        <x:v>56</x:v>
      </x:c>
      <x:c r="H274" s="163" t="n">
        <x:v>34</x:v>
      </x:c>
      <x:c r="I274" s="163" t="n">
        <x:v>19</x:v>
      </x:c>
      <x:c r="J274" s="163" t="n">
        <x:v>9</x:v>
      </x:c>
      <x:c r="K274" s="163" t="n">
        <x:v>3</x:v>
      </x:c>
      <x:c r="L274" s="164" t="n">
        <x:v>1060</x:v>
      </x:c>
      <x:c r="M274" s="164" t="n">
        <x:v>576526</x:v>
      </x:c>
      <x:c r="N274" s="164" t="n">
        <x:v>228780</x:v>
      </x:c>
      <x:c r="O274" s="165" t="n">
        <x:f>IFERROR(F274/E274,0)</x:f>
        <x:v>0.05733752620545073</x:v>
      </x:c>
      <x:c r="P274" s="166" t="n">
        <x:f>IFERROR(L274/F274,0)</x:f>
        <x:v>1.9378427787934187</x:v>
      </x:c>
      <x:c r="Q274" s="165" t="n">
        <x:f>IFERROR(G274/F274,0)</x:f>
        <x:v>0.10237659963436929</x:v>
      </x:c>
      <x:c r="R274" s="164" t="n">
        <x:f>IFERROR(L274/G274,0)</x:f>
        <x:v>18.928571428571427</x:v>
      </x:c>
      <x:c r="S274" s="167" t="n">
        <x:f>IFERROR(N274/L274,0)</x:f>
        <x:v>215.83018867924528</x:v>
      </x:c>
      <x:c r="T274" s="165" t="n">
        <x:f>IFERROR(K274/J274,0)</x:f>
        <x:v>0.3333333333333333</x:v>
      </x:c>
    </x:row>
    <x:row r="275">
      <x:c r="A275" s="161" t="n">
        <x:v>46113</x:v>
      </x:c>
      <x:c r="B275" s="162" t="str">
        <x:v>Email</x:v>
      </x:c>
      <x:c r="C275" s="162" t="str">
        <x:v>Northeast</x:v>
      </x:c>
      <x:c r="D275" s="162" t="str">
        <x:v>Cartoning Machines</x:v>
      </x:c>
      <x:c r="E275" s="163" t="n">
        <x:v>9315</x:v>
      </x:c>
      <x:c r="F275" s="163" t="n">
        <x:v>549</x:v>
      </x:c>
      <x:c r="G275" s="163" t="n">
        <x:v>57</x:v>
      </x:c>
      <x:c r="H275" s="163" t="n">
        <x:v>36</x:v>
      </x:c>
      <x:c r="I275" s="163" t="n">
        <x:v>20</x:v>
      </x:c>
      <x:c r="J275" s="163" t="n">
        <x:v>10</x:v>
      </x:c>
      <x:c r="K275" s="163" t="n">
        <x:v>3</x:v>
      </x:c>
      <x:c r="L275" s="164" t="n">
        <x:v>1064</x:v>
      </x:c>
      <x:c r="M275" s="164" t="n">
        <x:v>1078056</x:v>
      </x:c>
      <x:c r="N275" s="164" t="n">
        <x:v>385020</x:v>
      </x:c>
      <x:c r="O275" s="165" t="n">
        <x:f>IFERROR(F275/E275,0)</x:f>
        <x:v>0.05893719806763285</x:v>
      </x:c>
      <x:c r="P275" s="166" t="n">
        <x:f>IFERROR(L275/F275,0)</x:f>
        <x:v>1.9380692167577414</x:v>
      </x:c>
      <x:c r="Q275" s="165" t="n">
        <x:f>IFERROR(G275/F275,0)</x:f>
        <x:v>0.10382513661202186</x:v>
      </x:c>
      <x:c r="R275" s="164" t="n">
        <x:f>IFERROR(L275/G275,0)</x:f>
        <x:v>18.666666666666668</x:v>
      </x:c>
      <x:c r="S275" s="167" t="n">
        <x:f>IFERROR(N275/L275,0)</x:f>
        <x:v>361.8609022556391</x:v>
      </x:c>
      <x:c r="T275" s="165" t="n">
        <x:f>IFERROR(K275/J275,0)</x:f>
        <x:v>0.3</x:v>
      </x:c>
    </x:row>
    <x:row r="276">
      <x:c r="A276" s="161" t="n">
        <x:v>46113</x:v>
      </x:c>
      <x:c r="B276" s="162" t="str">
        <x:v>Email</x:v>
      </x:c>
      <x:c r="C276" s="162" t="str">
        <x:v>Northeast</x:v>
      </x:c>
      <x:c r="D276" s="162" t="str">
        <x:v>Labeling Systems</x:v>
      </x:c>
      <x:c r="E276" s="163" t="n">
        <x:v>9090</x:v>
      </x:c>
      <x:c r="F276" s="163" t="n">
        <x:v>514</x:v>
      </x:c>
      <x:c r="G276" s="163" t="n">
        <x:v>52</x:v>
      </x:c>
      <x:c r="H276" s="163" t="n">
        <x:v>34</x:v>
      </x:c>
      <x:c r="I276" s="163" t="n">
        <x:v>19</x:v>
      </x:c>
      <x:c r="J276" s="163" t="n">
        <x:v>10</x:v>
      </x:c>
      <x:c r="K276" s="163" t="n">
        <x:v>3</x:v>
      </x:c>
      <x:c r="L276" s="164" t="n">
        <x:v>996</x:v>
      </x:c>
      <x:c r="M276" s="164" t="n">
        <x:v>374976</x:v>
      </x:c>
      <x:c r="N276" s="164" t="n">
        <x:v>133920</x:v>
      </x:c>
      <x:c r="O276" s="165" t="n">
        <x:f>IFERROR(F276/E276,0)</x:f>
        <x:v>0.05654565456545654</x:v>
      </x:c>
      <x:c r="P276" s="166" t="n">
        <x:f>IFERROR(L276/F276,0)</x:f>
        <x:v>1.9377431906614786</x:v>
      </x:c>
      <x:c r="Q276" s="165" t="n">
        <x:f>IFERROR(G276/F276,0)</x:f>
        <x:v>0.10116731517509728</x:v>
      </x:c>
      <x:c r="R276" s="164" t="n">
        <x:f>IFERROR(L276/G276,0)</x:f>
        <x:v>19.153846153846153</x:v>
      </x:c>
      <x:c r="S276" s="167" t="n">
        <x:f>IFERROR(N276/L276,0)</x:f>
        <x:v>134.4578313253012</x:v>
      </x:c>
      <x:c r="T276" s="165" t="n">
        <x:f>IFERROR(K276/J276,0)</x:f>
        <x:v>0.3</x:v>
      </x:c>
    </x:row>
    <x:row r="277">
      <x:c r="A277" s="161" t="n">
        <x:v>46113</x:v>
      </x:c>
      <x:c r="B277" s="162" t="str">
        <x:v>Email</x:v>
      </x:c>
      <x:c r="C277" s="162" t="str">
        <x:v>Northeast</x:v>
      </x:c>
      <x:c r="D277" s="162" t="str">
        <x:v>Case Packers</x:v>
      </x:c>
      <x:c r="E277" s="163" t="n">
        <x:v>9855</x:v>
      </x:c>
      <x:c r="F277" s="163" t="n">
        <x:v>573</x:v>
      </x:c>
      <x:c r="G277" s="163" t="n">
        <x:v>60</x:v>
      </x:c>
      <x:c r="H277" s="163" t="n">
        <x:v>41</x:v>
      </x:c>
      <x:c r="I277" s="163" t="n">
        <x:v>23</x:v>
      </x:c>
      <x:c r="J277" s="163" t="n">
        <x:v>13</x:v>
      </x:c>
      <x:c r="K277" s="163" t="n">
        <x:v>4</x:v>
      </x:c>
      <x:c r="L277" s="164" t="n">
        <x:v>1110</x:v>
      </x:c>
      <x:c r="M277" s="164" t="n">
        <x:v>1137427</x:v>
      </x:c>
      <x:c r="N277" s="164" t="n">
        <x:v>416640</x:v>
      </x:c>
      <x:c r="O277" s="165" t="n">
        <x:f>IFERROR(F277/E277,0)</x:f>
        <x:v>0.05814307458143075</x:v>
      </x:c>
      <x:c r="P277" s="166" t="n">
        <x:f>IFERROR(L277/F277,0)</x:f>
        <x:v>1.9371727748691099</x:v>
      </x:c>
      <x:c r="Q277" s="165" t="n">
        <x:f>IFERROR(G277/F277,0)</x:f>
        <x:v>0.10471204188481675</x:v>
      </x:c>
      <x:c r="R277" s="164" t="n">
        <x:f>IFERROR(L277/G277,0)</x:f>
        <x:v>18.5</x:v>
      </x:c>
      <x:c r="S277" s="167" t="n">
        <x:f>IFERROR(N277/L277,0)</x:f>
        <x:v>375.35135135135135</x:v>
      </x:c>
      <x:c r="T277" s="165" t="n">
        <x:f>IFERROR(K277/J277,0)</x:f>
        <x:v>0.3076923076923077</x:v>
      </x:c>
    </x:row>
    <x:row r="278">
      <x:c r="A278" s="161" t="n">
        <x:v>46113</x:v>
      </x:c>
      <x:c r="B278" s="162" t="str">
        <x:v>Email</x:v>
      </x:c>
      <x:c r="C278" s="162" t="str">
        <x:v>Midwest</x:v>
      </x:c>
      <x:c r="D278" s="162" t="str">
        <x:v>Pouch Fillers</x:v>
      </x:c>
      <x:c r="E278" s="163" t="n">
        <x:v>9045</x:v>
      </x:c>
      <x:c r="F278" s="163" t="n">
        <x:v>540</x:v>
      </x:c>
      <x:c r="G278" s="163" t="n">
        <x:v>55</x:v>
      </x:c>
      <x:c r="H278" s="163" t="n">
        <x:v>34</x:v>
      </x:c>
      <x:c r="I278" s="163" t="n">
        <x:v>19</x:v>
      </x:c>
      <x:c r="J278" s="163" t="n">
        <x:v>9</x:v>
      </x:c>
      <x:c r="K278" s="163" t="n">
        <x:v>3</x:v>
      </x:c>
      <x:c r="L278" s="164" t="n">
        <x:v>1062</x:v>
      </x:c>
      <x:c r="M278" s="164" t="n">
        <x:v>592024</x:v>
      </x:c>
      <x:c r="N278" s="164" t="n">
        <x:v>234930</x:v>
      </x:c>
      <x:c r="O278" s="165" t="n">
        <x:f>IFERROR(F278/E278,0)</x:f>
        <x:v>0.05970149253731343</x:v>
      </x:c>
      <x:c r="P278" s="166" t="n">
        <x:f>IFERROR(L278/F278,0)</x:f>
        <x:v>1.9666666666666666</x:v>
      </x:c>
      <x:c r="Q278" s="165" t="n">
        <x:f>IFERROR(G278/F278,0)</x:f>
        <x:v>0.10185185185185185</x:v>
      </x:c>
      <x:c r="R278" s="164" t="n">
        <x:f>IFERROR(L278/G278,0)</x:f>
        <x:v>19.30909090909091</x:v>
      </x:c>
      <x:c r="S278" s="167" t="n">
        <x:f>IFERROR(N278/L278,0)</x:f>
        <x:v>221.21468926553672</x:v>
      </x:c>
      <x:c r="T278" s="165" t="n">
        <x:f>IFERROR(K278/J278,0)</x:f>
        <x:v>0.3333333333333333</x:v>
      </x:c>
    </x:row>
    <x:row r="279">
      <x:c r="A279" s="161" t="n">
        <x:v>46113</x:v>
      </x:c>
      <x:c r="B279" s="162" t="str">
        <x:v>Email</x:v>
      </x:c>
      <x:c r="C279" s="162" t="str">
        <x:v>Midwest</x:v>
      </x:c>
      <x:c r="D279" s="162" t="str">
        <x:v>Cartoning Machines</x:v>
      </x:c>
      <x:c r="E279" s="163" t="n">
        <x:v>9810</x:v>
      </x:c>
      <x:c r="F279" s="163" t="n">
        <x:v>562</x:v>
      </x:c>
      <x:c r="G279" s="163" t="n">
        <x:v>58</x:v>
      </x:c>
      <x:c r="H279" s="163" t="n">
        <x:v>37</x:v>
      </x:c>
      <x:c r="I279" s="163" t="n">
        <x:v>21</x:v>
      </x:c>
      <x:c r="J279" s="163" t="n">
        <x:v>11</x:v>
      </x:c>
      <x:c r="K279" s="163" t="n">
        <x:v>3</x:v>
      </x:c>
      <x:c r="L279" s="164" t="n">
        <x:v>1105</x:v>
      </x:c>
      <x:c r="M279" s="164" t="n">
        <x:v>1217740</x:v>
      </x:c>
      <x:c r="N279" s="164" t="n">
        <x:v>395370</x:v>
      </x:c>
      <x:c r="O279" s="165" t="n">
        <x:f>IFERROR(F279/E279,0)</x:f>
        <x:v>0.05728848114169215</x:v>
      </x:c>
      <x:c r="P279" s="166" t="n">
        <x:f>IFERROR(L279/F279,0)</x:f>
        <x:v>1.9661921708185053</x:v>
      </x:c>
      <x:c r="Q279" s="165" t="n">
        <x:f>IFERROR(G279/F279,0)</x:f>
        <x:v>0.10320284697508897</x:v>
      </x:c>
      <x:c r="R279" s="164" t="n">
        <x:f>IFERROR(L279/G279,0)</x:f>
        <x:v>19.051724137931036</x:v>
      </x:c>
      <x:c r="S279" s="167" t="n">
        <x:f>IFERROR(N279/L279,0)</x:f>
        <x:v>357.8009049773756</x:v>
      </x:c>
      <x:c r="T279" s="165" t="n">
        <x:f>IFERROR(K279/J279,0)</x:f>
        <x:v>0.2727272727272727</x:v>
      </x:c>
    </x:row>
    <x:row r="280">
      <x:c r="A280" s="161" t="n">
        <x:v>46113</x:v>
      </x:c>
      <x:c r="B280" s="162" t="str">
        <x:v>Email</x:v>
      </x:c>
      <x:c r="C280" s="162" t="str">
        <x:v>Midwest</x:v>
      </x:c>
      <x:c r="D280" s="162" t="str">
        <x:v>Labeling Systems</x:v>
      </x:c>
      <x:c r="E280" s="163" t="n">
        <x:v>9585</x:v>
      </x:c>
      <x:c r="F280" s="163" t="n">
        <x:v>565</x:v>
      </x:c>
      <x:c r="G280" s="163" t="n">
        <x:v>58</x:v>
      </x:c>
      <x:c r="H280" s="163" t="n">
        <x:v>38</x:v>
      </x:c>
      <x:c r="I280" s="163" t="n">
        <x:v>22</x:v>
      </x:c>
      <x:c r="J280" s="163" t="n">
        <x:v>12</x:v>
      </x:c>
      <x:c r="K280" s="163" t="n">
        <x:v>4</x:v>
      </x:c>
      <x:c r="L280" s="164" t="n">
        <x:v>1111</x:v>
      </x:c>
      <x:c r="M280" s="164" t="n">
        <x:v>462067</x:v>
      </x:c>
      <x:c r="N280" s="164" t="n">
        <x:v>183360</x:v>
      </x:c>
      <x:c r="O280" s="165" t="n">
        <x:f>IFERROR(F280/E280,0)</x:f>
        <x:v>0.05894627021387585</x:v>
      </x:c>
      <x:c r="P280" s="166" t="n">
        <x:f>IFERROR(L280/F280,0)</x:f>
        <x:v>1.966371681415929</x:v>
      </x:c>
      <x:c r="Q280" s="165" t="n">
        <x:f>IFERROR(G280/F280,0)</x:f>
        <x:v>0.10265486725663717</x:v>
      </x:c>
      <x:c r="R280" s="164" t="n">
        <x:f>IFERROR(L280/G280,0)</x:f>
        <x:v>19.155172413793103</x:v>
      </x:c>
      <x:c r="S280" s="167" t="n">
        <x:f>IFERROR(N280/L280,0)</x:f>
        <x:v>165.04050405040505</x:v>
      </x:c>
      <x:c r="T280" s="165" t="n">
        <x:f>IFERROR(K280/J280,0)</x:f>
        <x:v>0.3333333333333333</x:v>
      </x:c>
    </x:row>
    <x:row r="281">
      <x:c r="A281" s="161" t="n">
        <x:v>46113</x:v>
      </x:c>
      <x:c r="B281" s="162" t="str">
        <x:v>Email</x:v>
      </x:c>
      <x:c r="C281" s="162" t="str">
        <x:v>Midwest</x:v>
      </x:c>
      <x:c r="D281" s="162" t="str">
        <x:v>Case Packers</x:v>
      </x:c>
      <x:c r="E281" s="163" t="n">
        <x:v>10350</x:v>
      </x:c>
      <x:c r="F281" s="163" t="n">
        <x:v>585</x:v>
      </x:c>
      <x:c r="G281" s="163" t="n">
        <x:v>61</x:v>
      </x:c>
      <x:c r="H281" s="163" t="n">
        <x:v>42</x:v>
      </x:c>
      <x:c r="I281" s="163" t="n">
        <x:v>24</x:v>
      </x:c>
      <x:c r="J281" s="163" t="n">
        <x:v>14</x:v>
      </x:c>
      <x:c r="K281" s="163" t="n">
        <x:v>4</x:v>
      </x:c>
      <x:c r="L281" s="164" t="n">
        <x:v>1150</x:v>
      </x:c>
      <x:c r="M281" s="164" t="n">
        <x:v>1257850</x:v>
      </x:c>
      <x:c r="N281" s="164" t="n">
        <x:v>427840</x:v>
      </x:c>
      <x:c r="O281" s="165" t="n">
        <x:f>IFERROR(F281/E281,0)</x:f>
        <x:v>0.05652173913043478</x:v>
      </x:c>
      <x:c r="P281" s="166" t="n">
        <x:f>IFERROR(L281/F281,0)</x:f>
        <x:v>1.9658119658119657</x:v>
      </x:c>
      <x:c r="Q281" s="165" t="n">
        <x:f>IFERROR(G281/F281,0)</x:f>
        <x:v>0.10427350427350428</x:v>
      </x:c>
      <x:c r="R281" s="164" t="n">
        <x:f>IFERROR(L281/G281,0)</x:f>
        <x:v>18.852459016393443</x:v>
      </x:c>
      <x:c r="S281" s="167" t="n">
        <x:f>IFERROR(N281/L281,0)</x:f>
        <x:v>372.03478260869565</x:v>
      </x:c>
      <x:c r="T281" s="165" t="n">
        <x:f>IFERROR(K281/J281,0)</x:f>
        <x:v>0.2857142857142857</x:v>
      </x:c>
    </x:row>
    <x:row r="282">
      <x:c r="A282" s="161" t="n">
        <x:v>46113</x:v>
      </x:c>
      <x:c r="B282" s="162" t="str">
        <x:v>Email</x:v>
      </x:c>
      <x:c r="C282" s="162" t="str">
        <x:v>South</x:v>
      </x:c>
      <x:c r="D282" s="162" t="str">
        <x:v>Pouch Fillers</x:v>
      </x:c>
      <x:c r="E282" s="163" t="n">
        <x:v>9540</x:v>
      </x:c>
      <x:c r="F282" s="163" t="n">
        <x:v>554</x:v>
      </x:c>
      <x:c r="G282" s="163" t="n">
        <x:v>57</x:v>
      </x:c>
      <x:c r="H282" s="163" t="n">
        <x:v>35</x:v>
      </x:c>
      <x:c r="I282" s="163" t="n">
        <x:v>21</x:v>
      </x:c>
      <x:c r="J282" s="163" t="n">
        <x:v>10</x:v>
      </x:c>
      <x:c r="K282" s="163" t="n">
        <x:v>3</x:v>
      </x:c>
      <x:c r="L282" s="164" t="n">
        <x:v>1105</x:v>
      </x:c>
      <x:c r="M282" s="164" t="n">
        <x:v>675024</x:v>
      </x:c>
      <x:c r="N282" s="164" t="n">
        <x:v>241080</x:v>
      </x:c>
      <x:c r="O282" s="165" t="n">
        <x:f>IFERROR(F282/E282,0)</x:f>
        <x:v>0.05807127882599581</x:v>
      </x:c>
      <x:c r="P282" s="166" t="n">
        <x:f>IFERROR(L282/F282,0)</x:f>
        <x:v>1.9945848375451263</x:v>
      </x:c>
      <x:c r="Q282" s="165" t="n">
        <x:f>IFERROR(G282/F282,0)</x:f>
        <x:v>0.10288808664259928</x:v>
      </x:c>
      <x:c r="R282" s="164" t="n">
        <x:f>IFERROR(L282/G282,0)</x:f>
        <x:v>19.385964912280702</x:v>
      </x:c>
      <x:c r="S282" s="167" t="n">
        <x:f>IFERROR(N282/L282,0)</x:f>
        <x:v>218.17194570135746</x:v>
      </x:c>
      <x:c r="T282" s="165" t="n">
        <x:f>IFERROR(K282/J282,0)</x:f>
        <x:v>0.3</x:v>
      </x:c>
    </x:row>
    <x:row r="283">
      <x:c r="A283" s="161" t="n">
        <x:v>46113</x:v>
      </x:c>
      <x:c r="B283" s="162" t="str">
        <x:v>Email</x:v>
      </x:c>
      <x:c r="C283" s="162" t="str">
        <x:v>South</x:v>
      </x:c>
      <x:c r="D283" s="162" t="str">
        <x:v>Cartoning Machines</x:v>
      </x:c>
      <x:c r="E283" s="163" t="n">
        <x:v>10305</x:v>
      </x:c>
      <x:c r="F283" s="163" t="n">
        <x:v>615</x:v>
      </x:c>
      <x:c r="G283" s="163" t="n">
        <x:v>64</x:v>
      </x:c>
      <x:c r="H283" s="163" t="n">
        <x:v>41</x:v>
      </x:c>
      <x:c r="I283" s="163" t="n">
        <x:v>24</x:v>
      </x:c>
      <x:c r="J283" s="163" t="n">
        <x:v>12</x:v>
      </x:c>
      <x:c r="K283" s="163" t="n">
        <x:v>4</x:v>
      </x:c>
      <x:c r="L283" s="164" t="n">
        <x:v>1227</x:v>
      </x:c>
      <x:c r="M283" s="164" t="n">
        <x:v>1363219</x:v>
      </x:c>
      <x:c r="N283" s="164" t="n">
        <x:v>540960</x:v>
      </x:c>
      <x:c r="O283" s="165" t="n">
        <x:f>IFERROR(F283/E283,0)</x:f>
        <x:v>0.05967976710334789</x:v>
      </x:c>
      <x:c r="P283" s="166" t="n">
        <x:f>IFERROR(L283/F283,0)</x:f>
        <x:v>1.9951219512195122</x:v>
      </x:c>
      <x:c r="Q283" s="165" t="n">
        <x:f>IFERROR(G283/F283,0)</x:f>
        <x:v>0.1040650406504065</x:v>
      </x:c>
      <x:c r="R283" s="164" t="n">
        <x:f>IFERROR(L283/G283,0)</x:f>
        <x:v>19.171875</x:v>
      </x:c>
      <x:c r="S283" s="167" t="n">
        <x:f>IFERROR(N283/L283,0)</x:f>
        <x:v>440.880195599022</x:v>
      </x:c>
      <x:c r="T283" s="165" t="n">
        <x:f>IFERROR(K283/J283,0)</x:f>
        <x:v>0.3333333333333333</x:v>
      </x:c>
    </x:row>
    <x:row r="284">
      <x:c r="A284" s="161" t="n">
        <x:v>46113</x:v>
      </x:c>
      <x:c r="B284" s="162" t="str">
        <x:v>Email</x:v>
      </x:c>
      <x:c r="C284" s="162" t="str">
        <x:v>South</x:v>
      </x:c>
      <x:c r="D284" s="162" t="str">
        <x:v>Labeling Systems</x:v>
      </x:c>
      <x:c r="E284" s="163" t="n">
        <x:v>10080</x:v>
      </x:c>
      <x:c r="F284" s="163" t="n">
        <x:v>578</x:v>
      </x:c>
      <x:c r="G284" s="163" t="n">
        <x:v>59</x:v>
      </x:c>
      <x:c r="H284" s="163" t="n">
        <x:v>39</x:v>
      </x:c>
      <x:c r="I284" s="163" t="n">
        <x:v>23</x:v>
      </x:c>
      <x:c r="J284" s="163" t="n">
        <x:v>12</x:v>
      </x:c>
      <x:c r="K284" s="163" t="n">
        <x:v>4</x:v>
      </x:c>
      <x:c r="L284" s="164" t="n">
        <x:v>1153</x:v>
      </x:c>
      <x:c r="M284" s="164" t="n">
        <x:v>474163</x:v>
      </x:c>
      <x:c r="N284" s="164" t="n">
        <x:v>188160</x:v>
      </x:c>
      <x:c r="O284" s="165" t="n">
        <x:f>IFERROR(F284/E284,0)</x:f>
        <x:v>0.05734126984126984</x:v>
      </x:c>
      <x:c r="P284" s="166" t="n">
        <x:f>IFERROR(L284/F284,0)</x:f>
        <x:v>1.994809688581315</x:v>
      </x:c>
      <x:c r="Q284" s="165" t="n">
        <x:f>IFERROR(G284/F284,0)</x:f>
        <x:v>0.10207612456747404</x:v>
      </x:c>
      <x:c r="R284" s="164" t="n">
        <x:f>IFERROR(L284/G284,0)</x:f>
        <x:v>19.54237288135593</x:v>
      </x:c>
      <x:c r="S284" s="167" t="n">
        <x:f>IFERROR(N284/L284,0)</x:f>
        <x:v>163.19167389418908</x:v>
      </x:c>
      <x:c r="T284" s="165" t="n">
        <x:f>IFERROR(K284/J284,0)</x:f>
        <x:v>0.3333333333333333</x:v>
      </x:c>
    </x:row>
    <x:row r="285">
      <x:c r="A285" s="161" t="n">
        <x:v>46113</x:v>
      </x:c>
      <x:c r="B285" s="162" t="str">
        <x:v>Email</x:v>
      </x:c>
      <x:c r="C285" s="162" t="str">
        <x:v>South</x:v>
      </x:c>
      <x:c r="D285" s="162" t="str">
        <x:v>Case Packers</x:v>
      </x:c>
      <x:c r="E285" s="163" t="n">
        <x:v>10845</x:v>
      </x:c>
      <x:c r="F285" s="163" t="n">
        <x:v>639</x:v>
      </x:c>
      <x:c r="G285" s="163" t="n">
        <x:v>66</x:v>
      </x:c>
      <x:c r="H285" s="163" t="n">
        <x:v>45</x:v>
      </x:c>
      <x:c r="I285" s="163" t="n">
        <x:v>27</x:v>
      </x:c>
      <x:c r="J285" s="163" t="n">
        <x:v>15</x:v>
      </x:c>
      <x:c r="K285" s="163" t="n">
        <x:v>5</x:v>
      </x:c>
      <x:c r="L285" s="164" t="n">
        <x:v>1275</x:v>
      </x:c>
      <x:c r="M285" s="164" t="n">
        <x:v>1382976</x:v>
      </x:c>
      <x:c r="N285" s="164" t="n">
        <x:v>548800</x:v>
      </x:c>
      <x:c r="O285" s="165" t="n">
        <x:f>IFERROR(F285/E285,0)</x:f>
        <x:v>0.05892116182572614</x:v>
      </x:c>
      <x:c r="P285" s="166" t="n">
        <x:f>IFERROR(L285/F285,0)</x:f>
        <x:v>1.9953051643192488</x:v>
      </x:c>
      <x:c r="Q285" s="165" t="n">
        <x:f>IFERROR(G285/F285,0)</x:f>
        <x:v>0.10328638497652583</x:v>
      </x:c>
      <x:c r="R285" s="164" t="n">
        <x:f>IFERROR(L285/G285,0)</x:f>
        <x:v>19.318181818181817</x:v>
      </x:c>
      <x:c r="S285" s="167" t="n">
        <x:f>IFERROR(N285/L285,0)</x:f>
        <x:v>430.4313725490196</x:v>
      </x:c>
      <x:c r="T285" s="165" t="n">
        <x:f>IFERROR(K285/J285,0)</x:f>
        <x:v>0.3333333333333333</x:v>
      </x:c>
    </x:row>
    <x:row r="286">
      <x:c r="A286" s="161" t="n">
        <x:v>46113</x:v>
      </x:c>
      <x:c r="B286" s="162" t="str">
        <x:v>Email</x:v>
      </x:c>
      <x:c r="C286" s="162" t="str">
        <x:v>West</x:v>
      </x:c>
      <x:c r="D286" s="162" t="str">
        <x:v>Pouch Fillers</x:v>
      </x:c>
      <x:c r="E286" s="163" t="n">
        <x:v>10035</x:v>
      </x:c>
      <x:c r="F286" s="163" t="n">
        <x:v>567</x:v>
      </x:c>
      <x:c r="G286" s="163" t="n">
        <x:v>58</x:v>
      </x:c>
      <x:c r="H286" s="163" t="n">
        <x:v>35</x:v>
      </x:c>
      <x:c r="I286" s="163" t="n">
        <x:v>21</x:v>
      </x:c>
      <x:c r="J286" s="163" t="n">
        <x:v>10</x:v>
      </x:c>
      <x:c r="K286" s="163" t="n">
        <x:v>3</x:v>
      </x:c>
      <x:c r="L286" s="164" t="n">
        <x:v>1147</x:v>
      </x:c>
      <x:c r="M286" s="164" t="n">
        <x:v>692244</x:v>
      </x:c>
      <x:c r="N286" s="164" t="n">
        <x:v>247230</x:v>
      </x:c>
      <x:c r="O286" s="165" t="n">
        <x:f>IFERROR(F286/E286,0)</x:f>
        <x:v>0.05650224215246637</x:v>
      </x:c>
      <x:c r="P286" s="166" t="n">
        <x:f>IFERROR(L286/F286,0)</x:f>
        <x:v>2.0229276895943564</x:v>
      </x:c>
      <x:c r="Q286" s="165" t="n">
        <x:f>IFERROR(G286/F286,0)</x:f>
        <x:v>0.10229276895943562</x:v>
      </x:c>
      <x:c r="R286" s="164" t="n">
        <x:f>IFERROR(L286/G286,0)</x:f>
        <x:v>19.775862068965516</x:v>
      </x:c>
      <x:c r="S286" s="167" t="n">
        <x:f>IFERROR(N286/L286,0)</x:f>
        <x:v>215.54489973844812</x:v>
      </x:c>
      <x:c r="T286" s="165" t="n">
        <x:f>IFERROR(K286/J286,0)</x:f>
        <x:v>0.3</x:v>
      </x:c>
    </x:row>
    <x:row r="287">
      <x:c r="A287" s="161" t="n">
        <x:v>46113</x:v>
      </x:c>
      <x:c r="B287" s="162" t="str">
        <x:v>Email</x:v>
      </x:c>
      <x:c r="C287" s="162" t="str">
        <x:v>West</x:v>
      </x:c>
      <x:c r="D287" s="162" t="str">
        <x:v>Cartoning Machines</x:v>
      </x:c>
      <x:c r="E287" s="163" t="n">
        <x:v>9810</x:v>
      </x:c>
      <x:c r="F287" s="163" t="n">
        <x:v>570</x:v>
      </x:c>
      <x:c r="G287" s="163" t="n">
        <x:v>59</x:v>
      </x:c>
      <x:c r="H287" s="163" t="n">
        <x:v>37</x:v>
      </x:c>
      <x:c r="I287" s="163" t="n">
        <x:v>23</x:v>
      </x:c>
      <x:c r="J287" s="163" t="n">
        <x:v>12</x:v>
      </x:c>
      <x:c r="K287" s="163" t="n">
        <x:v>4</x:v>
      </x:c>
      <x:c r="L287" s="164" t="n">
        <x:v>1153</x:v>
      </x:c>
      <x:c r="M287" s="164" t="n">
        <x:v>1397995</x:v>
      </x:c>
      <x:c r="N287" s="164" t="n">
        <x:v>554760</x:v>
      </x:c>
      <x:c r="O287" s="165" t="n">
        <x:f>IFERROR(F287/E287,0)</x:f>
        <x:v>0.0581039755351682</x:v>
      </x:c>
      <x:c r="P287" s="166" t="n">
        <x:f>IFERROR(L287/F287,0)</x:f>
        <x:v>2.0228070175438595</x:v>
      </x:c>
      <x:c r="Q287" s="165" t="n">
        <x:f>IFERROR(G287/F287,0)</x:f>
        <x:v>0.10350877192982456</x:v>
      </x:c>
      <x:c r="R287" s="164" t="n">
        <x:f>IFERROR(L287/G287,0)</x:f>
        <x:v>19.54237288135593</x:v>
      </x:c>
      <x:c r="S287" s="167" t="n">
        <x:f>IFERROR(N287/L287,0)</x:f>
        <x:v>481.1448395490026</x:v>
      </x:c>
      <x:c r="T287" s="165" t="n">
        <x:f>IFERROR(K287/J287,0)</x:f>
        <x:v>0.3333333333333333</x:v>
      </x:c>
    </x:row>
    <x:row r="288">
      <x:c r="A288" s="161" t="n">
        <x:v>46113</x:v>
      </x:c>
      <x:c r="B288" s="162" t="str">
        <x:v>Email</x:v>
      </x:c>
      <x:c r="C288" s="162" t="str">
        <x:v>West</x:v>
      </x:c>
      <x:c r="D288" s="162" t="str">
        <x:v>Labeling Systems</x:v>
      </x:c>
      <x:c r="E288" s="163" t="n">
        <x:v>10575</x:v>
      </x:c>
      <x:c r="F288" s="163" t="n">
        <x:v>631</x:v>
      </x:c>
      <x:c r="G288" s="163" t="n">
        <x:v>64</x:v>
      </x:c>
      <x:c r="H288" s="163" t="n">
        <x:v>42</x:v>
      </x:c>
      <x:c r="I288" s="163" t="n">
        <x:v>26</x:v>
      </x:c>
      <x:c r="J288" s="163" t="n">
        <x:v>14</x:v>
      </x:c>
      <x:c r="K288" s="163" t="n">
        <x:v>4</x:v>
      </x:c>
      <x:c r="L288" s="164" t="n">
        <x:v>1277</x:v>
      </x:c>
      <x:c r="M288" s="164" t="n">
        <x:v>567302</x:v>
      </x:c>
      <x:c r="N288" s="164" t="n">
        <x:v>192960</x:v>
      </x:c>
      <x:c r="O288" s="165" t="n">
        <x:f>IFERROR(F288/E288,0)</x:f>
        <x:v>0.05966903073286052</x:v>
      </x:c>
      <x:c r="P288" s="166" t="n">
        <x:f>IFERROR(L288/F288,0)</x:f>
        <x:v>2.023771790808241</x:v>
      </x:c>
      <x:c r="Q288" s="165" t="n">
        <x:f>IFERROR(G288/F288,0)</x:f>
        <x:v>0.10142630744849446</x:v>
      </x:c>
      <x:c r="R288" s="164" t="n">
        <x:f>IFERROR(L288/G288,0)</x:f>
        <x:v>19.953125</x:v>
      </x:c>
      <x:c r="S288" s="167" t="n">
        <x:f>IFERROR(N288/L288,0)</x:f>
        <x:v>151.10415035238842</x:v>
      </x:c>
      <x:c r="T288" s="165" t="n">
        <x:f>IFERROR(K288/J288,0)</x:f>
        <x:v>0.2857142857142857</x:v>
      </x:c>
    </x:row>
    <x:row r="289">
      <x:c r="A289" s="161" t="n">
        <x:v>46113</x:v>
      </x:c>
      <x:c r="B289" s="162" t="str">
        <x:v>Email</x:v>
      </x:c>
      <x:c r="C289" s="162" t="str">
        <x:v>West</x:v>
      </x:c>
      <x:c r="D289" s="162" t="str">
        <x:v>Case Packers</x:v>
      </x:c>
      <x:c r="E289" s="163" t="n">
        <x:v>10350</x:v>
      </x:c>
      <x:c r="F289" s="163" t="n">
        <x:v>593</x:v>
      </x:c>
      <x:c r="G289" s="163" t="n">
        <x:v>62</x:v>
      </x:c>
      <x:c r="H289" s="163" t="n">
        <x:v>42</x:v>
      </x:c>
      <x:c r="I289" s="163" t="n">
        <x:v>26</x:v>
      </x:c>
      <x:c r="J289" s="163" t="n">
        <x:v>15</x:v>
      </x:c>
      <x:c r="K289" s="163" t="n">
        <x:v>5</x:v>
      </x:c>
      <x:c r="L289" s="164" t="n">
        <x:v>1200</x:v>
      </x:c>
      <x:c r="M289" s="164" t="n">
        <x:v>1418256</x:v>
      </x:c>
      <x:c r="N289" s="164" t="n">
        <x:v>562800</x:v>
      </x:c>
      <x:c r="O289" s="165" t="n">
        <x:f>IFERROR(F289/E289,0)</x:f>
        <x:v>0.057294685990338164</x:v>
      </x:c>
      <x:c r="P289" s="166" t="n">
        <x:f>IFERROR(L289/F289,0)</x:f>
        <x:v>2.0236087689713322</x:v>
      </x:c>
      <x:c r="Q289" s="165" t="n">
        <x:f>IFERROR(G289/F289,0)</x:f>
        <x:v>0.1045531197301855</x:v>
      </x:c>
      <x:c r="R289" s="164" t="n">
        <x:f>IFERROR(L289/G289,0)</x:f>
        <x:v>19.35483870967742</x:v>
      </x:c>
      <x:c r="S289" s="167" t="n">
        <x:f>IFERROR(N289/L289,0)</x:f>
        <x:v>469</x:v>
      </x:c>
      <x:c r="T289" s="165" t="n">
        <x:f>IFERROR(K289/J289,0)</x:f>
        <x:v>0.3333333333333333</x:v>
      </x:c>
    </x:row>
    <x:row r="290">
      <x:c r="A290" s="161" t="n">
        <x:v>46113</x:v>
      </x:c>
      <x:c r="B290" s="162" t="str">
        <x:v>Trade Media</x:v>
      </x:c>
      <x:c r="C290" s="162" t="str">
        <x:v>Northeast</x:v>
      </x:c>
      <x:c r="D290" s="162" t="str">
        <x:v>Pouch Fillers</x:v>
      </x:c>
      <x:c r="E290" s="163" t="n">
        <x:v>11330</x:v>
      </x:c>
      <x:c r="F290" s="163" t="n">
        <x:v>237</x:v>
      </x:c>
      <x:c r="G290" s="163" t="n">
        <x:v>15</x:v>
      </x:c>
      <x:c r="H290" s="163" t="n">
        <x:v>9</x:v>
      </x:c>
      <x:c r="I290" s="163" t="n">
        <x:v>5</x:v>
      </x:c>
      <x:c r="J290" s="163" t="n">
        <x:v>2</x:v>
      </x:c>
      <x:c r="K290" s="163" t="n">
        <x:v>1</x:v>
      </x:c>
      <x:c r="L290" s="164" t="n">
        <x:v>1789</x:v>
      </x:c>
      <x:c r="M290" s="164" t="n">
        <x:v>128117</x:v>
      </x:c>
      <x:c r="N290" s="164" t="n">
        <x:v>76260</x:v>
      </x:c>
      <x:c r="O290" s="165" t="n">
        <x:f>IFERROR(F290/E290,0)</x:f>
        <x:v>0.02091791703442189</x:v>
      </x:c>
      <x:c r="P290" s="166" t="n">
        <x:f>IFERROR(L290/F290,0)</x:f>
        <x:v>7.548523206751055</x:v>
      </x:c>
      <x:c r="Q290" s="165" t="n">
        <x:f>IFERROR(G290/F290,0)</x:f>
        <x:v>0.06329113924050633</x:v>
      </x:c>
      <x:c r="R290" s="164" t="n">
        <x:f>IFERROR(L290/G290,0)</x:f>
        <x:v>119.26666666666667</x:v>
      </x:c>
      <x:c r="S290" s="167" t="n">
        <x:f>IFERROR(N290/L290,0)</x:f>
        <x:v>42.62716601453326</x:v>
      </x:c>
      <x:c r="T290" s="165" t="n">
        <x:f>IFERROR(K290/J290,0)</x:f>
        <x:v>0.5</x:v>
      </x:c>
    </x:row>
    <x:row r="291">
      <x:c r="A291" s="161" t="n">
        <x:v>46113</x:v>
      </x:c>
      <x:c r="B291" s="162" t="str">
        <x:v>Trade Media</x:v>
      </x:c>
      <x:c r="C291" s="162" t="str">
        <x:v>Northeast</x:v>
      </x:c>
      <x:c r="D291" s="162" t="str">
        <x:v>Cartoning Machines</x:v>
      </x:c>
      <x:c r="E291" s="163" t="n">
        <x:v>11055</x:v>
      </x:c>
      <x:c r="F291" s="163" t="n">
        <x:v>205</x:v>
      </x:c>
      <x:c r="G291" s="163" t="n">
        <x:v>14</x:v>
      </x:c>
      <x:c r="H291" s="163" t="n">
        <x:v>9</x:v>
      </x:c>
      <x:c r="I291" s="163" t="n">
        <x:v>5</x:v>
      </x:c>
      <x:c r="J291" s="163" t="n">
        <x:v>3</x:v>
      </x:c>
      <x:c r="K291" s="163" t="n">
        <x:v>1</x:v>
      </x:c>
      <x:c r="L291" s="164" t="n">
        <x:v>1547</x:v>
      </x:c>
      <x:c r="M291" s="164" t="n">
        <x:v>323417</x:v>
      </x:c>
      <x:c r="N291" s="164" t="n">
        <x:v>128340</x:v>
      </x:c>
      <x:c r="O291" s="165" t="n">
        <x:f>IFERROR(F291/E291,0)</x:f>
        <x:v>0.01854364540931705</x:v>
      </x:c>
      <x:c r="P291" s="166" t="n">
        <x:f>IFERROR(L291/F291,0)</x:f>
        <x:v>7.546341463414634</x:v>
      </x:c>
      <x:c r="Q291" s="165" t="n">
        <x:f>IFERROR(G291/F291,0)</x:f>
        <x:v>0.06829268292682927</x:v>
      </x:c>
      <x:c r="R291" s="164" t="n">
        <x:f>IFERROR(L291/G291,0)</x:f>
        <x:v>110.5</x:v>
      </x:c>
      <x:c r="S291" s="167" t="n">
        <x:f>IFERROR(N291/L291,0)</x:f>
        <x:v>82.96056884292179</x:v>
      </x:c>
      <x:c r="T291" s="165" t="n">
        <x:f>IFERROR(K291/J291,0)</x:f>
        <x:v>0.3333333333333333</x:v>
      </x:c>
    </x:row>
    <x:row r="292">
      <x:c r="A292" s="161" t="n">
        <x:v>46113</x:v>
      </x:c>
      <x:c r="B292" s="162" t="str">
        <x:v>Trade Media</x:v>
      </x:c>
      <x:c r="C292" s="162" t="str">
        <x:v>Northeast</x:v>
      </x:c>
      <x:c r="D292" s="162" t="str">
        <x:v>Labeling Systems</x:v>
      </x:c>
      <x:c r="E292" s="163" t="n">
        <x:v>11990</x:v>
      </x:c>
      <x:c r="F292" s="163" t="n">
        <x:v>241</x:v>
      </x:c>
      <x:c r="G292" s="163" t="n">
        <x:v>15</x:v>
      </x:c>
      <x:c r="H292" s="163" t="n">
        <x:v>10</x:v>
      </x:c>
      <x:c r="I292" s="163" t="n">
        <x:v>6</x:v>
      </x:c>
      <x:c r="J292" s="163" t="n">
        <x:v>3</x:v>
      </x:c>
      <x:c r="K292" s="163" t="n">
        <x:v>1</x:v>
      </x:c>
      <x:c r="L292" s="164" t="n">
        <x:v>1819</x:v>
      </x:c>
      <x:c r="M292" s="164" t="n">
        <x:v>112493</x:v>
      </x:c>
      <x:c r="N292" s="164" t="n">
        <x:v>44640</x:v>
      </x:c>
      <x:c r="O292" s="165" t="n">
        <x:f>IFERROR(F292/E292,0)</x:f>
        <x:v>0.020100083402835697</x:v>
      </x:c>
      <x:c r="P292" s="166" t="n">
        <x:f>IFERROR(L292/F292,0)</x:f>
        <x:v>7.547717842323651</x:v>
      </x:c>
      <x:c r="Q292" s="165" t="n">
        <x:f>IFERROR(G292/F292,0)</x:f>
        <x:v>0.06224066390041494</x:v>
      </x:c>
      <x:c r="R292" s="164" t="n">
        <x:f>IFERROR(L292/G292,0)</x:f>
        <x:v>121.26666666666667</x:v>
      </x:c>
      <x:c r="S292" s="167" t="n">
        <x:f>IFERROR(N292/L292,0)</x:f>
        <x:v>24.540956569543706</x:v>
      </x:c>
      <x:c r="T292" s="165" t="n">
        <x:f>IFERROR(K292/J292,0)</x:f>
        <x:v>0.3333333333333333</x:v>
      </x:c>
    </x:row>
    <x:row r="293">
      <x:c r="A293" s="161" t="n">
        <x:v>46113</x:v>
      </x:c>
      <x:c r="B293" s="162" t="str">
        <x:v>Trade Media</x:v>
      </x:c>
      <x:c r="C293" s="162" t="str">
        <x:v>Northeast</x:v>
      </x:c>
      <x:c r="D293" s="162" t="str">
        <x:v>Case Packers</x:v>
      </x:c>
      <x:c r="E293" s="163" t="n">
        <x:v>11715</x:v>
      </x:c>
      <x:c r="F293" s="163" t="n">
        <x:v>254</x:v>
      </x:c>
      <x:c r="G293" s="163" t="n">
        <x:v>17</x:v>
      </x:c>
      <x:c r="H293" s="163" t="n">
        <x:v>12</x:v>
      </x:c>
      <x:c r="I293" s="163" t="n">
        <x:v>7</x:v>
      </x:c>
      <x:c r="J293" s="163" t="n">
        <x:v>4</x:v>
      </x:c>
      <x:c r="K293" s="163" t="n">
        <x:v>1</x:v>
      </x:c>
      <x:c r="L293" s="164" t="n">
        <x:v>1917</x:v>
      </x:c>
      <x:c r="M293" s="164" t="n">
        <x:v>349978</x:v>
      </x:c>
      <x:c r="N293" s="164" t="n">
        <x:v>104160</x:v>
      </x:c>
      <x:c r="O293" s="165" t="n">
        <x:f>IFERROR(F293/E293,0)</x:f>
        <x:v>0.021681604780196328</x:v>
      </x:c>
      <x:c r="P293" s="166" t="n">
        <x:f>IFERROR(L293/F293,0)</x:f>
        <x:v>7.547244094488189</x:v>
      </x:c>
      <x:c r="Q293" s="165" t="n">
        <x:f>IFERROR(G293/F293,0)</x:f>
        <x:v>0.06692913385826772</x:v>
      </x:c>
      <x:c r="R293" s="164" t="n">
        <x:f>IFERROR(L293/G293,0)</x:f>
        <x:v>112.76470588235294</x:v>
      </x:c>
      <x:c r="S293" s="167" t="n">
        <x:f>IFERROR(N293/L293,0)</x:f>
        <x:v>54.33489827856025</x:v>
      </x:c>
      <x:c r="T293" s="165" t="n">
        <x:f>IFERROR(K293/J293,0)</x:f>
        <x:v>0.25</x:v>
      </x:c>
    </x:row>
    <x:row r="294">
      <x:c r="A294" s="161" t="n">
        <x:v>46113</x:v>
      </x:c>
      <x:c r="B294" s="162" t="str">
        <x:v>Trade Media</x:v>
      </x:c>
      <x:c r="C294" s="162" t="str">
        <x:v>Midwest</x:v>
      </x:c>
      <x:c r="D294" s="162" t="str">
        <x:v>Pouch Fillers</x:v>
      </x:c>
      <x:c r="E294" s="163" t="n">
        <x:v>11935</x:v>
      </x:c>
      <x:c r="F294" s="163" t="n">
        <x:v>230</x:v>
      </x:c>
      <x:c r="G294" s="163" t="n">
        <x:v>15</x:v>
      </x:c>
      <x:c r="H294" s="163" t="n">
        <x:v>9</x:v>
      </x:c>
      <x:c r="I294" s="163" t="n">
        <x:v>5</x:v>
      </x:c>
      <x:c r="J294" s="163" t="n">
        <x:v>2</x:v>
      </x:c>
      <x:c r="K294" s="163" t="n">
        <x:v>1</x:v>
      </x:c>
      <x:c r="L294" s="164" t="n">
        <x:v>1762</x:v>
      </x:c>
      <x:c r="M294" s="164" t="n">
        <x:v>131561</x:v>
      </x:c>
      <x:c r="N294" s="164" t="n">
        <x:v>78310</x:v>
      </x:c>
      <x:c r="O294" s="165" t="n">
        <x:f>IFERROR(F294/E294,0)</x:f>
        <x:v>0.019271051529116047</x:v>
      </x:c>
      <x:c r="P294" s="166" t="n">
        <x:f>IFERROR(L294/F294,0)</x:f>
        <x:v>7.660869565217391</x:v>
      </x:c>
      <x:c r="Q294" s="165" t="n">
        <x:f>IFERROR(G294/F294,0)</x:f>
        <x:v>0.06521739130434782</x:v>
      </x:c>
      <x:c r="R294" s="164" t="n">
        <x:f>IFERROR(L294/G294,0)</x:f>
        <x:v>117.46666666666667</x:v>
      </x:c>
      <x:c r="S294" s="167" t="n">
        <x:f>IFERROR(N294/L294,0)</x:f>
        <x:v>44.44381384790012</x:v>
      </x:c>
      <x:c r="T294" s="165" t="n">
        <x:f>IFERROR(K294/J294,0)</x:f>
        <x:v>0.5</x:v>
      </x:c>
    </x:row>
    <x:row r="295">
      <x:c r="A295" s="161" t="n">
        <x:v>46113</x:v>
      </x:c>
      <x:c r="B295" s="162" t="str">
        <x:v>Trade Media</x:v>
      </x:c>
      <x:c r="C295" s="162" t="str">
        <x:v>Midwest</x:v>
      </x:c>
      <x:c r="D295" s="162" t="str">
        <x:v>Cartoning Machines</x:v>
      </x:c>
      <x:c r="E295" s="163" t="n">
        <x:v>11660</x:v>
      </x:c>
      <x:c r="F295" s="163" t="n">
        <x:v>244</x:v>
      </x:c>
      <x:c r="G295" s="163" t="n">
        <x:v>16</x:v>
      </x:c>
      <x:c r="H295" s="163" t="n">
        <x:v>10</x:v>
      </x:c>
      <x:c r="I295" s="163" t="n">
        <x:v>6</x:v>
      </x:c>
      <x:c r="J295" s="163" t="n">
        <x:v>3</x:v>
      </x:c>
      <x:c r="K295" s="163" t="n">
        <x:v>1</x:v>
      </x:c>
      <x:c r="L295" s="164" t="n">
        <x:v>1869</x:v>
      </x:c>
      <x:c r="M295" s="164" t="n">
        <x:v>332111</x:v>
      </x:c>
      <x:c r="N295" s="164" t="n">
        <x:v>131790</x:v>
      </x:c>
      <x:c r="O295" s="165" t="n">
        <x:f>IFERROR(F295/E295,0)</x:f>
        <x:v>0.020926243567753</x:v>
      </x:c>
      <x:c r="P295" s="166" t="n">
        <x:f>IFERROR(L295/F295,0)</x:f>
        <x:v>7.659836065573771</x:v>
      </x:c>
      <x:c r="Q295" s="165" t="n">
        <x:f>IFERROR(G295/F295,0)</x:f>
        <x:v>0.06557377049180328</x:v>
      </x:c>
      <x:c r="R295" s="164" t="n">
        <x:f>IFERROR(L295/G295,0)</x:f>
        <x:v>116.8125</x:v>
      </x:c>
      <x:c r="S295" s="167" t="n">
        <x:f>IFERROR(N295/L295,0)</x:f>
        <x:v>70.51364365971108</x:v>
      </x:c>
      <x:c r="T295" s="165" t="n">
        <x:f>IFERROR(K295/J295,0)</x:f>
        <x:v>0.3333333333333333</x:v>
      </x:c>
    </x:row>
    <x:row r="296">
      <x:c r="A296" s="161" t="n">
        <x:v>46113</x:v>
      </x:c>
      <x:c r="B296" s="162" t="str">
        <x:v>Trade Media</x:v>
      </x:c>
      <x:c r="C296" s="162" t="str">
        <x:v>Midwest</x:v>
      </x:c>
      <x:c r="D296" s="162" t="str">
        <x:v>Labeling Systems</x:v>
      </x:c>
      <x:c r="E296" s="163" t="n">
        <x:v>12595</x:v>
      </x:c>
      <x:c r="F296" s="163" t="n">
        <x:v>233</x:v>
      </x:c>
      <x:c r="G296" s="163" t="n">
        <x:v>15</x:v>
      </x:c>
      <x:c r="H296" s="163" t="n">
        <x:v>10</x:v>
      </x:c>
      <x:c r="I296" s="163" t="n">
        <x:v>6</x:v>
      </x:c>
      <x:c r="J296" s="163" t="n">
        <x:v>3</x:v>
      </x:c>
      <x:c r="K296" s="163" t="n">
        <x:v>1</x:v>
      </x:c>
      <x:c r="L296" s="164" t="n">
        <x:v>1785</x:v>
      </x:c>
      <x:c r="M296" s="164" t="n">
        <x:v>115517</x:v>
      </x:c>
      <x:c r="N296" s="164" t="n">
        <x:v>45840</x:v>
      </x:c>
      <x:c r="O296" s="165" t="n">
        <x:f>IFERROR(F296/E296,0)</x:f>
        <x:v>0.0184994045256054</x:v>
      </x:c>
      <x:c r="P296" s="166" t="n">
        <x:f>IFERROR(L296/F296,0)</x:f>
        <x:v>7.660944206008583</x:v>
      </x:c>
      <x:c r="Q296" s="165" t="n">
        <x:f>IFERROR(G296/F296,0)</x:f>
        <x:v>0.06437768240343347</x:v>
      </x:c>
      <x:c r="R296" s="164" t="n">
        <x:f>IFERROR(L296/G296,0)</x:f>
        <x:v>119</x:v>
      </x:c>
      <x:c r="S296" s="167" t="n">
        <x:f>IFERROR(N296/L296,0)</x:f>
        <x:v>25.680672268907564</x:v>
      </x:c>
      <x:c r="T296" s="165" t="n">
        <x:f>IFERROR(K296/J296,0)</x:f>
        <x:v>0.3333333333333333</x:v>
      </x:c>
    </x:row>
    <x:row r="297">
      <x:c r="A297" s="161" t="n">
        <x:v>46113</x:v>
      </x:c>
      <x:c r="B297" s="162" t="str">
        <x:v>Trade Media</x:v>
      </x:c>
      <x:c r="C297" s="162" t="str">
        <x:v>Midwest</x:v>
      </x:c>
      <x:c r="D297" s="162" t="str">
        <x:v>Case Packers</x:v>
      </x:c>
      <x:c r="E297" s="163" t="n">
        <x:v>12320</x:v>
      </x:c>
      <x:c r="F297" s="163" t="n">
        <x:v>248</x:v>
      </x:c>
      <x:c r="G297" s="163" t="n">
        <x:v>16</x:v>
      </x:c>
      <x:c r="H297" s="163" t="n">
        <x:v>11</x:v>
      </x:c>
      <x:c r="I297" s="163" t="n">
        <x:v>6</x:v>
      </x:c>
      <x:c r="J297" s="163" t="n">
        <x:v>3</x:v>
      </x:c>
      <x:c r="K297" s="163" t="n">
        <x:v>1</x:v>
      </x:c>
      <x:c r="L297" s="164" t="n">
        <x:v>1899</x:v>
      </x:c>
      <x:c r="M297" s="164" t="n">
        <x:v>269539</x:v>
      </x:c>
      <x:c r="N297" s="164" t="n">
        <x:v>106960</x:v>
      </x:c>
      <x:c r="O297" s="165" t="n">
        <x:f>IFERROR(F297/E297,0)</x:f>
        <x:v>0.02012987012987013</x:v>
      </x:c>
      <x:c r="P297" s="166" t="n">
        <x:f>IFERROR(L297/F297,0)</x:f>
        <x:v>7.657258064516129</x:v>
      </x:c>
      <x:c r="Q297" s="165" t="n">
        <x:f>IFERROR(G297/F297,0)</x:f>
        <x:v>0.06451612903225806</x:v>
      </x:c>
      <x:c r="R297" s="164" t="n">
        <x:f>IFERROR(L297/G297,0)</x:f>
        <x:v>118.6875</x:v>
      </x:c>
      <x:c r="S297" s="167" t="n">
        <x:f>IFERROR(N297/L297,0)</x:f>
        <x:v>56.32438125329121</x:v>
      </x:c>
      <x:c r="T297" s="165" t="n">
        <x:f>IFERROR(K297/J297,0)</x:f>
        <x:v>0.3333333333333333</x:v>
      </x:c>
    </x:row>
    <x:row r="298">
      <x:c r="A298" s="161" t="n">
        <x:v>46113</x:v>
      </x:c>
      <x:c r="B298" s="162" t="str">
        <x:v>Trade Media</x:v>
      </x:c>
      <x:c r="C298" s="162" t="str">
        <x:v>South</x:v>
      </x:c>
      <x:c r="D298" s="162" t="str">
        <x:v>Pouch Fillers</x:v>
      </x:c>
      <x:c r="E298" s="163" t="n">
        <x:v>11330</x:v>
      </x:c>
      <x:c r="F298" s="163" t="n">
        <x:v>246</x:v>
      </x:c>
      <x:c r="G298" s="163" t="n">
        <x:v>16</x:v>
      </x:c>
      <x:c r="H298" s="163" t="n">
        <x:v>10</x:v>
      </x:c>
      <x:c r="I298" s="163" t="n">
        <x:v>6</x:v>
      </x:c>
      <x:c r="J298" s="163" t="n">
        <x:v>3</x:v>
      </x:c>
      <x:c r="K298" s="163" t="n">
        <x:v>1</x:v>
      </x:c>
      <x:c r="L298" s="164" t="n">
        <x:v>1911</x:v>
      </x:c>
      <x:c r="M298" s="164" t="n">
        <x:v>202507</x:v>
      </x:c>
      <x:c r="N298" s="164" t="n">
        <x:v>80360</x:v>
      </x:c>
      <x:c r="O298" s="165" t="n">
        <x:f>IFERROR(F298/E298,0)</x:f>
        <x:v>0.02171226831421006</x:v>
      </x:c>
      <x:c r="P298" s="166" t="n">
        <x:f>IFERROR(L298/F298,0)</x:f>
        <x:v>7.7682926829268295</x:v>
      </x:c>
      <x:c r="Q298" s="165" t="n">
        <x:f>IFERROR(G298/F298,0)</x:f>
        <x:v>0.06504065040650407</x:v>
      </x:c>
      <x:c r="R298" s="164" t="n">
        <x:f>IFERROR(L298/G298,0)</x:f>
        <x:v>119.4375</x:v>
      </x:c>
      <x:c r="S298" s="167" t="n">
        <x:f>IFERROR(N298/L298,0)</x:f>
        <x:v>42.05128205128205</x:v>
      </x:c>
      <x:c r="T298" s="165" t="n">
        <x:f>IFERROR(K298/J298,0)</x:f>
        <x:v>0.3333333333333333</x:v>
      </x:c>
    </x:row>
    <x:row r="299">
      <x:c r="A299" s="161" t="n">
        <x:v>46113</x:v>
      </x:c>
      <x:c r="B299" s="162" t="str">
        <x:v>Trade Media</x:v>
      </x:c>
      <x:c r="C299" s="162" t="str">
        <x:v>South</x:v>
      </x:c>
      <x:c r="D299" s="162" t="str">
        <x:v>Cartoning Machines</x:v>
      </x:c>
      <x:c r="E299" s="163" t="n">
        <x:v>12265</x:v>
      </x:c>
      <x:c r="F299" s="163" t="n">
        <x:v>237</x:v>
      </x:c>
      <x:c r="G299" s="163" t="n">
        <x:v>16</x:v>
      </x:c>
      <x:c r="H299" s="163" t="n">
        <x:v>10</x:v>
      </x:c>
      <x:c r="I299" s="163" t="n">
        <x:v>6</x:v>
      </x:c>
      <x:c r="J299" s="163" t="n">
        <x:v>3</x:v>
      </x:c>
      <x:c r="K299" s="163" t="n">
        <x:v>1</x:v>
      </x:c>
      <x:c r="L299" s="164" t="n">
        <x:v>1841</x:v>
      </x:c>
      <x:c r="M299" s="164" t="n">
        <x:v>340805</x:v>
      </x:c>
      <x:c r="N299" s="164" t="n">
        <x:v>135240</x:v>
      </x:c>
      <x:c r="O299" s="165" t="n">
        <x:f>IFERROR(F299/E299,0)</x:f>
        <x:v>0.019323277619241745</x:v>
      </x:c>
      <x:c r="P299" s="166" t="n">
        <x:f>IFERROR(L299/F299,0)</x:f>
        <x:v>7.767932489451477</x:v>
      </x:c>
      <x:c r="Q299" s="165" t="n">
        <x:f>IFERROR(G299/F299,0)</x:f>
        <x:v>0.06751054852320675</x:v>
      </x:c>
      <x:c r="R299" s="164" t="n">
        <x:f>IFERROR(L299/G299,0)</x:f>
        <x:v>115.0625</x:v>
      </x:c>
      <x:c r="S299" s="167" t="n">
        <x:f>IFERROR(N299/L299,0)</x:f>
        <x:v>73.46007604562737</x:v>
      </x:c>
      <x:c r="T299" s="165" t="n">
        <x:f>IFERROR(K299/J299,0)</x:f>
        <x:v>0.3333333333333333</x:v>
      </x:c>
    </x:row>
    <x:row r="300">
      <x:c r="A300" s="161" t="n">
        <x:v>46113</x:v>
      </x:c>
      <x:c r="B300" s="162" t="str">
        <x:v>Trade Media</x:v>
      </x:c>
      <x:c r="C300" s="162" t="str">
        <x:v>South</x:v>
      </x:c>
      <x:c r="D300" s="162" t="str">
        <x:v>Labeling Systems</x:v>
      </x:c>
      <x:c r="E300" s="163" t="n">
        <x:v>11990</x:v>
      </x:c>
      <x:c r="F300" s="163" t="n">
        <x:v>251</x:v>
      </x:c>
      <x:c r="G300" s="163" t="n">
        <x:v>16</x:v>
      </x:c>
      <x:c r="H300" s="163" t="n">
        <x:v>11</x:v>
      </x:c>
      <x:c r="I300" s="163" t="n">
        <x:v>6</x:v>
      </x:c>
      <x:c r="J300" s="163" t="n">
        <x:v>3</x:v>
      </x:c>
      <x:c r="K300" s="163" t="n">
        <x:v>1</x:v>
      </x:c>
      <x:c r="L300" s="164" t="n">
        <x:v>1950</x:v>
      </x:c>
      <x:c r="M300" s="164" t="n">
        <x:v>118541</x:v>
      </x:c>
      <x:c r="N300" s="164" t="n">
        <x:v>47040</x:v>
      </x:c>
      <x:c r="O300" s="165" t="n">
        <x:f>IFERROR(F300/E300,0)</x:f>
        <x:v>0.020934111759799832</x:v>
      </x:c>
      <x:c r="P300" s="166" t="n">
        <x:f>IFERROR(L300/F300,0)</x:f>
        <x:v>7.768924302788845</x:v>
      </x:c>
      <x:c r="Q300" s="165" t="n">
        <x:f>IFERROR(G300/F300,0)</x:f>
        <x:v>0.06374501992031872</x:v>
      </x:c>
      <x:c r="R300" s="164" t="n">
        <x:f>IFERROR(L300/G300,0)</x:f>
        <x:v>121.875</x:v>
      </x:c>
      <x:c r="S300" s="167" t="n">
        <x:f>IFERROR(N300/L300,0)</x:f>
        <x:v>24.123076923076923</x:v>
      </x:c>
      <x:c r="T300" s="165" t="n">
        <x:f>IFERROR(K300/J300,0)</x:f>
        <x:v>0.3333333333333333</x:v>
      </x:c>
    </x:row>
    <x:row r="301">
      <x:c r="A301" s="161" t="n">
        <x:v>46113</x:v>
      </x:c>
      <x:c r="B301" s="162" t="str">
        <x:v>Trade Media</x:v>
      </x:c>
      <x:c r="C301" s="162" t="str">
        <x:v>South</x:v>
      </x:c>
      <x:c r="D301" s="162" t="str">
        <x:v>Case Packers</x:v>
      </x:c>
      <x:c r="E301" s="163" t="n">
        <x:v>12925</x:v>
      </x:c>
      <x:c r="F301" s="163" t="n">
        <x:v>239</x:v>
      </x:c>
      <x:c r="G301" s="163" t="n">
        <x:v>16</x:v>
      </x:c>
      <x:c r="H301" s="163" t="n">
        <x:v>11</x:v>
      </x:c>
      <x:c r="I301" s="163" t="n">
        <x:v>6</x:v>
      </x:c>
      <x:c r="J301" s="163" t="n">
        <x:v>3</x:v>
      </x:c>
      <x:c r="K301" s="163" t="n">
        <x:v>1</x:v>
      </x:c>
      <x:c r="L301" s="164" t="n">
        <x:v>1857</x:v>
      </x:c>
      <x:c r="M301" s="164" t="n">
        <x:v>276595</x:v>
      </x:c>
      <x:c r="N301" s="164" t="n">
        <x:v>109760</x:v>
      </x:c>
      <x:c r="O301" s="165" t="n">
        <x:f>IFERROR(F301/E301,0)</x:f>
        <x:v>0.01849129593810445</x:v>
      </x:c>
      <x:c r="P301" s="166" t="n">
        <x:f>IFERROR(L301/F301,0)</x:f>
        <x:v>7.7698744769874475</x:v>
      </x:c>
      <x:c r="Q301" s="165" t="n">
        <x:f>IFERROR(G301/F301,0)</x:f>
        <x:v>0.06694560669456066</x:v>
      </x:c>
      <x:c r="R301" s="164" t="n">
        <x:f>IFERROR(L301/G301,0)</x:f>
        <x:v>116.0625</x:v>
      </x:c>
      <x:c r="S301" s="167" t="n">
        <x:f>IFERROR(N301/L301,0)</x:f>
        <x:v>59.10608508346796</x:v>
      </x:c>
      <x:c r="T301" s="165" t="n">
        <x:f>IFERROR(K301/J301,0)</x:f>
        <x:v>0.3333333333333333</x:v>
      </x:c>
    </x:row>
    <x:row r="302">
      <x:c r="A302" s="161" t="n">
        <x:v>46113</x:v>
      </x:c>
      <x:c r="B302" s="162" t="str">
        <x:v>Trade Media</x:v>
      </x:c>
      <x:c r="C302" s="162" t="str">
        <x:v>West</x:v>
      </x:c>
      <x:c r="D302" s="162" t="str">
        <x:v>Pouch Fillers</x:v>
      </x:c>
      <x:c r="E302" s="163" t="n">
        <x:v>11935</x:v>
      </x:c>
      <x:c r="F302" s="163" t="n">
        <x:v>240</x:v>
      </x:c>
      <x:c r="G302" s="163" t="n">
        <x:v>15</x:v>
      </x:c>
      <x:c r="H302" s="163" t="n">
        <x:v>9</x:v>
      </x:c>
      <x:c r="I302" s="163" t="n">
        <x:v>5</x:v>
      </x:c>
      <x:c r="J302" s="163" t="n">
        <x:v>2</x:v>
      </x:c>
      <x:c r="K302" s="163" t="n">
        <x:v>1</x:v>
      </x:c>
      <x:c r="L302" s="164" t="n">
        <x:v>1891</x:v>
      </x:c>
      <x:c r="M302" s="164" t="n">
        <x:v>138449</x:v>
      </x:c>
      <x:c r="N302" s="164" t="n">
        <x:v>82410</x:v>
      </x:c>
      <x:c r="O302" s="165" t="n">
        <x:f>IFERROR(F302/E302,0)</x:f>
        <x:v>0.020108923334729786</x:v>
      </x:c>
      <x:c r="P302" s="166" t="n">
        <x:f>IFERROR(L302/F302,0)</x:f>
        <x:v>7.879166666666666</x:v>
      </x:c>
      <x:c r="Q302" s="165" t="n">
        <x:f>IFERROR(G302/F302,0)</x:f>
        <x:v>0.0625</x:v>
      </x:c>
      <x:c r="R302" s="164" t="n">
        <x:f>IFERROR(L302/G302,0)</x:f>
        <x:v>126.06666666666666</x:v>
      </x:c>
      <x:c r="S302" s="167" t="n">
        <x:f>IFERROR(N302/L302,0)</x:f>
        <x:v>43.58011634056055</x:v>
      </x:c>
      <x:c r="T302" s="165" t="n">
        <x:f>IFERROR(K302/J302,0)</x:f>
        <x:v>0.5</x:v>
      </x:c>
    </x:row>
    <x:row r="303">
      <x:c r="A303" s="161" t="n">
        <x:v>46113</x:v>
      </x:c>
      <x:c r="B303" s="162" t="str">
        <x:v>Trade Media</x:v>
      </x:c>
      <x:c r="C303" s="162" t="str">
        <x:v>West</x:v>
      </x:c>
      <x:c r="D303" s="162" t="str">
        <x:v>Cartoning Machines</x:v>
      </x:c>
      <x:c r="E303" s="163" t="n">
        <x:v>12870</x:v>
      </x:c>
      <x:c r="F303" s="163" t="n">
        <x:v>279</x:v>
      </x:c>
      <x:c r="G303" s="163" t="n">
        <x:v>18</x:v>
      </x:c>
      <x:c r="H303" s="163" t="n">
        <x:v>11</x:v>
      </x:c>
      <x:c r="I303" s="163" t="n">
        <x:v>7</x:v>
      </x:c>
      <x:c r="J303" s="163" t="n">
        <x:v>4</x:v>
      </x:c>
      <x:c r="K303" s="163" t="n">
        <x:v>1</x:v>
      </x:c>
      <x:c r="L303" s="164" t="n">
        <x:v>2199</x:v>
      </x:c>
      <x:c r="M303" s="164" t="n">
        <x:v>465998</x:v>
      </x:c>
      <x:c r="N303" s="164" t="n">
        <x:v>138690</x:v>
      </x:c>
      <x:c r="O303" s="165" t="n">
        <x:f>IFERROR(F303/E303,0)</x:f>
        <x:v>0.021678321678321677</x:v>
      </x:c>
      <x:c r="P303" s="166" t="n">
        <x:f>IFERROR(L303/F303,0)</x:f>
        <x:v>7.881720430107527</x:v>
      </x:c>
      <x:c r="Q303" s="165" t="n">
        <x:f>IFERROR(G303/F303,0)</x:f>
        <x:v>0.06451612903225806</x:v>
      </x:c>
      <x:c r="R303" s="164" t="n">
        <x:f>IFERROR(L303/G303,0)</x:f>
        <x:v>122.16666666666667</x:v>
      </x:c>
      <x:c r="S303" s="167" t="n">
        <x:f>IFERROR(N303/L303,0)</x:f>
        <x:v>63.06957708049113</x:v>
      </x:c>
      <x:c r="T303" s="165" t="n">
        <x:f>IFERROR(K303/J303,0)</x:f>
        <x:v>0.25</x:v>
      </x:c>
    </x:row>
    <x:row r="304">
      <x:c r="A304" s="161" t="n">
        <x:v>46113</x:v>
      </x:c>
      <x:c r="B304" s="162" t="str">
        <x:v>Trade Media</x:v>
      </x:c>
      <x:c r="C304" s="162" t="str">
        <x:v>West</x:v>
      </x:c>
      <x:c r="D304" s="162" t="str">
        <x:v>Labeling Systems</x:v>
      </x:c>
      <x:c r="E304" s="163" t="n">
        <x:v>12595</x:v>
      </x:c>
      <x:c r="F304" s="163" t="n">
        <x:v>243</x:v>
      </x:c>
      <x:c r="G304" s="163" t="n">
        <x:v>16</x:v>
      </x:c>
      <x:c r="H304" s="163" t="n">
        <x:v>11</x:v>
      </x:c>
      <x:c r="I304" s="163" t="n">
        <x:v>7</x:v>
      </x:c>
      <x:c r="J304" s="163" t="n">
        <x:v>4</x:v>
      </x:c>
      <x:c r="K304" s="163" t="n">
        <x:v>1</x:v>
      </x:c>
      <x:c r="L304" s="164" t="n">
        <x:v>1915</x:v>
      </x:c>
      <x:c r="M304" s="164" t="n">
        <x:v>162086</x:v>
      </x:c>
      <x:c r="N304" s="164" t="n">
        <x:v>48240</x:v>
      </x:c>
      <x:c r="O304" s="165" t="n">
        <x:f>IFERROR(F304/E304,0)</x:f>
        <x:v>0.019293370385073443</x:v>
      </x:c>
      <x:c r="P304" s="166" t="n">
        <x:f>IFERROR(L304/F304,0)</x:f>
        <x:v>7.8806584362139915</x:v>
      </x:c>
      <x:c r="Q304" s="165" t="n">
        <x:f>IFERROR(G304/F304,0)</x:f>
        <x:v>0.06584362139917696</x:v>
      </x:c>
      <x:c r="R304" s="164" t="n">
        <x:f>IFERROR(L304/G304,0)</x:f>
        <x:v>119.6875</x:v>
      </x:c>
      <x:c r="S304" s="167" t="n">
        <x:f>IFERROR(N304/L304,0)</x:f>
        <x:v>25.19060052219321</x:v>
      </x:c>
      <x:c r="T304" s="165" t="n">
        <x:f>IFERROR(K304/J304,0)</x:f>
        <x:v>0.25</x:v>
      </x:c>
    </x:row>
    <x:row r="305">
      <x:c r="A305" s="161" t="n">
        <x:v>46113</x:v>
      </x:c>
      <x:c r="B305" s="162" t="str">
        <x:v>Trade Media</x:v>
      </x:c>
      <x:c r="C305" s="162" t="str">
        <x:v>West</x:v>
      </x:c>
      <x:c r="D305" s="162" t="str">
        <x:v>Case Packers</x:v>
      </x:c>
      <x:c r="E305" s="163" t="n">
        <x:v>13530</x:v>
      </x:c>
      <x:c r="F305" s="163" t="n">
        <x:v>283</x:v>
      </x:c>
      <x:c r="G305" s="163" t="n">
        <x:v>19</x:v>
      </x:c>
      <x:c r="H305" s="163" t="n">
        <x:v>13</x:v>
      </x:c>
      <x:c r="I305" s="163" t="n">
        <x:v>8</x:v>
      </x:c>
      <x:c r="J305" s="163" t="n">
        <x:v>5</x:v>
      </x:c>
      <x:c r="K305" s="163" t="n">
        <x:v>2</x:v>
      </x:c>
      <x:c r="L305" s="164" t="n">
        <x:v>2230</x:v>
      </x:c>
      <x:c r="M305" s="164" t="n">
        <x:v>472752</x:v>
      </x:c>
      <x:c r="N305" s="164" t="n">
        <x:v>225120</x:v>
      </x:c>
      <x:c r="O305" s="165" t="n">
        <x:f>IFERROR(F305/E305,0)</x:f>
        <x:v>0.020916481892091648</x:v>
      </x:c>
      <x:c r="P305" s="166" t="n">
        <x:f>IFERROR(L305/F305,0)</x:f>
        <x:v>7.879858657243816</x:v>
      </x:c>
      <x:c r="Q305" s="165" t="n">
        <x:f>IFERROR(G305/F305,0)</x:f>
        <x:v>0.06713780918727916</x:v>
      </x:c>
      <x:c r="R305" s="164" t="n">
        <x:f>IFERROR(L305/G305,0)</x:f>
        <x:v>117.36842105263158</x:v>
      </x:c>
      <x:c r="S305" s="167" t="n">
        <x:f>IFERROR(N305/L305,0)</x:f>
        <x:v>100.95067264573991</x:v>
      </x:c>
      <x:c r="T305" s="165" t="n">
        <x:f>IFERROR(K305/J305,0)</x:f>
        <x:v>0.4</x:v>
      </x:c>
    </x:row>
    <x:row r="306">
      <x:c r="A306" s="161" t="n">
        <x:v>46113</x:v>
      </x:c>
      <x:c r="B306" s="162" t="str">
        <x:v>Retargeting</x:v>
      </x:c>
      <x:c r="C306" s="162" t="str">
        <x:v>Northeast</x:v>
      </x:c>
      <x:c r="D306" s="162" t="str">
        <x:v>Pouch Fillers</x:v>
      </x:c>
      <x:c r="E306" s="163" t="n">
        <x:v>18000</x:v>
      </x:c>
      <x:c r="F306" s="163" t="n">
        <x:v>567</x:v>
      </x:c>
      <x:c r="G306" s="163" t="n">
        <x:v>45</x:v>
      </x:c>
      <x:c r="H306" s="163" t="n">
        <x:v>27</x:v>
      </x:c>
      <x:c r="I306" s="163" t="n">
        <x:v>15</x:v>
      </x:c>
      <x:c r="J306" s="163" t="n">
        <x:v>7</x:v>
      </x:c>
      <x:c r="K306" s="163" t="n">
        <x:v>2</x:v>
      </x:c>
      <x:c r="L306" s="164" t="n">
        <x:v>2776</x:v>
      </x:c>
      <x:c r="M306" s="164" t="n">
        <x:v>448409</x:v>
      </x:c>
      <x:c r="N306" s="164" t="n">
        <x:v>152520</x:v>
      </x:c>
      <x:c r="O306" s="165" t="n">
        <x:f>IFERROR(F306/E306,0)</x:f>
        <x:v>0.0315</x:v>
      </x:c>
      <x:c r="P306" s="166" t="n">
        <x:f>IFERROR(L306/F306,0)</x:f>
        <x:v>4.8959435626102294</x:v>
      </x:c>
      <x:c r="Q306" s="165" t="n">
        <x:f>IFERROR(G306/F306,0)</x:f>
        <x:v>0.07936507936507936</x:v>
      </x:c>
      <x:c r="R306" s="164" t="n">
        <x:f>IFERROR(L306/G306,0)</x:f>
        <x:v>61.68888888888889</x:v>
      </x:c>
      <x:c r="S306" s="167" t="n">
        <x:f>IFERROR(N306/L306,0)</x:f>
        <x:v>54.94236311239193</x:v>
      </x:c>
      <x:c r="T306" s="165" t="n">
        <x:f>IFERROR(K306/J306,0)</x:f>
        <x:v>0.2857142857142857</x:v>
      </x:c>
    </x:row>
    <x:row r="307">
      <x:c r="A307" s="161" t="n">
        <x:v>46113</x:v>
      </x:c>
      <x:c r="B307" s="162" t="str">
        <x:v>Retargeting</x:v>
      </x:c>
      <x:c r="C307" s="162" t="str">
        <x:v>Northeast</x:v>
      </x:c>
      <x:c r="D307" s="162" t="str">
        <x:v>Cartoning Machines</x:v>
      </x:c>
      <x:c r="E307" s="163" t="n">
        <x:v>19530</x:v>
      </x:c>
      <x:c r="F307" s="163" t="n">
        <x:v>646</x:v>
      </x:c>
      <x:c r="G307" s="163" t="n">
        <x:v>53</x:v>
      </x:c>
      <x:c r="H307" s="163" t="n">
        <x:v>34</x:v>
      </x:c>
      <x:c r="I307" s="163" t="n">
        <x:v>19</x:v>
      </x:c>
      <x:c r="J307" s="163" t="n">
        <x:v>10</x:v>
      </x:c>
      <x:c r="K307" s="163" t="n">
        <x:v>3</x:v>
      </x:c>
      <x:c r="L307" s="164" t="n">
        <x:v>3163</x:v>
      </x:c>
      <x:c r="M307" s="164" t="n">
        <x:v>1078056</x:v>
      </x:c>
      <x:c r="N307" s="164" t="n">
        <x:v>385020</x:v>
      </x:c>
      <x:c r="O307" s="165" t="n">
        <x:f>IFERROR(F307/E307,0)</x:f>
        <x:v>0.03307731694828469</x:v>
      </x:c>
      <x:c r="P307" s="166" t="n">
        <x:f>IFERROR(L307/F307,0)</x:f>
        <x:v>4.896284829721362</x:v>
      </x:c>
      <x:c r="Q307" s="165" t="n">
        <x:f>IFERROR(G307/F307,0)</x:f>
        <x:v>0.08204334365325078</x:v>
      </x:c>
      <x:c r="R307" s="164" t="n">
        <x:f>IFERROR(L307/G307,0)</x:f>
        <x:v>59.679245283018865</x:v>
      </x:c>
      <x:c r="S307" s="167" t="n">
        <x:f>IFERROR(N307/L307,0)</x:f>
        <x:v>121.72620929497313</x:v>
      </x:c>
      <x:c r="T307" s="165" t="n">
        <x:f>IFERROR(K307/J307,0)</x:f>
        <x:v>0.3</x:v>
      </x:c>
    </x:row>
    <x:row r="308">
      <x:c r="A308" s="161" t="n">
        <x:v>46113</x:v>
      </x:c>
      <x:c r="B308" s="162" t="str">
        <x:v>Retargeting</x:v>
      </x:c>
      <x:c r="C308" s="162" t="str">
        <x:v>Northeast</x:v>
      </x:c>
      <x:c r="D308" s="162" t="str">
        <x:v>Labeling Systems</x:v>
      </x:c>
      <x:c r="E308" s="163" t="n">
        <x:v>19080</x:v>
      </x:c>
      <x:c r="F308" s="163" t="n">
        <x:v>662</x:v>
      </x:c>
      <x:c r="G308" s="163" t="n">
        <x:v>53</x:v>
      </x:c>
      <x:c r="H308" s="163" t="n">
        <x:v>35</x:v>
      </x:c>
      <x:c r="I308" s="163" t="n">
        <x:v>19</x:v>
      </x:c>
      <x:c r="J308" s="163" t="n">
        <x:v>10</x:v>
      </x:c>
      <x:c r="K308" s="163" t="n">
        <x:v>3</x:v>
      </x:c>
      <x:c r="L308" s="164" t="n">
        <x:v>3241</x:v>
      </x:c>
      <x:c r="M308" s="164" t="n">
        <x:v>374976</x:v>
      </x:c>
      <x:c r="N308" s="164" t="n">
        <x:v>133920</x:v>
      </x:c>
      <x:c r="O308" s="165" t="n">
        <x:f>IFERROR(F308/E308,0)</x:f>
        <x:v>0.034696016771488467</x:v>
      </x:c>
      <x:c r="P308" s="166" t="n">
        <x:f>IFERROR(L308/F308,0)</x:f>
        <x:v>4.895770392749244</x:v>
      </x:c>
      <x:c r="Q308" s="165" t="n">
        <x:f>IFERROR(G308/F308,0)</x:f>
        <x:v>0.08006042296072508</x:v>
      </x:c>
      <x:c r="R308" s="164" t="n">
        <x:f>IFERROR(L308/G308,0)</x:f>
        <x:v>61.15094339622642</x:v>
      </x:c>
      <x:c r="S308" s="167" t="n">
        <x:f>IFERROR(N308/L308,0)</x:f>
        <x:v>41.320580067880286</x:v>
      </x:c>
      <x:c r="T308" s="165" t="n">
        <x:f>IFERROR(K308/J308,0)</x:f>
        <x:v>0.3</x:v>
      </x:c>
    </x:row>
    <x:row r="309">
      <x:c r="A309" s="161" t="n">
        <x:v>46113</x:v>
      </x:c>
      <x:c r="B309" s="162" t="str">
        <x:v>Retargeting</x:v>
      </x:c>
      <x:c r="C309" s="162" t="str">
        <x:v>Northeast</x:v>
      </x:c>
      <x:c r="D309" s="162" t="str">
        <x:v>Case Packers</x:v>
      </x:c>
      <x:c r="E309" s="163" t="n">
        <x:v>18630</x:v>
      </x:c>
      <x:c r="F309" s="163" t="n">
        <x:v>602</x:v>
      </x:c>
      <x:c r="G309" s="163" t="n">
        <x:v>49</x:v>
      </x:c>
      <x:c r="H309" s="163" t="n">
        <x:v>34</x:v>
      </x:c>
      <x:c r="I309" s="163" t="n">
        <x:v>19</x:v>
      </x:c>
      <x:c r="J309" s="163" t="n">
        <x:v>11</x:v>
      </x:c>
      <x:c r="K309" s="163" t="n">
        <x:v>3</x:v>
      </x:c>
      <x:c r="L309" s="164" t="n">
        <x:v>2947</x:v>
      </x:c>
      <x:c r="M309" s="164" t="n">
        <x:v>962438</x:v>
      </x:c>
      <x:c r="N309" s="164" t="n">
        <x:v>312480</x:v>
      </x:c>
      <x:c r="O309" s="165" t="n">
        <x:f>IFERROR(F309/E309,0)</x:f>
        <x:v>0.03231347289318304</x:v>
      </x:c>
      <x:c r="P309" s="166" t="n">
        <x:f>IFERROR(L309/F309,0)</x:f>
        <x:v>4.895348837209302</x:v>
      </x:c>
      <x:c r="Q309" s="165" t="n">
        <x:f>IFERROR(G309/F309,0)</x:f>
        <x:v>0.08139534883720931</x:v>
      </x:c>
      <x:c r="R309" s="164" t="n">
        <x:f>IFERROR(L309/G309,0)</x:f>
        <x:v>60.142857142857146</x:v>
      </x:c>
      <x:c r="S309" s="167" t="n">
        <x:f>IFERROR(N309/L309,0)</x:f>
        <x:v>106.0332541567696</x:v>
      </x:c>
      <x:c r="T309" s="165" t="n">
        <x:f>IFERROR(K309/J309,0)</x:f>
        <x:v>0.2727272727272727</x:v>
      </x:c>
    </x:row>
    <x:row r="310">
      <x:c r="A310" s="161" t="n">
        <x:v>46113</x:v>
      </x:c>
      <x:c r="B310" s="162" t="str">
        <x:v>Retargeting</x:v>
      </x:c>
      <x:c r="C310" s="162" t="str">
        <x:v>Midwest</x:v>
      </x:c>
      <x:c r="D310" s="162" t="str">
        <x:v>Pouch Fillers</x:v>
      </x:c>
      <x:c r="E310" s="163" t="n">
        <x:v>18990</x:v>
      </x:c>
      <x:c r="F310" s="163" t="n">
        <x:v>644</x:v>
      </x:c>
      <x:c r="G310" s="163" t="n">
        <x:v>52</x:v>
      </x:c>
      <x:c r="H310" s="163" t="n">
        <x:v>32</x:v>
      </x:c>
      <x:c r="I310" s="163" t="n">
        <x:v>18</x:v>
      </x:c>
      <x:c r="J310" s="163" t="n">
        <x:v>9</x:v>
      </x:c>
      <x:c r="K310" s="163" t="n">
        <x:v>3</x:v>
      </x:c>
      <x:c r="L310" s="164" t="n">
        <x:v>3199</x:v>
      </x:c>
      <x:c r="M310" s="164" t="n">
        <x:v>592024</x:v>
      </x:c>
      <x:c r="N310" s="164" t="n">
        <x:v>234930</x:v>
      </x:c>
      <x:c r="O310" s="165" t="n">
        <x:f>IFERROR(F310/E310,0)</x:f>
        <x:v>0.03391258557135334</x:v>
      </x:c>
      <x:c r="P310" s="166" t="n">
        <x:f>IFERROR(L310/F310,0)</x:f>
        <x:v>4.967391304347826</x:v>
      </x:c>
      <x:c r="Q310" s="165" t="n">
        <x:f>IFERROR(G310/F310,0)</x:f>
        <x:v>0.08074534161490683</x:v>
      </x:c>
      <x:c r="R310" s="164" t="n">
        <x:f>IFERROR(L310/G310,0)</x:f>
        <x:v>61.51923076923077</x:v>
      </x:c>
      <x:c r="S310" s="167" t="n">
        <x:f>IFERROR(N310/L310,0)</x:f>
        <x:v>73.4385745545483</x:v>
      </x:c>
      <x:c r="T310" s="165" t="n">
        <x:f>IFERROR(K310/J310,0)</x:f>
        <x:v>0.3333333333333333</x:v>
      </x:c>
    </x:row>
    <x:row r="311">
      <x:c r="A311" s="161" t="n">
        <x:v>46113</x:v>
      </x:c>
      <x:c r="B311" s="162" t="str">
        <x:v>Retargeting</x:v>
      </x:c>
      <x:c r="C311" s="162" t="str">
        <x:v>Midwest</x:v>
      </x:c>
      <x:c r="D311" s="162" t="str">
        <x:v>Cartoning Machines</x:v>
      </x:c>
      <x:c r="E311" s="163" t="n">
        <x:v>18540</x:v>
      </x:c>
      <x:c r="F311" s="163" t="n">
        <x:v>584</x:v>
      </x:c>
      <x:c r="G311" s="163" t="n">
        <x:v>48</x:v>
      </x:c>
      <x:c r="H311" s="163" t="n">
        <x:v>30</x:v>
      </x:c>
      <x:c r="I311" s="163" t="n">
        <x:v>17</x:v>
      </x:c>
      <x:c r="J311" s="163" t="n">
        <x:v>9</x:v>
      </x:c>
      <x:c r="K311" s="163" t="n">
        <x:v>3</x:v>
      </x:c>
      <x:c r="L311" s="164" t="n">
        <x:v>2901</x:v>
      </x:c>
      <x:c r="M311" s="164" t="n">
        <x:v>996332</x:v>
      </x:c>
      <x:c r="N311" s="164" t="n">
        <x:v>395370</x:v>
      </x:c>
      <x:c r="O311" s="165" t="n">
        <x:f>IFERROR(F311/E311,0)</x:f>
        <x:v>0.03149946062567422</x:v>
      </x:c>
      <x:c r="P311" s="166" t="n">
        <x:f>IFERROR(L311/F311,0)</x:f>
        <x:v>4.967465753424658</x:v>
      </x:c>
      <x:c r="Q311" s="165" t="n">
        <x:f>IFERROR(G311/F311,0)</x:f>
        <x:v>0.0821917808219178</x:v>
      </x:c>
      <x:c r="R311" s="164" t="n">
        <x:f>IFERROR(L311/G311,0)</x:f>
        <x:v>60.4375</x:v>
      </x:c>
      <x:c r="S311" s="167" t="n">
        <x:f>IFERROR(N311/L311,0)</x:f>
        <x:v>136.28748707342297</x:v>
      </x:c>
      <x:c r="T311" s="165" t="n">
        <x:f>IFERROR(K311/J311,0)</x:f>
        <x:v>0.3333333333333333</x:v>
      </x:c>
    </x:row>
    <x:row r="312">
      <x:c r="A312" s="161" t="n">
        <x:v>46113</x:v>
      </x:c>
      <x:c r="B312" s="162" t="str">
        <x:v>Retargeting</x:v>
      </x:c>
      <x:c r="C312" s="162" t="str">
        <x:v>Midwest</x:v>
      </x:c>
      <x:c r="D312" s="162" t="str">
        <x:v>Labeling Systems</x:v>
      </x:c>
      <x:c r="E312" s="163" t="n">
        <x:v>20070</x:v>
      </x:c>
      <x:c r="F312" s="163" t="n">
        <x:v>664</x:v>
      </x:c>
      <x:c r="G312" s="163" t="n">
        <x:v>53</x:v>
      </x:c>
      <x:c r="H312" s="163" t="n">
        <x:v>35</x:v>
      </x:c>
      <x:c r="I312" s="163" t="n">
        <x:v>20</x:v>
      </x:c>
      <x:c r="J312" s="163" t="n">
        <x:v>11</x:v>
      </x:c>
      <x:c r="K312" s="163" t="n">
        <x:v>3</x:v>
      </x:c>
      <x:c r="L312" s="164" t="n">
        <x:v>3299</x:v>
      </x:c>
      <x:c r="M312" s="164" t="n">
        <x:v>423562</x:v>
      </x:c>
      <x:c r="N312" s="164" t="n">
        <x:v>137520</x:v>
      </x:c>
      <x:c r="O312" s="165" t="n">
        <x:f>IFERROR(F312/E312,0)</x:f>
        <x:v>0.0330842052815147</x:v>
      </x:c>
      <x:c r="P312" s="166" t="n">
        <x:f>IFERROR(L312/F312,0)</x:f>
        <x:v>4.968373493975903</x:v>
      </x:c>
      <x:c r="Q312" s="165" t="n">
        <x:f>IFERROR(G312/F312,0)</x:f>
        <x:v>0.07981927710843373</x:v>
      </x:c>
      <x:c r="R312" s="164" t="n">
        <x:f>IFERROR(L312/G312,0)</x:f>
        <x:v>62.24528301886792</x:v>
      </x:c>
      <x:c r="S312" s="167" t="n">
        <x:f>IFERROR(N312/L312,0)</x:f>
        <x:v>41.6853591997575</x:v>
      </x:c>
      <x:c r="T312" s="165" t="n">
        <x:f>IFERROR(K312/J312,0)</x:f>
        <x:v>0.2727272727272727</x:v>
      </x:c>
    </x:row>
    <x:row r="313">
      <x:c r="A313" s="161" t="n">
        <x:v>46113</x:v>
      </x:c>
      <x:c r="B313" s="162" t="str">
        <x:v>Retargeting</x:v>
      </x:c>
      <x:c r="C313" s="162" t="str">
        <x:v>Midwest</x:v>
      </x:c>
      <x:c r="D313" s="162" t="str">
        <x:v>Case Packers</x:v>
      </x:c>
      <x:c r="E313" s="163" t="n">
        <x:v>19620</x:v>
      </x:c>
      <x:c r="F313" s="163" t="n">
        <x:v>681</x:v>
      </x:c>
      <x:c r="G313" s="163" t="n">
        <x:v>56</x:v>
      </x:c>
      <x:c r="H313" s="163" t="n">
        <x:v>38</x:v>
      </x:c>
      <x:c r="I313" s="163" t="n">
        <x:v>22</x:v>
      </x:c>
      <x:c r="J313" s="163" t="n">
        <x:v>12</x:v>
      </x:c>
      <x:c r="K313" s="163" t="n">
        <x:v>4</x:v>
      </x:c>
      <x:c r="L313" s="164" t="n">
        <x:v>3383</x:v>
      </x:c>
      <x:c r="M313" s="164" t="n">
        <x:v>1078157</x:v>
      </x:c>
      <x:c r="N313" s="164" t="n">
        <x:v>427840</x:v>
      </x:c>
      <x:c r="O313" s="165" t="n">
        <x:f>IFERROR(F313/E313,0)</x:f>
        <x:v>0.03470948012232416</x:v>
      </x:c>
      <x:c r="P313" s="166" t="n">
        <x:f>IFERROR(L313/F313,0)</x:f>
        <x:v>4.96769456681351</x:v>
      </x:c>
      <x:c r="Q313" s="165" t="n">
        <x:f>IFERROR(G313/F313,0)</x:f>
        <x:v>0.08223201174743025</x:v>
      </x:c>
      <x:c r="R313" s="164" t="n">
        <x:f>IFERROR(L313/G313,0)</x:f>
        <x:v>60.410714285714285</x:v>
      </x:c>
      <x:c r="S313" s="167" t="n">
        <x:f>IFERROR(N313/L313,0)</x:f>
        <x:v>126.46763227904226</x:v>
      </x:c>
      <x:c r="T313" s="165" t="n">
        <x:f>IFERROR(K313/J313,0)</x:f>
        <x:v>0.3333333333333333</x:v>
      </x:c>
    </x:row>
    <x:row r="314">
      <x:c r="A314" s="161" t="n">
        <x:v>46113</x:v>
      </x:c>
      <x:c r="B314" s="162" t="str">
        <x:v>Retargeting</x:v>
      </x:c>
      <x:c r="C314" s="162" t="str">
        <x:v>South</x:v>
      </x:c>
      <x:c r="D314" s="162" t="str">
        <x:v>Pouch Fillers</x:v>
      </x:c>
      <x:c r="E314" s="163" t="n">
        <x:v>19980</x:v>
      </x:c>
      <x:c r="F314" s="163" t="n">
        <x:v>645</x:v>
      </x:c>
      <x:c r="G314" s="163" t="n">
        <x:v>52</x:v>
      </x:c>
      <x:c r="H314" s="163" t="n">
        <x:v>32</x:v>
      </x:c>
      <x:c r="I314" s="163" t="n">
        <x:v>19</x:v>
      </x:c>
      <x:c r="J314" s="163" t="n">
        <x:v>9</x:v>
      </x:c>
      <x:c r="K314" s="163" t="n">
        <x:v>3</x:v>
      </x:c>
      <x:c r="L314" s="164" t="n">
        <x:v>3251</x:v>
      </x:c>
      <x:c r="M314" s="164" t="n">
        <x:v>607522</x:v>
      </x:c>
      <x:c r="N314" s="164" t="n">
        <x:v>241080</x:v>
      </x:c>
      <x:c r="O314" s="165" t="n">
        <x:f>IFERROR(F314/E314,0)</x:f>
        <x:v>0.03228228228228228</x:v>
      </x:c>
      <x:c r="P314" s="166" t="n">
        <x:f>IFERROR(L314/F314,0)</x:f>
        <x:v>5.04031007751938</x:v>
      </x:c>
      <x:c r="Q314" s="165" t="n">
        <x:f>IFERROR(G314/F314,0)</x:f>
        <x:v>0.08062015503875969</x:v>
      </x:c>
      <x:c r="R314" s="164" t="n">
        <x:f>IFERROR(L314/G314,0)</x:f>
        <x:v>62.51923076923077</x:v>
      </x:c>
      <x:c r="S314" s="167" t="n">
        <x:f>IFERROR(N314/L314,0)</x:f>
        <x:v>74.15564441710244</x:v>
      </x:c>
      <x:c r="T314" s="165" t="n">
        <x:f>IFERROR(K314/J314,0)</x:f>
        <x:v>0.3333333333333333</x:v>
      </x:c>
    </x:row>
    <x:row r="315">
      <x:c r="A315" s="161" t="n">
        <x:v>46113</x:v>
      </x:c>
      <x:c r="B315" s="162" t="str">
        <x:v>Retargeting</x:v>
      </x:c>
      <x:c r="C315" s="162" t="str">
        <x:v>South</x:v>
      </x:c>
      <x:c r="D315" s="162" t="str">
        <x:v>Cartoning Machines</x:v>
      </x:c>
      <x:c r="E315" s="163" t="n">
        <x:v>19530</x:v>
      </x:c>
      <x:c r="F315" s="163" t="n">
        <x:v>662</x:v>
      </x:c>
      <x:c r="G315" s="163" t="n">
        <x:v>54</x:v>
      </x:c>
      <x:c r="H315" s="163" t="n">
        <x:v>34</x:v>
      </x:c>
      <x:c r="I315" s="163" t="n">
        <x:v>20</x:v>
      </x:c>
      <x:c r="J315" s="163" t="n">
        <x:v>10</x:v>
      </x:c>
      <x:c r="K315" s="163" t="n">
        <x:v>3</x:v>
      </x:c>
      <x:c r="L315" s="164" t="n">
        <x:v>3336</x:v>
      </x:c>
      <x:c r="M315" s="164" t="n">
        <x:v>1136016</x:v>
      </x:c>
      <x:c r="N315" s="164" t="n">
        <x:v>405720</x:v>
      </x:c>
      <x:c r="O315" s="165" t="n">
        <x:f>IFERROR(F315/E315,0)</x:f>
        <x:v>0.03389656938044035</x:v>
      </x:c>
      <x:c r="P315" s="166" t="n">
        <x:f>IFERROR(L315/F315,0)</x:f>
        <x:v>5.039274924471299</x:v>
      </x:c>
      <x:c r="Q315" s="165" t="n">
        <x:f>IFERROR(G315/F315,0)</x:f>
        <x:v>0.08157099697885196</x:v>
      </x:c>
      <x:c r="R315" s="164" t="n">
        <x:f>IFERROR(L315/G315,0)</x:f>
        <x:v>61.77777777777778</x:v>
      </x:c>
      <x:c r="S315" s="167" t="n">
        <x:f>IFERROR(N315/L315,0)</x:f>
        <x:v>121.61870503597122</x:v>
      </x:c>
      <x:c r="T315" s="165" t="n">
        <x:f>IFERROR(K315/J315,0)</x:f>
        <x:v>0.3</x:v>
      </x:c>
    </x:row>
    <x:row r="316">
      <x:c r="A316" s="161" t="n">
        <x:v>46113</x:v>
      </x:c>
      <x:c r="B316" s="162" t="str">
        <x:v>Retargeting</x:v>
      </x:c>
      <x:c r="C316" s="162" t="str">
        <x:v>South</x:v>
      </x:c>
      <x:c r="D316" s="162" t="str">
        <x:v>Labeling Systems</x:v>
      </x:c>
      <x:c r="E316" s="163" t="n">
        <x:v>21060</x:v>
      </x:c>
      <x:c r="F316" s="163" t="n">
        <x:v>663</x:v>
      </x:c>
      <x:c r="G316" s="163" t="n">
        <x:v>53</x:v>
      </x:c>
      <x:c r="H316" s="163" t="n">
        <x:v>35</x:v>
      </x:c>
      <x:c r="I316" s="163" t="n">
        <x:v>21</x:v>
      </x:c>
      <x:c r="J316" s="163" t="n">
        <x:v>11</x:v>
      </x:c>
      <x:c r="K316" s="163" t="n">
        <x:v>3</x:v>
      </x:c>
      <x:c r="L316" s="164" t="n">
        <x:v>3342</x:v>
      </x:c>
      <x:c r="M316" s="164" t="n">
        <x:v>434650</x:v>
      </x:c>
      <x:c r="N316" s="164" t="n">
        <x:v>141120</x:v>
      </x:c>
      <x:c r="O316" s="165" t="n">
        <x:f>IFERROR(F316/E316,0)</x:f>
        <x:v>0.03148148148148148</x:v>
      </x:c>
      <x:c r="P316" s="166" t="n">
        <x:f>IFERROR(L316/F316,0)</x:f>
        <x:v>5.040723981900452</x:v>
      </x:c>
      <x:c r="Q316" s="165" t="n">
        <x:f>IFERROR(G316/F316,0)</x:f>
        <x:v>0.07993966817496229</x:v>
      </x:c>
      <x:c r="R316" s="164" t="n">
        <x:f>IFERROR(L316/G316,0)</x:f>
        <x:v>63.056603773584904</x:v>
      </x:c>
      <x:c r="S316" s="167" t="n">
        <x:f>IFERROR(N316/L316,0)</x:f>
        <x:v>42.2262118491921</x:v>
      </x:c>
      <x:c r="T316" s="165" t="n">
        <x:f>IFERROR(K316/J316,0)</x:f>
        <x:v>0.2727272727272727</x:v>
      </x:c>
    </x:row>
    <x:row r="317">
      <x:c r="A317" s="161" t="n">
        <x:v>46113</x:v>
      </x:c>
      <x:c r="B317" s="162" t="str">
        <x:v>Retargeting</x:v>
      </x:c>
      <x:c r="C317" s="162" t="str">
        <x:v>South</x:v>
      </x:c>
      <x:c r="D317" s="162" t="str">
        <x:v>Case Packers</x:v>
      </x:c>
      <x:c r="E317" s="163" t="n">
        <x:v>20610</x:v>
      </x:c>
      <x:c r="F317" s="163" t="n">
        <x:v>682</x:v>
      </x:c>
      <x:c r="G317" s="163" t="n">
        <x:v>56</x:v>
      </x:c>
      <x:c r="H317" s="163" t="n">
        <x:v>38</x:v>
      </x:c>
      <x:c r="I317" s="163" t="n">
        <x:v>22</x:v>
      </x:c>
      <x:c r="J317" s="163" t="n">
        <x:v>12</x:v>
      </x:c>
      <x:c r="K317" s="163" t="n">
        <x:v>4</x:v>
      </x:c>
      <x:c r="L317" s="164" t="n">
        <x:v>3437</x:v>
      </x:c>
      <x:c r="M317" s="164" t="n">
        <x:v>1106381</x:v>
      </x:c>
      <x:c r="N317" s="164" t="n">
        <x:v>439040</x:v>
      </x:c>
      <x:c r="O317" s="165" t="n">
        <x:f>IFERROR(F317/E317,0)</x:f>
        <x:v>0.03309073265405143</x:v>
      </x:c>
      <x:c r="P317" s="166" t="n">
        <x:f>IFERROR(L317/F317,0)</x:f>
        <x:v>5.03958944281525</x:v>
      </x:c>
      <x:c r="Q317" s="165" t="n">
        <x:f>IFERROR(G317/F317,0)</x:f>
        <x:v>0.08211143695014662</x:v>
      </x:c>
      <x:c r="R317" s="164" t="n">
        <x:f>IFERROR(L317/G317,0)</x:f>
        <x:v>61.375</x:v>
      </x:c>
      <x:c r="S317" s="167" t="n">
        <x:f>IFERROR(N317/L317,0)</x:f>
        <x:v>127.73930753564154</x:v>
      </x:c>
      <x:c r="T317" s="165" t="n">
        <x:f>IFERROR(K317/J317,0)</x:f>
        <x:v>0.3333333333333333</x:v>
      </x:c>
    </x:row>
    <x:row r="318">
      <x:c r="A318" s="161" t="n">
        <x:v>46113</x:v>
      </x:c>
      <x:c r="B318" s="162" t="str">
        <x:v>Retargeting</x:v>
      </x:c>
      <x:c r="C318" s="162" t="str">
        <x:v>West</x:v>
      </x:c>
      <x:c r="D318" s="162" t="str">
        <x:v>Pouch Fillers</x:v>
      </x:c>
      <x:c r="E318" s="163" t="n">
        <x:v>20970</x:v>
      </x:c>
      <x:c r="F318" s="163" t="n">
        <x:v>728</x:v>
      </x:c>
      <x:c r="G318" s="163" t="n">
        <x:v>58</x:v>
      </x:c>
      <x:c r="H318" s="163" t="n">
        <x:v>35</x:v>
      </x:c>
      <x:c r="I318" s="163" t="n">
        <x:v>21</x:v>
      </x:c>
      <x:c r="J318" s="163" t="n">
        <x:v>10</x:v>
      </x:c>
      <x:c r="K318" s="163" t="n">
        <x:v>3</x:v>
      </x:c>
      <x:c r="L318" s="164" t="n">
        <x:v>3722</x:v>
      </x:c>
      <x:c r="M318" s="164" t="n">
        <x:v>692244</x:v>
      </x:c>
      <x:c r="N318" s="164" t="n">
        <x:v>247230</x:v>
      </x:c>
      <x:c r="O318" s="165" t="n">
        <x:f>IFERROR(F318/E318,0)</x:f>
        <x:v>0.034716261325703386</x:v>
      </x:c>
      <x:c r="P318" s="166" t="n">
        <x:f>IFERROR(L318/F318,0)</x:f>
        <x:v>5.112637362637362</x:v>
      </x:c>
      <x:c r="Q318" s="165" t="n">
        <x:f>IFERROR(G318/F318,0)</x:f>
        <x:v>0.07967032967032966</x:v>
      </x:c>
      <x:c r="R318" s="164" t="n">
        <x:f>IFERROR(L318/G318,0)</x:f>
        <x:v>64.17241379310344</x:v>
      </x:c>
      <x:c r="S318" s="167" t="n">
        <x:f>IFERROR(N318/L318,0)</x:f>
        <x:v>66.42396560988716</x:v>
      </x:c>
      <x:c r="T318" s="165" t="n">
        <x:f>IFERROR(K318/J318,0)</x:f>
        <x:v>0.3</x:v>
      </x:c>
    </x:row>
    <x:row r="319">
      <x:c r="A319" s="161" t="n">
        <x:v>46113</x:v>
      </x:c>
      <x:c r="B319" s="162" t="str">
        <x:v>Retargeting</x:v>
      </x:c>
      <x:c r="C319" s="162" t="str">
        <x:v>West</x:v>
      </x:c>
      <x:c r="D319" s="162" t="str">
        <x:v>Cartoning Machines</x:v>
      </x:c>
      <x:c r="E319" s="163" t="n">
        <x:v>20520</x:v>
      </x:c>
      <x:c r="F319" s="163" t="n">
        <x:v>663</x:v>
      </x:c>
      <x:c r="G319" s="163" t="n">
        <x:v>54</x:v>
      </x:c>
      <x:c r="H319" s="163" t="n">
        <x:v>34</x:v>
      </x:c>
      <x:c r="I319" s="163" t="n">
        <x:v>21</x:v>
      </x:c>
      <x:c r="J319" s="163" t="n">
        <x:v>11</x:v>
      </x:c>
      <x:c r="K319" s="163" t="n">
        <x:v>4</x:v>
      </x:c>
      <x:c r="L319" s="164" t="n">
        <x:v>3389</x:v>
      </x:c>
      <x:c r="M319" s="164" t="n">
        <x:v>1281496</x:v>
      </x:c>
      <x:c r="N319" s="164" t="n">
        <x:v>554760</x:v>
      </x:c>
      <x:c r="O319" s="165" t="n">
        <x:f>IFERROR(F319/E319,0)</x:f>
        <x:v>0.03230994152046784</x:v>
      </x:c>
      <x:c r="P319" s="166" t="n">
        <x:f>IFERROR(L319/F319,0)</x:f>
        <x:v>5.111613876319758</x:v>
      </x:c>
      <x:c r="Q319" s="165" t="n">
        <x:f>IFERROR(G319/F319,0)</x:f>
        <x:v>0.08144796380090498</x:v>
      </x:c>
      <x:c r="R319" s="164" t="n">
        <x:f>IFERROR(L319/G319,0)</x:f>
        <x:v>62.75925925925926</x:v>
      </x:c>
      <x:c r="S319" s="167" t="n">
        <x:f>IFERROR(N319/L319,0)</x:f>
        <x:v>163.69430510475067</x:v>
      </x:c>
      <x:c r="T319" s="165" t="n">
        <x:f>IFERROR(K319/J319,0)</x:f>
        <x:v>0.36363636363636365</x:v>
      </x:c>
    </x:row>
    <x:row r="320">
      <x:c r="A320" s="161" t="n">
        <x:v>46113</x:v>
      </x:c>
      <x:c r="B320" s="162" t="str">
        <x:v>Retargeting</x:v>
      </x:c>
      <x:c r="C320" s="162" t="str">
        <x:v>West</x:v>
      </x:c>
      <x:c r="D320" s="162" t="str">
        <x:v>Labeling Systems</x:v>
      </x:c>
      <x:c r="E320" s="163" t="n">
        <x:v>20070</x:v>
      </x:c>
      <x:c r="F320" s="163" t="n">
        <x:v>680</x:v>
      </x:c>
      <x:c r="G320" s="163" t="n">
        <x:v>54</x:v>
      </x:c>
      <x:c r="H320" s="163" t="n">
        <x:v>36</x:v>
      </x:c>
      <x:c r="I320" s="163" t="n">
        <x:v>22</x:v>
      </x:c>
      <x:c r="J320" s="163" t="n">
        <x:v>12</x:v>
      </x:c>
      <x:c r="K320" s="163" t="n">
        <x:v>4</x:v>
      </x:c>
      <x:c r="L320" s="164" t="n">
        <x:v>3476</x:v>
      </x:c>
      <x:c r="M320" s="164" t="n">
        <x:v>486259</x:v>
      </x:c>
      <x:c r="N320" s="164" t="n">
        <x:v>192960</x:v>
      </x:c>
      <x:c r="O320" s="165" t="n">
        <x:f>IFERROR(F320/E320,0)</x:f>
        <x:v>0.03388141504733433</x:v>
      </x:c>
      <x:c r="P320" s="166" t="n">
        <x:f>IFERROR(L320/F320,0)</x:f>
        <x:v>5.1117647058823525</x:v>
      </x:c>
      <x:c r="Q320" s="165" t="n">
        <x:f>IFERROR(G320/F320,0)</x:f>
        <x:v>0.07941176470588235</x:v>
      </x:c>
      <x:c r="R320" s="164" t="n">
        <x:f>IFERROR(L320/G320,0)</x:f>
        <x:v>64.37037037037037</x:v>
      </x:c>
      <x:c r="S320" s="167" t="n">
        <x:f>IFERROR(N320/L320,0)</x:f>
        <x:v>55.512082853855006</x:v>
      </x:c>
      <x:c r="T320" s="165" t="n">
        <x:f>IFERROR(K320/J320,0)</x:f>
        <x:v>0.3333333333333333</x:v>
      </x:c>
    </x:row>
    <x:row r="321">
      <x:c r="A321" s="161" t="n">
        <x:v>46113</x:v>
      </x:c>
      <x:c r="B321" s="162" t="str">
        <x:v>Retargeting</x:v>
      </x:c>
      <x:c r="C321" s="162" t="str">
        <x:v>West</x:v>
      </x:c>
      <x:c r="D321" s="162" t="str">
        <x:v>Case Packers</x:v>
      </x:c>
      <x:c r="E321" s="163" t="n">
        <x:v>21600</x:v>
      </x:c>
      <x:c r="F321" s="163" t="n">
        <x:v>680</x:v>
      </x:c>
      <x:c r="G321" s="163" t="n">
        <x:v>56</x:v>
      </x:c>
      <x:c r="H321" s="163" t="n">
        <x:v>38</x:v>
      </x:c>
      <x:c r="I321" s="163" t="n">
        <x:v>23</x:v>
      </x:c>
      <x:c r="J321" s="163" t="n">
        <x:v>13</x:v>
      </x:c>
      <x:c r="K321" s="163" t="n">
        <x:v>4</x:v>
      </x:c>
      <x:c r="L321" s="164" t="n">
        <x:v>3476</x:v>
      </x:c>
      <x:c r="M321" s="164" t="n">
        <x:v>1229155</x:v>
      </x:c>
      <x:c r="N321" s="164" t="n">
        <x:v>450240</x:v>
      </x:c>
      <x:c r="O321" s="165" t="n">
        <x:f>IFERROR(F321/E321,0)</x:f>
        <x:v>0.03148148148148148</x:v>
      </x:c>
      <x:c r="P321" s="166" t="n">
        <x:f>IFERROR(L321/F321,0)</x:f>
        <x:v>5.1117647058823525</x:v>
      </x:c>
      <x:c r="Q321" s="165" t="n">
        <x:f>IFERROR(G321/F321,0)</x:f>
        <x:v>0.08235294117647059</x:v>
      </x:c>
      <x:c r="R321" s="164" t="n">
        <x:f>IFERROR(L321/G321,0)</x:f>
        <x:v>62.07142857142857</x:v>
      </x:c>
      <x:c r="S321" s="167" t="n">
        <x:f>IFERROR(N321/L321,0)</x:f>
        <x:v>129.52819332566168</x:v>
      </x:c>
      <x:c r="T321" s="165" t="n">
        <x:f>IFERROR(K321/J321,0)</x:f>
        <x:v>0.3076923076923077</x:v>
      </x:c>
    </x:row>
    <x:row r="322">
      <x:c r="A322" s="161" t="n">
        <x:v>46143</x:v>
      </x:c>
      <x:c r="B322" s="162" t="str">
        <x:v>Google Search</x:v>
      </x:c>
      <x:c r="C322" s="162" t="str">
        <x:v>Northeast</x:v>
      </x:c>
      <x:c r="D322" s="162" t="str">
        <x:v>Pouch Fillers</x:v>
      </x:c>
      <x:c r="E322" s="163" t="n">
        <x:v>24720</x:v>
      </x:c>
      <x:c r="F322" s="163" t="n">
        <x:v>1078</x:v>
      </x:c>
      <x:c r="G322" s="163" t="n">
        <x:v>79</x:v>
      </x:c>
      <x:c r="H322" s="163" t="n">
        <x:v>49</x:v>
      </x:c>
      <x:c r="I322" s="163" t="n">
        <x:v>27</x:v>
      </x:c>
      <x:c r="J322" s="163" t="n">
        <x:v>13</x:v>
      </x:c>
      <x:c r="K322" s="163" t="n">
        <x:v>4</x:v>
      </x:c>
      <x:c r="L322" s="164" t="n">
        <x:v>7624</x:v>
      </x:c>
      <x:c r="M322" s="164" t="n">
        <x:v>852587</x:v>
      </x:c>
      <x:c r="N322" s="164" t="n">
        <x:v>305040</x:v>
      </x:c>
      <x:c r="O322" s="165" t="n">
        <x:f>IFERROR(F322/E322,0)</x:f>
        <x:v>0.0436084142394822</x:v>
      </x:c>
      <x:c r="P322" s="166" t="n">
        <x:f>IFERROR(L322/F322,0)</x:f>
        <x:v>7.072356215213358</x:v>
      </x:c>
      <x:c r="Q322" s="165" t="n">
        <x:f>IFERROR(G322/F322,0)</x:f>
        <x:v>0.07328385899814471</x:v>
      </x:c>
      <x:c r="R322" s="164" t="n">
        <x:f>IFERROR(L322/G322,0)</x:f>
        <x:v>96.50632911392405</x:v>
      </x:c>
      <x:c r="S322" s="167" t="n">
        <x:f>IFERROR(N322/L322,0)</x:f>
        <x:v>40.01049317943337</x:v>
      </x:c>
      <x:c r="T322" s="165" t="n">
        <x:f>IFERROR(K322/J322,0)</x:f>
        <x:v>0.3076923076923077</x:v>
      </x:c>
    </x:row>
    <x:row r="323">
      <x:c r="A323" s="161" t="n">
        <x:v>46143</x:v>
      </x:c>
      <x:c r="B323" s="162" t="str">
        <x:v>Google Search</x:v>
      </x:c>
      <x:c r="C323" s="162" t="str">
        <x:v>Northeast</x:v>
      </x:c>
      <x:c r="D323" s="162" t="str">
        <x:v>Cartoning Machines</x:v>
      </x:c>
      <x:c r="E323" s="163" t="n">
        <x:v>26760</x:v>
      </x:c>
      <x:c r="F323" s="163" t="n">
        <x:v>1210</x:v>
      </x:c>
      <x:c r="G323" s="163" t="n">
        <x:v>91</x:v>
      </x:c>
      <x:c r="H323" s="163" t="n">
        <x:v>59</x:v>
      </x:c>
      <x:c r="I323" s="163" t="n">
        <x:v>32</x:v>
      </x:c>
      <x:c r="J323" s="163" t="n">
        <x:v>16</x:v>
      </x:c>
      <x:c r="K323" s="163" t="n">
        <x:v>5</x:v>
      </x:c>
      <x:c r="L323" s="164" t="n">
        <x:v>8557</x:v>
      </x:c>
      <x:c r="M323" s="164" t="n">
        <x:v>1765958</x:v>
      </x:c>
      <x:c r="N323" s="164" t="n">
        <x:v>641700</x:v>
      </x:c>
      <x:c r="O323" s="165" t="n">
        <x:f>IFERROR(F323/E323,0)</x:f>
        <x:v>0.045216741405082216</x:v>
      </x:c>
      <x:c r="P323" s="166" t="n">
        <x:f>IFERROR(L323/F323,0)</x:f>
        <x:v>7.071900826446281</x:v>
      </x:c>
      <x:c r="Q323" s="165" t="n">
        <x:f>IFERROR(G323/F323,0)</x:f>
        <x:v>0.07520661157024794</x:v>
      </x:c>
      <x:c r="R323" s="164" t="n">
        <x:f>IFERROR(L323/G323,0)</x:f>
        <x:v>94.03296703296704</x:v>
      </x:c>
      <x:c r="S323" s="167" t="n">
        <x:f>IFERROR(N323/L323,0)</x:f>
        <x:v>74.99123524599743</x:v>
      </x:c>
      <x:c r="T323" s="165" t="n">
        <x:f>IFERROR(K323/J323,0)</x:f>
        <x:v>0.3125</x:v>
      </x:c>
    </x:row>
    <x:row r="324">
      <x:c r="A324" s="161" t="n">
        <x:v>46143</x:v>
      </x:c>
      <x:c r="B324" s="162" t="str">
        <x:v>Google Search</x:v>
      </x:c>
      <x:c r="C324" s="162" t="str">
        <x:v>Northeast</x:v>
      </x:c>
      <x:c r="D324" s="162" t="str">
        <x:v>Labeling Systems</x:v>
      </x:c>
      <x:c r="E324" s="163" t="n">
        <x:v>26160</x:v>
      </x:c>
      <x:c r="F324" s="163" t="n">
        <x:v>1120</x:v>
      </x:c>
      <x:c r="G324" s="163" t="n">
        <x:v>82</x:v>
      </x:c>
      <x:c r="H324" s="163" t="n">
        <x:v>55</x:v>
      </x:c>
      <x:c r="I324" s="163" t="n">
        <x:v>30</x:v>
      </x:c>
      <x:c r="J324" s="163" t="n">
        <x:v>16</x:v>
      </x:c>
      <x:c r="K324" s="163" t="n">
        <x:v>5</x:v>
      </x:c>
      <x:c r="L324" s="164" t="n">
        <x:v>7921</x:v>
      </x:c>
      <x:c r="M324" s="164" t="n">
        <x:v>614246</x:v>
      </x:c>
      <x:c r="N324" s="164" t="n">
        <x:v>223200</x:v>
      </x:c>
      <x:c r="O324" s="165" t="n">
        <x:f>IFERROR(F324/E324,0)</x:f>
        <x:v>0.04281345565749235</x:v>
      </x:c>
      <x:c r="P324" s="166" t="n">
        <x:f>IFERROR(L324/F324,0)</x:f>
        <x:v>7.072321428571429</x:v>
      </x:c>
      <x:c r="Q324" s="165" t="n">
        <x:f>IFERROR(G324/F324,0)</x:f>
        <x:v>0.07321428571428572</x:v>
      </x:c>
      <x:c r="R324" s="164" t="n">
        <x:f>IFERROR(L324/G324,0)</x:f>
        <x:v>96.59756097560975</x:v>
      </x:c>
      <x:c r="S324" s="167" t="n">
        <x:f>IFERROR(N324/L324,0)</x:f>
        <x:v>28.17826032066658</x:v>
      </x:c>
      <x:c r="T324" s="165" t="n">
        <x:f>IFERROR(K324/J324,0)</x:f>
        <x:v>0.3125</x:v>
      </x:c>
    </x:row>
    <x:row r="325">
      <x:c r="A325" s="161" t="n">
        <x:v>46143</x:v>
      </x:c>
      <x:c r="B325" s="162" t="str">
        <x:v>Google Search</x:v>
      </x:c>
      <x:c r="C325" s="162" t="str">
        <x:v>Northeast</x:v>
      </x:c>
      <x:c r="D325" s="162" t="str">
        <x:v>Case Packers</x:v>
      </x:c>
      <x:c r="E325" s="163" t="n">
        <x:v>28200</x:v>
      </x:c>
      <x:c r="F325" s="163" t="n">
        <x:v>1252</x:v>
      </x:c>
      <x:c r="G325" s="163" t="n">
        <x:v>94</x:v>
      </x:c>
      <x:c r="H325" s="163" t="n">
        <x:v>65</x:v>
      </x:c>
      <x:c r="I325" s="163" t="n">
        <x:v>36</x:v>
      </x:c>
      <x:c r="J325" s="163" t="n">
        <x:v>20</x:v>
      </x:c>
      <x:c r="K325" s="163" t="n">
        <x:v>6</x:v>
      </x:c>
      <x:c r="L325" s="164" t="n">
        <x:v>8854</x:v>
      </x:c>
      <x:c r="M325" s="164" t="n">
        <x:v>1791552</x:v>
      </x:c>
      <x:c r="N325" s="164" t="n">
        <x:v>624960</x:v>
      </x:c>
      <x:c r="O325" s="165" t="n">
        <x:f>IFERROR(F325/E325,0)</x:f>
        <x:v>0.04439716312056738</x:v>
      </x:c>
      <x:c r="P325" s="166" t="n">
        <x:f>IFERROR(L325/F325,0)</x:f>
        <x:v>7.0718849840255595</x:v>
      </x:c>
      <x:c r="Q325" s="165" t="n">
        <x:f>IFERROR(G325/F325,0)</x:f>
        <x:v>0.07507987220447285</x:v>
      </x:c>
      <x:c r="R325" s="164" t="n">
        <x:f>IFERROR(L325/G325,0)</x:f>
        <x:v>94.19148936170212</x:v>
      </x:c>
      <x:c r="S325" s="167" t="n">
        <x:f>IFERROR(N325/L325,0)</x:f>
        <x:v>70.58504630675401</x:v>
      </x:c>
      <x:c r="T325" s="165" t="n">
        <x:f>IFERROR(K325/J325,0)</x:f>
        <x:v>0.3</x:v>
      </x:c>
    </x:row>
    <x:row r="326">
      <x:c r="A326" s="161" t="n">
        <x:v>46143</x:v>
      </x:c>
      <x:c r="B326" s="162" t="str">
        <x:v>Google Search</x:v>
      </x:c>
      <x:c r="C326" s="162" t="str">
        <x:v>Midwest</x:v>
      </x:c>
      <x:c r="D326" s="162" t="str">
        <x:v>Pouch Fillers</x:v>
      </x:c>
      <x:c r="E326" s="163" t="n">
        <x:v>26040</x:v>
      </x:c>
      <x:c r="F326" s="163" t="n">
        <x:v>1094</x:v>
      </x:c>
      <x:c r="G326" s="163" t="n">
        <x:v>80</x:v>
      </x:c>
      <x:c r="H326" s="163" t="n">
        <x:v>50</x:v>
      </x:c>
      <x:c r="I326" s="163" t="n">
        <x:v>29</x:v>
      </x:c>
      <x:c r="J326" s="163" t="n">
        <x:v>14</x:v>
      </x:c>
      <x:c r="K326" s="163" t="n">
        <x:v>5</x:v>
      </x:c>
      <x:c r="L326" s="164" t="n">
        <x:v>7848</x:v>
      </x:c>
      <x:c r="M326" s="164" t="n">
        <x:v>942852</x:v>
      </x:c>
      <x:c r="N326" s="164" t="n">
        <x:v>391550</x:v>
      </x:c>
      <x:c r="O326" s="165" t="n">
        <x:f>IFERROR(F326/E326,0)</x:f>
        <x:v>0.04201228878648233</x:v>
      </x:c>
      <x:c r="P326" s="166" t="n">
        <x:f>IFERROR(L326/F326,0)</x:f>
        <x:v>7.173674588665448</x:v>
      </x:c>
      <x:c r="Q326" s="165" t="n">
        <x:f>IFERROR(G326/F326,0)</x:f>
        <x:v>0.07312614259597806</x:v>
      </x:c>
      <x:c r="R326" s="164" t="n">
        <x:f>IFERROR(L326/G326,0)</x:f>
        <x:v>98.1</x:v>
      </x:c>
      <x:c r="S326" s="167" t="n">
        <x:f>IFERROR(N326/L326,0)</x:f>
        <x:v>49.89169215086646</x:v>
      </x:c>
      <x:c r="T326" s="165" t="n">
        <x:f>IFERROR(K326/J326,0)</x:f>
        <x:v>0.35714285714285715</x:v>
      </x:c>
    </x:row>
    <x:row r="327">
      <x:c r="A327" s="161" t="n">
        <x:v>46143</x:v>
      </x:c>
      <x:c r="B327" s="162" t="str">
        <x:v>Google Search</x:v>
      </x:c>
      <x:c r="C327" s="162" t="str">
        <x:v>Midwest</x:v>
      </x:c>
      <x:c r="D327" s="162" t="str">
        <x:v>Cartoning Machines</x:v>
      </x:c>
      <x:c r="E327" s="163" t="n">
        <x:v>28080</x:v>
      </x:c>
      <x:c r="F327" s="163" t="n">
        <x:v>1224</x:v>
      </x:c>
      <x:c r="G327" s="163" t="n">
        <x:v>92</x:v>
      </x:c>
      <x:c r="H327" s="163" t="n">
        <x:v>59</x:v>
      </x:c>
      <x:c r="I327" s="163" t="n">
        <x:v>34</x:v>
      </x:c>
      <x:c r="J327" s="163" t="n">
        <x:v>18</x:v>
      </x:c>
      <x:c r="K327" s="163" t="n">
        <x:v>6</x:v>
      </x:c>
      <x:c r="L327" s="164" t="n">
        <x:v>8781</x:v>
      </x:c>
      <x:c r="M327" s="164" t="n">
        <x:v>2040109</x:v>
      </x:c>
      <x:c r="N327" s="164" t="n">
        <x:v>790740</x:v>
      </x:c>
      <x:c r="O327" s="165" t="n">
        <x:f>IFERROR(F327/E327,0)</x:f>
        <x:v>0.04358974358974359</x:v>
      </x:c>
      <x:c r="P327" s="166" t="n">
        <x:f>IFERROR(L327/F327,0)</x:f>
        <x:v>7.174019607843137</x:v>
      </x:c>
      <x:c r="Q327" s="165" t="n">
        <x:f>IFERROR(G327/F327,0)</x:f>
        <x:v>0.07516339869281045</x:v>
      </x:c>
      <x:c r="R327" s="164" t="n">
        <x:f>IFERROR(L327/G327,0)</x:f>
        <x:v>95.44565217391305</x:v>
      </x:c>
      <x:c r="S327" s="167" t="n">
        <x:f>IFERROR(N327/L327,0)</x:f>
        <x:v>90.05124701059106</x:v>
      </x:c>
      <x:c r="T327" s="165" t="n">
        <x:f>IFERROR(K327/J327,0)</x:f>
        <x:v>0.3333333333333333</x:v>
      </x:c>
    </x:row>
    <x:row r="328">
      <x:c r="A328" s="161" t="n">
        <x:v>46143</x:v>
      </x:c>
      <x:c r="B328" s="162" t="str">
        <x:v>Google Search</x:v>
      </x:c>
      <x:c r="C328" s="162" t="str">
        <x:v>Midwest</x:v>
      </x:c>
      <x:c r="D328" s="162" t="str">
        <x:v>Labeling Systems</x:v>
      </x:c>
      <x:c r="E328" s="163" t="n">
        <x:v>27480</x:v>
      </x:c>
      <x:c r="F328" s="163" t="n">
        <x:v>1242</x:v>
      </x:c>
      <x:c r="G328" s="163" t="n">
        <x:v>91</x:v>
      </x:c>
      <x:c r="H328" s="163" t="n">
        <x:v>61</x:v>
      </x:c>
      <x:c r="I328" s="163" t="n">
        <x:v>35</x:v>
      </x:c>
      <x:c r="J328" s="163" t="n">
        <x:v>19</x:v>
      </x:c>
      <x:c r="K328" s="163" t="n">
        <x:v>6</x:v>
      </x:c>
      <x:c r="L328" s="164" t="n">
        <x:v>8910</x:v>
      </x:c>
      <x:c r="M328" s="164" t="n">
        <x:v>749026</x:v>
      </x:c>
      <x:c r="N328" s="164" t="n">
        <x:v>275040</x:v>
      </x:c>
      <x:c r="O328" s="165" t="n">
        <x:f>IFERROR(F328/E328,0)</x:f>
        <x:v>0.04519650655021834</x:v>
      </x:c>
      <x:c r="P328" s="166" t="n">
        <x:f>IFERROR(L328/F328,0)</x:f>
        <x:v>7.173913043478261</x:v>
      </x:c>
      <x:c r="Q328" s="165" t="n">
        <x:f>IFERROR(G328/F328,0)</x:f>
        <x:v>0.07326892109500806</x:v>
      </x:c>
      <x:c r="R328" s="164" t="n">
        <x:f>IFERROR(L328/G328,0)</x:f>
        <x:v>97.91208791208791</x:v>
      </x:c>
      <x:c r="S328" s="167" t="n">
        <x:f>IFERROR(N328/L328,0)</x:f>
        <x:v>30.86868686868687</x:v>
      </x:c>
      <x:c r="T328" s="165" t="n">
        <x:f>IFERROR(K328/J328,0)</x:f>
        <x:v>0.3157894736842105</x:v>
      </x:c>
    </x:row>
    <x:row r="329">
      <x:c r="A329" s="161" t="n">
        <x:v>46143</x:v>
      </x:c>
      <x:c r="B329" s="162" t="str">
        <x:v>Google Search</x:v>
      </x:c>
      <x:c r="C329" s="162" t="str">
        <x:v>Midwest</x:v>
      </x:c>
      <x:c r="D329" s="162" t="str">
        <x:v>Case Packers</x:v>
      </x:c>
      <x:c r="E329" s="163" t="n">
        <x:v>29520</x:v>
      </x:c>
      <x:c r="F329" s="163" t="n">
        <x:v>1263</x:v>
      </x:c>
      <x:c r="G329" s="163" t="n">
        <x:v>95</x:v>
      </x:c>
      <x:c r="H329" s="163" t="n">
        <x:v>66</x:v>
      </x:c>
      <x:c r="I329" s="163" t="n">
        <x:v>38</x:v>
      </x:c>
      <x:c r="J329" s="163" t="n">
        <x:v>21</x:v>
      </x:c>
      <x:c r="K329" s="163" t="n">
        <x:v>7</x:v>
      </x:c>
      <x:c r="L329" s="164" t="n">
        <x:v>9061</x:v>
      </x:c>
      <x:c r="M329" s="164" t="n">
        <x:v>1931698</x:v>
      </x:c>
      <x:c r="N329" s="164" t="n">
        <x:v>748720</x:v>
      </x:c>
      <x:c r="O329" s="165" t="n">
        <x:f>IFERROR(F329/E329,0)</x:f>
        <x:v>0.042784552845528456</x:v>
      </x:c>
      <x:c r="P329" s="166" t="n">
        <x:f>IFERROR(L329/F329,0)</x:f>
        <x:v>7.174188440221695</x:v>
      </x:c>
      <x:c r="Q329" s="165" t="n">
        <x:f>IFERROR(G329/F329,0)</x:f>
        <x:v>0.07521773555027712</x:v>
      </x:c>
      <x:c r="R329" s="164" t="n">
        <x:f>IFERROR(L329/G329,0)</x:f>
        <x:v>95.37894736842105</x:v>
      </x:c>
      <x:c r="S329" s="167" t="n">
        <x:f>IFERROR(N329/L329,0)</x:f>
        <x:v>82.63105617481514</x:v>
      </x:c>
      <x:c r="T329" s="165" t="n">
        <x:f>IFERROR(K329/J329,0)</x:f>
        <x:v>0.3333333333333333</x:v>
      </x:c>
    </x:row>
    <x:row r="330">
      <x:c r="A330" s="161" t="n">
        <x:v>46143</x:v>
      </x:c>
      <x:c r="B330" s="162" t="str">
        <x:v>Google Search</x:v>
      </x:c>
      <x:c r="C330" s="162" t="str">
        <x:v>South</x:v>
      </x:c>
      <x:c r="D330" s="162" t="str">
        <x:v>Pouch Fillers</x:v>
      </x:c>
      <x:c r="E330" s="163" t="n">
        <x:v>27360</x:v>
      </x:c>
      <x:c r="F330" s="163" t="n">
        <x:v>1215</x:v>
      </x:c>
      <x:c r="G330" s="163" t="n">
        <x:v>89</x:v>
      </x:c>
      <x:c r="H330" s="163" t="n">
        <x:v>55</x:v>
      </x:c>
      <x:c r="I330" s="163" t="n">
        <x:v>32</x:v>
      </x:c>
      <x:c r="J330" s="163" t="n">
        <x:v>16</x:v>
      </x:c>
      <x:c r="K330" s="163" t="n">
        <x:v>5</x:v>
      </x:c>
      <x:c r="L330" s="164" t="n">
        <x:v>8840</x:v>
      </x:c>
      <x:c r="M330" s="164" t="n">
        <x:v>1105754</x:v>
      </x:c>
      <x:c r="N330" s="164" t="n">
        <x:v>401800</x:v>
      </x:c>
      <x:c r="O330" s="165" t="n">
        <x:f>IFERROR(F330/E330,0)</x:f>
        <x:v>0.044407894736842105</x:v>
      </x:c>
      <x:c r="P330" s="166" t="n">
        <x:f>IFERROR(L330/F330,0)</x:f>
        <x:v>7.275720164609053</x:v>
      </x:c>
      <x:c r="Q330" s="165" t="n">
        <x:f>IFERROR(G330/F330,0)</x:f>
        <x:v>0.07325102880658436</x:v>
      </x:c>
      <x:c r="R330" s="164" t="n">
        <x:f>IFERROR(L330/G330,0)</x:f>
        <x:v>99.32584269662921</x:v>
      </x:c>
      <x:c r="S330" s="167" t="n">
        <x:f>IFERROR(N330/L330,0)</x:f>
        <x:v>45.452488687782804</x:v>
      </x:c>
      <x:c r="T330" s="165" t="n">
        <x:f>IFERROR(K330/J330,0)</x:f>
        <x:v>0.3125</x:v>
      </x:c>
    </x:row>
    <x:row r="331">
      <x:c r="A331" s="161" t="n">
        <x:v>46143</x:v>
      </x:c>
      <x:c r="B331" s="162" t="str">
        <x:v>Google Search</x:v>
      </x:c>
      <x:c r="C331" s="162" t="str">
        <x:v>South</x:v>
      </x:c>
      <x:c r="D331" s="162" t="str">
        <x:v>Cartoning Machines</x:v>
      </x:c>
      <x:c r="E331" s="163" t="n">
        <x:v>26760</x:v>
      </x:c>
      <x:c r="F331" s="163" t="n">
        <x:v>1124</x:v>
      </x:c>
      <x:c r="G331" s="163" t="n">
        <x:v>84</x:v>
      </x:c>
      <x:c r="H331" s="163" t="n">
        <x:v>54</x:v>
      </x:c>
      <x:c r="I331" s="163" t="n">
        <x:v>32</x:v>
      </x:c>
      <x:c r="J331" s="163" t="n">
        <x:v>16</x:v>
      </x:c>
      <x:c r="K331" s="163" t="n">
        <x:v>5</x:v>
      </x:c>
      <x:c r="L331" s="164" t="n">
        <x:v>8178</x:v>
      </x:c>
      <x:c r="M331" s="164" t="n">
        <x:v>1860902</x:v>
      </x:c>
      <x:c r="N331" s="164" t="n">
        <x:v>676200</x:v>
      </x:c>
      <x:c r="O331" s="165" t="n">
        <x:f>IFERROR(F331/E331,0)</x:f>
        <x:v>0.04200298953662182</x:v>
      </x:c>
      <x:c r="P331" s="166" t="n">
        <x:f>IFERROR(L331/F331,0)</x:f>
        <x:v>7.275800711743773</x:v>
      </x:c>
      <x:c r="Q331" s="165" t="n">
        <x:f>IFERROR(G331/F331,0)</x:f>
        <x:v>0.07473309608540925</x:v>
      </x:c>
      <x:c r="R331" s="164" t="n">
        <x:f>IFERROR(L331/G331,0)</x:f>
        <x:v>97.35714285714286</x:v>
      </x:c>
      <x:c r="S331" s="167" t="n">
        <x:f>IFERROR(N331/L331,0)</x:f>
        <x:v>82.68525311812179</x:v>
      </x:c>
      <x:c r="T331" s="165" t="n">
        <x:f>IFERROR(K331/J331,0)</x:f>
        <x:v>0.3125</x:v>
      </x:c>
    </x:row>
    <x:row r="332">
      <x:c r="A332" s="161" t="n">
        <x:v>46143</x:v>
      </x:c>
      <x:c r="B332" s="162" t="str">
        <x:v>Google Search</x:v>
      </x:c>
      <x:c r="C332" s="162" t="str">
        <x:v>South</x:v>
      </x:c>
      <x:c r="D332" s="162" t="str">
        <x:v>Labeling Systems</x:v>
      </x:c>
      <x:c r="E332" s="163" t="n">
        <x:v>28800</x:v>
      </x:c>
      <x:c r="F332" s="163" t="n">
        <x:v>1256</x:v>
      </x:c>
      <x:c r="G332" s="163" t="n">
        <x:v>92</x:v>
      </x:c>
      <x:c r="H332" s="163" t="n">
        <x:v>62</x:v>
      </x:c>
      <x:c r="I332" s="163" t="n">
        <x:v>37</x:v>
      </x:c>
      <x:c r="J332" s="163" t="n">
        <x:v>20</x:v>
      </x:c>
      <x:c r="K332" s="163" t="n">
        <x:v>7</x:v>
      </x:c>
      <x:c r="L332" s="164" t="n">
        <x:v>9139</x:v>
      </x:c>
      <x:c r="M332" s="164" t="n">
        <x:v>809088</x:v>
      </x:c>
      <x:c r="N332" s="164" t="n">
        <x:v>329280</x:v>
      </x:c>
      <x:c r="O332" s="165" t="n">
        <x:f>IFERROR(F332/E332,0)</x:f>
        <x:v>0.043611111111111114</x:v>
      </x:c>
      <x:c r="P332" s="166" t="n">
        <x:f>IFERROR(L332/F332,0)</x:f>
        <x:v>7.276273885350318</x:v>
      </x:c>
      <x:c r="Q332" s="165" t="n">
        <x:f>IFERROR(G332/F332,0)</x:f>
        <x:v>0.0732484076433121</x:v>
      </x:c>
      <x:c r="R332" s="164" t="n">
        <x:f>IFERROR(L332/G332,0)</x:f>
        <x:v>99.33695652173913</x:v>
      </x:c>
      <x:c r="S332" s="167" t="n">
        <x:f>IFERROR(N332/L332,0)</x:f>
        <x:v>36.03020024072656</x:v>
      </x:c>
      <x:c r="T332" s="165" t="n">
        <x:f>IFERROR(K332/J332,0)</x:f>
        <x:v>0.35</x:v>
      </x:c>
    </x:row>
    <x:row r="333">
      <x:c r="A333" s="161" t="n">
        <x:v>46143</x:v>
      </x:c>
      <x:c r="B333" s="162" t="str">
        <x:v>Google Search</x:v>
      </x:c>
      <x:c r="C333" s="162" t="str">
        <x:v>South</x:v>
      </x:c>
      <x:c r="D333" s="162" t="str">
        <x:v>Case Packers</x:v>
      </x:c>
      <x:c r="E333" s="163" t="n">
        <x:v>28200</x:v>
      </x:c>
      <x:c r="F333" s="163" t="n">
        <x:v>1275</x:v>
      </x:c>
      <x:c r="G333" s="163" t="n">
        <x:v>96</x:v>
      </x:c>
      <x:c r="H333" s="163" t="n">
        <x:v>67</x:v>
      </x:c>
      <x:c r="I333" s="163" t="n">
        <x:v>40</x:v>
      </x:c>
      <x:c r="J333" s="163" t="n">
        <x:v>23</x:v>
      </x:c>
      <x:c r="K333" s="163" t="n">
        <x:v>8</x:v>
      </x:c>
      <x:c r="L333" s="164" t="n">
        <x:v>9277</x:v>
      </x:c>
      <x:c r="M333" s="164" t="n">
        <x:v>2171053</x:v>
      </x:c>
      <x:c r="N333" s="164" t="n">
        <x:v>878080</x:v>
      </x:c>
      <x:c r="O333" s="165" t="n">
        <x:f>IFERROR(F333/E333,0)</x:f>
        <x:v>0.04521276595744681</x:v>
      </x:c>
      <x:c r="P333" s="166" t="n">
        <x:f>IFERROR(L333/F333,0)</x:f>
        <x:v>7.276078431372549</x:v>
      </x:c>
      <x:c r="Q333" s="165" t="n">
        <x:f>IFERROR(G333/F333,0)</x:f>
        <x:v>0.07529411764705882</x:v>
      </x:c>
      <x:c r="R333" s="164" t="n">
        <x:f>IFERROR(L333/G333,0)</x:f>
        <x:v>96.63541666666667</x:v>
      </x:c>
      <x:c r="S333" s="167" t="n">
        <x:f>IFERROR(N333/L333,0)</x:f>
        <x:v>94.65128813193921</x:v>
      </x:c>
      <x:c r="T333" s="165" t="n">
        <x:f>IFERROR(K333/J333,0)</x:f>
        <x:v>0.34782608695652173</x:v>
      </x:c>
    </x:row>
    <x:row r="334">
      <x:c r="A334" s="161" t="n">
        <x:v>46143</x:v>
      </x:c>
      <x:c r="B334" s="162" t="str">
        <x:v>Google Search</x:v>
      </x:c>
      <x:c r="C334" s="162" t="str">
        <x:v>West</x:v>
      </x:c>
      <x:c r="D334" s="162" t="str">
        <x:v>Pouch Fillers</x:v>
      </x:c>
      <x:c r="E334" s="163" t="n">
        <x:v>28680</x:v>
      </x:c>
      <x:c r="F334" s="163" t="n">
        <x:v>1228</x:v>
      </x:c>
      <x:c r="G334" s="163" t="n">
        <x:v>90</x:v>
      </x:c>
      <x:c r="H334" s="163" t="n">
        <x:v>56</x:v>
      </x:c>
      <x:c r="I334" s="163" t="n">
        <x:v>34</x:v>
      </x:c>
      <x:c r="J334" s="163" t="n">
        <x:v>17</x:v>
      </x:c>
      <x:c r="K334" s="163" t="n">
        <x:v>6</x:v>
      </x:c>
      <x:c r="L334" s="164" t="n">
        <x:v>9060</x:v>
      </x:c>
      <x:c r="M334" s="164" t="n">
        <x:v>1204834</x:v>
      </x:c>
      <x:c r="N334" s="164" t="n">
        <x:v>494460</x:v>
      </x:c>
      <x:c r="O334" s="165" t="n">
        <x:f>IFERROR(F334/E334,0)</x:f>
        <x:v>0.04281729428172943</x:v>
      </x:c>
      <x:c r="P334" s="166" t="n">
        <x:f>IFERROR(L334/F334,0)</x:f>
        <x:v>7.37785016286645</x:v>
      </x:c>
      <x:c r="Q334" s="165" t="n">
        <x:f>IFERROR(G334/F334,0)</x:f>
        <x:v>0.0732899022801303</x:v>
      </x:c>
      <x:c r="R334" s="164" t="n">
        <x:f>IFERROR(L334/G334,0)</x:f>
        <x:v>100.66666666666667</x:v>
      </x:c>
      <x:c r="S334" s="167" t="n">
        <x:f>IFERROR(N334/L334,0)</x:f>
        <x:v>54.57615894039735</x:v>
      </x:c>
      <x:c r="T334" s="165" t="n">
        <x:f>IFERROR(K334/J334,0)</x:f>
        <x:v>0.35294117647058826</x:v>
      </x:c>
    </x:row>
    <x:row r="335">
      <x:c r="A335" s="161" t="n">
        <x:v>46143</x:v>
      </x:c>
      <x:c r="B335" s="162" t="str">
        <x:v>Google Search</x:v>
      </x:c>
      <x:c r="C335" s="162" t="str">
        <x:v>West</x:v>
      </x:c>
      <x:c r="D335" s="162" t="str">
        <x:v>Cartoning Machines</x:v>
      </x:c>
      <x:c r="E335" s="163" t="n">
        <x:v>28080</x:v>
      </x:c>
      <x:c r="F335" s="163" t="n">
        <x:v>1247</x:v>
      </x:c>
      <x:c r="G335" s="163" t="n">
        <x:v>94</x:v>
      </x:c>
      <x:c r="H335" s="163" t="n">
        <x:v>61</x:v>
      </x:c>
      <x:c r="I335" s="163" t="n">
        <x:v>37</x:v>
      </x:c>
      <x:c r="J335" s="163" t="n">
        <x:v>19</x:v>
      </x:c>
      <x:c r="K335" s="163" t="n">
        <x:v>7</x:v>
      </x:c>
      <x:c r="L335" s="164" t="n">
        <x:v>9200</x:v>
      </x:c>
      <x:c r="M335" s="164" t="n">
        <x:v>2266195</x:v>
      </x:c>
      <x:c r="N335" s="164" t="n">
        <x:v>970830</x:v>
      </x:c>
      <x:c r="O335" s="165" t="n">
        <x:f>IFERROR(F335/E335,0)</x:f>
        <x:v>0.04440883190883191</x:v>
      </x:c>
      <x:c r="P335" s="166" t="n">
        <x:f>IFERROR(L335/F335,0)</x:f>
        <x:v>7.377706495589415</x:v>
      </x:c>
      <x:c r="Q335" s="165" t="n">
        <x:f>IFERROR(G335/F335,0)</x:f>
        <x:v>0.07538091419406576</x:v>
      </x:c>
      <x:c r="R335" s="164" t="n">
        <x:f>IFERROR(L335/G335,0)</x:f>
        <x:v>97.87234042553192</x:v>
      </x:c>
      <x:c r="S335" s="167" t="n">
        <x:f>IFERROR(N335/L335,0)</x:f>
        <x:v>105.525</x:v>
      </x:c>
      <x:c r="T335" s="165" t="n">
        <x:f>IFERROR(K335/J335,0)</x:f>
        <x:v>0.3684210526315789</x:v>
      </x:c>
    </x:row>
    <x:row r="336">
      <x:c r="A336" s="161" t="n">
        <x:v>46143</x:v>
      </x:c>
      <x:c r="B336" s="162" t="str">
        <x:v>Google Search</x:v>
      </x:c>
      <x:c r="C336" s="162" t="str">
        <x:v>West</x:v>
      </x:c>
      <x:c r="D336" s="162" t="str">
        <x:v>Labeling Systems</x:v>
      </x:c>
      <x:c r="E336" s="163" t="n">
        <x:v>30120</x:v>
      </x:c>
      <x:c r="F336" s="163" t="n">
        <x:v>1265</x:v>
      </x:c>
      <x:c r="G336" s="163" t="n">
        <x:v>92</x:v>
      </x:c>
      <x:c r="H336" s="163" t="n">
        <x:v>62</x:v>
      </x:c>
      <x:c r="I336" s="163" t="n">
        <x:v>38</x:v>
      </x:c>
      <x:c r="J336" s="163" t="n">
        <x:v>21</x:v>
      </x:c>
      <x:c r="K336" s="163" t="n">
        <x:v>7</x:v>
      </x:c>
      <x:c r="L336" s="164" t="n">
        <x:v>9333</x:v>
      </x:c>
      <x:c r="M336" s="164" t="n">
        <x:v>871214</x:v>
      </x:c>
      <x:c r="N336" s="164" t="n">
        <x:v>337680</x:v>
      </x:c>
      <x:c r="O336" s="165" t="n">
        <x:f>IFERROR(F336/E336,0)</x:f>
        <x:v>0.04199867197875166</x:v>
      </x:c>
      <x:c r="P336" s="166" t="n">
        <x:f>IFERROR(L336/F336,0)</x:f>
        <x:v>7.377865612648221</x:v>
      </x:c>
      <x:c r="Q336" s="165" t="n">
        <x:f>IFERROR(G336/F336,0)</x:f>
        <x:v>0.07272727272727272</x:v>
      </x:c>
      <x:c r="R336" s="164" t="n">
        <x:f>IFERROR(L336/G336,0)</x:f>
        <x:v>101.44565217391305</x:v>
      </x:c>
      <x:c r="S336" s="167" t="n">
        <x:f>IFERROR(N336/L336,0)</x:f>
        <x:v>36.18129218900675</x:v>
      </x:c>
      <x:c r="T336" s="165" t="n">
        <x:f>IFERROR(K336/J336,0)</x:f>
        <x:v>0.3333333333333333</x:v>
      </x:c>
    </x:row>
    <x:row r="337">
      <x:c r="A337" s="161" t="n">
        <x:v>46143</x:v>
      </x:c>
      <x:c r="B337" s="162" t="str">
        <x:v>Google Search</x:v>
      </x:c>
      <x:c r="C337" s="162" t="str">
        <x:v>West</x:v>
      </x:c>
      <x:c r="D337" s="162" t="str">
        <x:v>Case Packers</x:v>
      </x:c>
      <x:c r="E337" s="163" t="n">
        <x:v>29520</x:v>
      </x:c>
      <x:c r="F337" s="163" t="n">
        <x:v>1287</x:v>
      </x:c>
      <x:c r="G337" s="163" t="n">
        <x:v>97</x:v>
      </x:c>
      <x:c r="H337" s="163" t="n">
        <x:v>67</x:v>
      </x:c>
      <x:c r="I337" s="163" t="n">
        <x:v>41</x:v>
      </x:c>
      <x:c r="J337" s="163" t="n">
        <x:v>23</x:v>
      </x:c>
      <x:c r="K337" s="163" t="n">
        <x:v>8</x:v>
      </x:c>
      <x:c r="L337" s="164" t="n">
        <x:v>9495</x:v>
      </x:c>
      <x:c r="M337" s="164" t="n">
        <x:v>2226437</x:v>
      </x:c>
      <x:c r="N337" s="164" t="n">
        <x:v>900480</x:v>
      </x:c>
      <x:c r="O337" s="165" t="n">
        <x:f>IFERROR(F337/E337,0)</x:f>
        <x:v>0.04359756097560975</x:v>
      </x:c>
      <x:c r="P337" s="166" t="n">
        <x:f>IFERROR(L337/F337,0)</x:f>
        <x:v>7.3776223776223775</x:v>
      </x:c>
      <x:c r="Q337" s="165" t="n">
        <x:f>IFERROR(G337/F337,0)</x:f>
        <x:v>0.07536907536907538</x:v>
      </x:c>
      <x:c r="R337" s="164" t="n">
        <x:f>IFERROR(L337/G337,0)</x:f>
        <x:v>97.88659793814433</x:v>
      </x:c>
      <x:c r="S337" s="167" t="n">
        <x:f>IFERROR(N337/L337,0)</x:f>
        <x:v>94.83728278041075</x:v>
      </x:c>
      <x:c r="T337" s="165" t="n">
        <x:f>IFERROR(K337/J337,0)</x:f>
        <x:v>0.34782608695652173</x:v>
      </x:c>
    </x:row>
    <x:row r="338">
      <x:c r="A338" s="161" t="n">
        <x:v>46143</x:v>
      </x:c>
      <x:c r="B338" s="162" t="str">
        <x:v>LinkedIn</x:v>
      </x:c>
      <x:c r="C338" s="162" t="str">
        <x:v>Northeast</x:v>
      </x:c>
      <x:c r="D338" s="162" t="str">
        <x:v>Pouch Fillers</x:v>
      </x:c>
      <x:c r="E338" s="163" t="n">
        <x:v>16650</x:v>
      </x:c>
      <x:c r="F338" s="163" t="n">
        <x:v>453</x:v>
      </x:c>
      <x:c r="G338" s="163" t="n">
        <x:v>41</x:v>
      </x:c>
      <x:c r="H338" s="163" t="n">
        <x:v>25</x:v>
      </x:c>
      <x:c r="I338" s="163" t="n">
        <x:v>14</x:v>
      </x:c>
      <x:c r="J338" s="163" t="n">
        <x:v>7</x:v>
      </x:c>
      <x:c r="K338" s="163" t="n">
        <x:v>2</x:v>
      </x:c>
      <x:c r="L338" s="164" t="n">
        <x:v>4523</x:v>
      </x:c>
      <x:c r="M338" s="164" t="n">
        <x:v>459085</x:v>
      </x:c>
      <x:c r="N338" s="164" t="n">
        <x:v>152520</x:v>
      </x:c>
      <x:c r="O338" s="165" t="n">
        <x:f>IFERROR(F338/E338,0)</x:f>
        <x:v>0.027207207207207207</x:v>
      </x:c>
      <x:c r="P338" s="166" t="n">
        <x:f>IFERROR(L338/F338,0)</x:f>
        <x:v>9.984547461368653</x:v>
      </x:c>
      <x:c r="Q338" s="165" t="n">
        <x:f>IFERROR(G338/F338,0)</x:f>
        <x:v>0.09050772626931568</x:v>
      </x:c>
      <x:c r="R338" s="164" t="n">
        <x:f>IFERROR(L338/G338,0)</x:f>
        <x:v>110.3170731707317</x:v>
      </x:c>
      <x:c r="S338" s="167" t="n">
        <x:f>IFERROR(N338/L338,0)</x:f>
        <x:v>33.72098164934778</x:v>
      </x:c>
      <x:c r="T338" s="165" t="n">
        <x:f>IFERROR(K338/J338,0)</x:f>
        <x:v>0.2857142857142857</x:v>
      </x:c>
    </x:row>
    <x:row r="339">
      <x:c r="A339" s="161" t="n">
        <x:v>46143</x:v>
      </x:c>
      <x:c r="B339" s="162" t="str">
        <x:v>LinkedIn</x:v>
      </x:c>
      <x:c r="C339" s="162" t="str">
        <x:v>Northeast</x:v>
      </x:c>
      <x:c r="D339" s="162" t="str">
        <x:v>Cartoning Machines</x:v>
      </x:c>
      <x:c r="E339" s="163" t="n">
        <x:v>16275</x:v>
      </x:c>
      <x:c r="F339" s="163" t="n">
        <x:v>404</x:v>
      </x:c>
      <x:c r="G339" s="163" t="n">
        <x:v>37</x:v>
      </x:c>
      <x:c r="H339" s="163" t="n">
        <x:v>24</x:v>
      </x:c>
      <x:c r="I339" s="163" t="n">
        <x:v>13</x:v>
      </x:c>
      <x:c r="J339" s="163" t="n">
        <x:v>7</x:v>
      </x:c>
      <x:c r="K339" s="163" t="n">
        <x:v>2</x:v>
      </x:c>
      <x:c r="L339" s="164" t="n">
        <x:v>4034</x:v>
      </x:c>
      <x:c r="M339" s="164" t="n">
        <x:v>772607</x:v>
      </x:c>
      <x:c r="N339" s="164" t="n">
        <x:v>256680</x:v>
      </x:c>
      <x:c r="O339" s="165" t="n">
        <x:f>IFERROR(F339/E339,0)</x:f>
        <x:v>0.024823348694316436</x:v>
      </x:c>
      <x:c r="P339" s="166" t="n">
        <x:f>IFERROR(L339/F339,0)</x:f>
        <x:v>9.985148514851485</x:v>
      </x:c>
      <x:c r="Q339" s="165" t="n">
        <x:f>IFERROR(G339/F339,0)</x:f>
        <x:v>0.09158415841584158</x:v>
      </x:c>
      <x:c r="R339" s="164" t="n">
        <x:f>IFERROR(L339/G339,0)</x:f>
        <x:v>109.02702702702703</x:v>
      </x:c>
      <x:c r="S339" s="167" t="n">
        <x:f>IFERROR(N339/L339,0)</x:f>
        <x:v>63.6291522062469</x:v>
      </x:c>
      <x:c r="T339" s="165" t="n">
        <x:f>IFERROR(K339/J339,0)</x:f>
        <x:v>0.2857142857142857</x:v>
      </x:c>
    </x:row>
    <x:row r="340">
      <x:c r="A340" s="161" t="n">
        <x:v>46143</x:v>
      </x:c>
      <x:c r="B340" s="162" t="str">
        <x:v>LinkedIn</x:v>
      </x:c>
      <x:c r="C340" s="162" t="str">
        <x:v>Northeast</x:v>
      </x:c>
      <x:c r="D340" s="162" t="str">
        <x:v>Labeling Systems</x:v>
      </x:c>
      <x:c r="E340" s="163" t="n">
        <x:v>17550</x:v>
      </x:c>
      <x:c r="F340" s="163" t="n">
        <x:v>463</x:v>
      </x:c>
      <x:c r="G340" s="163" t="n">
        <x:v>42</x:v>
      </x:c>
      <x:c r="H340" s="163" t="n">
        <x:v>28</x:v>
      </x:c>
      <x:c r="I340" s="163" t="n">
        <x:v>15</x:v>
      </x:c>
      <x:c r="J340" s="163" t="n">
        <x:v>8</x:v>
      </x:c>
      <x:c r="K340" s="163" t="n">
        <x:v>2</x:v>
      </x:c>
      <x:c r="L340" s="164" t="n">
        <x:v>4623</x:v>
      </x:c>
      <x:c r="M340" s="164" t="n">
        <x:v>307123</x:v>
      </x:c>
      <x:c r="N340" s="164" t="n">
        <x:v>89280</x:v>
      </x:c>
      <x:c r="O340" s="165" t="n">
        <x:f>IFERROR(F340/E340,0)</x:f>
        <x:v>0.026381766381766383</x:v>
      </x:c>
      <x:c r="P340" s="166" t="n">
        <x:f>IFERROR(L340/F340,0)</x:f>
        <x:v>9.98488120950324</x:v>
      </x:c>
      <x:c r="Q340" s="165" t="n">
        <x:f>IFERROR(G340/F340,0)</x:f>
        <x:v>0.09071274298056156</x:v>
      </x:c>
      <x:c r="R340" s="164" t="n">
        <x:f>IFERROR(L340/G340,0)</x:f>
        <x:v>110.07142857142857</x:v>
      </x:c>
      <x:c r="S340" s="167" t="n">
        <x:f>IFERROR(N340/L340,0)</x:f>
        <x:v>19.312134977287474</x:v>
      </x:c>
      <x:c r="T340" s="165" t="n">
        <x:f>IFERROR(K340/J340,0)</x:f>
        <x:v>0.25</x:v>
      </x:c>
    </x:row>
    <x:row r="341">
      <x:c r="A341" s="161" t="n">
        <x:v>46143</x:v>
      </x:c>
      <x:c r="B341" s="162" t="str">
        <x:v>LinkedIn</x:v>
      </x:c>
      <x:c r="C341" s="162" t="str">
        <x:v>Northeast</x:v>
      </x:c>
      <x:c r="D341" s="162" t="str">
        <x:v>Case Packers</x:v>
      </x:c>
      <x:c r="E341" s="163" t="n">
        <x:v>17175</x:v>
      </x:c>
      <x:c r="F341" s="163" t="n">
        <x:v>412</x:v>
      </x:c>
      <x:c r="G341" s="163" t="n">
        <x:v>38</x:v>
      </x:c>
      <x:c r="H341" s="163" t="n">
        <x:v>26</x:v>
      </x:c>
      <x:c r="I341" s="163" t="n">
        <x:v>14</x:v>
      </x:c>
      <x:c r="J341" s="163" t="n">
        <x:v>8</x:v>
      </x:c>
      <x:c r="K341" s="163" t="n">
        <x:v>2</x:v>
      </x:c>
      <x:c r="L341" s="164" t="n">
        <x:v>4113</x:v>
      </x:c>
      <x:c r="M341" s="164" t="n">
        <x:v>716621</x:v>
      </x:c>
      <x:c r="N341" s="164" t="n">
        <x:v>208320</x:v>
      </x:c>
      <x:c r="O341" s="165" t="n">
        <x:f>IFERROR(F341/E341,0)</x:f>
        <x:v>0.02398835516739447</x:v>
      </x:c>
      <x:c r="P341" s="166" t="n">
        <x:f>IFERROR(L341/F341,0)</x:f>
        <x:v>9.983009708737864</x:v>
      </x:c>
      <x:c r="Q341" s="165" t="n">
        <x:f>IFERROR(G341/F341,0)</x:f>
        <x:v>0.09223300970873786</x:v>
      </x:c>
      <x:c r="R341" s="164" t="n">
        <x:f>IFERROR(L341/G341,0)</x:f>
        <x:v>108.23684210526316</x:v>
      </x:c>
      <x:c r="S341" s="167" t="n">
        <x:f>IFERROR(N341/L341,0)</x:f>
        <x:v>50.649161196207146</x:v>
      </x:c>
      <x:c r="T341" s="165" t="n">
        <x:f>IFERROR(K341/J341,0)</x:f>
        <x:v>0.25</x:v>
      </x:c>
    </x:row>
    <x:row r="342">
      <x:c r="A342" s="161" t="n">
        <x:v>46143</x:v>
      </x:c>
      <x:c r="B342" s="162" t="str">
        <x:v>LinkedIn</x:v>
      </x:c>
      <x:c r="C342" s="162" t="str">
        <x:v>Midwest</x:v>
      </x:c>
      <x:c r="D342" s="162" t="str">
        <x:v>Pouch Fillers</x:v>
      </x:c>
      <x:c r="E342" s="163" t="n">
        <x:v>15825</x:v>
      </x:c>
      <x:c r="F342" s="163" t="n">
        <x:v>405</x:v>
      </x:c>
      <x:c r="G342" s="163" t="n">
        <x:v>36</x:v>
      </x:c>
      <x:c r="H342" s="163" t="n">
        <x:v>22</x:v>
      </x:c>
      <x:c r="I342" s="163" t="n">
        <x:v>13</x:v>
      </x:c>
      <x:c r="J342" s="163" t="n">
        <x:v>6</x:v>
      </x:c>
      <x:c r="K342" s="163" t="n">
        <x:v>2</x:v>
      </x:c>
      <x:c r="L342" s="164" t="n">
        <x:v>4102</x:v>
      </x:c>
      <x:c r="M342" s="164" t="n">
        <x:v>404080</x:v>
      </x:c>
      <x:c r="N342" s="164" t="n">
        <x:v>156620</x:v>
      </x:c>
      <x:c r="O342" s="165" t="n">
        <x:f>IFERROR(F342/E342,0)</x:f>
        <x:v>0.025592417061611375</x:v>
      </x:c>
      <x:c r="P342" s="166" t="n">
        <x:f>IFERROR(L342/F342,0)</x:f>
        <x:v>10.128395061728394</x:v>
      </x:c>
      <x:c r="Q342" s="165" t="n">
        <x:f>IFERROR(G342/F342,0)</x:f>
        <x:v>0.08888888888888889</x:v>
      </x:c>
      <x:c r="R342" s="164" t="n">
        <x:f>IFERROR(L342/G342,0)</x:f>
        <x:v>113.94444444444444</x:v>
      </x:c>
      <x:c r="S342" s="167" t="n">
        <x:f>IFERROR(N342/L342,0)</x:f>
        <x:v>38.18137493905412</x:v>
      </x:c>
      <x:c r="T342" s="165" t="n">
        <x:f>IFERROR(K342/J342,0)</x:f>
        <x:v>0.3333333333333333</x:v>
      </x:c>
    </x:row>
    <x:row r="343">
      <x:c r="A343" s="161" t="n">
        <x:v>46143</x:v>
      </x:c>
      <x:c r="B343" s="162" t="str">
        <x:v>LinkedIn</x:v>
      </x:c>
      <x:c r="C343" s="162" t="str">
        <x:v>Midwest</x:v>
      </x:c>
      <x:c r="D343" s="162" t="str">
        <x:v>Cartoning Machines</x:v>
      </x:c>
      <x:c r="E343" s="163" t="n">
        <x:v>17100</x:v>
      </x:c>
      <x:c r="F343" s="163" t="n">
        <x:v>465</x:v>
      </x:c>
      <x:c r="G343" s="163" t="n">
        <x:v>43</x:v>
      </x:c>
      <x:c r="H343" s="163" t="n">
        <x:v>28</x:v>
      </x:c>
      <x:c r="I343" s="163" t="n">
        <x:v>16</x:v>
      </x:c>
      <x:c r="J343" s="163" t="n">
        <x:v>8</x:v>
      </x:c>
      <x:c r="K343" s="163" t="n">
        <x:v>3</x:v>
      </x:c>
      <x:c r="L343" s="164" t="n">
        <x:v>4710</x:v>
      </x:c>
      <x:c r="M343" s="164" t="n">
        <x:v>906715</x:v>
      </x:c>
      <x:c r="N343" s="164" t="n">
        <x:v>395370</x:v>
      </x:c>
      <x:c r="O343" s="165" t="n">
        <x:f>IFERROR(F343/E343,0)</x:f>
        <x:v>0.027192982456140352</x:v>
      </x:c>
      <x:c r="P343" s="166" t="n">
        <x:f>IFERROR(L343/F343,0)</x:f>
        <x:v>10.129032258064516</x:v>
      </x:c>
      <x:c r="Q343" s="165" t="n">
        <x:f>IFERROR(G343/F343,0)</x:f>
        <x:v>0.09247311827956989</x:v>
      </x:c>
      <x:c r="R343" s="164" t="n">
        <x:f>IFERROR(L343/G343,0)</x:f>
        <x:v>109.53488372093024</x:v>
      </x:c>
      <x:c r="S343" s="167" t="n">
        <x:f>IFERROR(N343/L343,0)</x:f>
        <x:v>83.94267515923566</x:v>
      </x:c>
      <x:c r="T343" s="165" t="n">
        <x:f>IFERROR(K343/J343,0)</x:f>
        <x:v>0.375</x:v>
      </x:c>
    </x:row>
    <x:row r="344">
      <x:c r="A344" s="161" t="n">
        <x:v>46143</x:v>
      </x:c>
      <x:c r="B344" s="162" t="str">
        <x:v>LinkedIn</x:v>
      </x:c>
      <x:c r="C344" s="162" t="str">
        <x:v>Midwest</x:v>
      </x:c>
      <x:c r="D344" s="162" t="str">
        <x:v>Labeling Systems</x:v>
      </x:c>
      <x:c r="E344" s="163" t="n">
        <x:v>16725</x:v>
      </x:c>
      <x:c r="F344" s="163" t="n">
        <x:v>415</x:v>
      </x:c>
      <x:c r="G344" s="163" t="n">
        <x:v>37</x:v>
      </x:c>
      <x:c r="H344" s="163" t="n">
        <x:v>25</x:v>
      </x:c>
      <x:c r="I344" s="163" t="n">
        <x:v>14</x:v>
      </x:c>
      <x:c r="J344" s="163" t="n">
        <x:v>8</x:v>
      </x:c>
      <x:c r="K344" s="163" t="n">
        <x:v>3</x:v>
      </x:c>
      <x:c r="L344" s="164" t="n">
        <x:v>4203</x:v>
      </x:c>
      <x:c r="M344" s="164" t="n">
        <x:v>315379</x:v>
      </x:c>
      <x:c r="N344" s="164" t="n">
        <x:v>137520</x:v>
      </x:c>
      <x:c r="O344" s="165" t="n">
        <x:f>IFERROR(F344/E344,0)</x:f>
        <x:v>0.024813153961136022</x:v>
      </x:c>
      <x:c r="P344" s="166" t="n">
        <x:f>IFERROR(L344/F344,0)</x:f>
        <x:v>10.127710843373494</x:v>
      </x:c>
      <x:c r="Q344" s="165" t="n">
        <x:f>IFERROR(G344/F344,0)</x:f>
        <x:v>0.0891566265060241</x:v>
      </x:c>
      <x:c r="R344" s="164" t="n">
        <x:f>IFERROR(L344/G344,0)</x:f>
        <x:v>113.5945945945946</x:v>
      </x:c>
      <x:c r="S344" s="167" t="n">
        <x:f>IFERROR(N344/L344,0)</x:f>
        <x:v>32.71948608137045</x:v>
      </x:c>
      <x:c r="T344" s="165" t="n">
        <x:f>IFERROR(K344/J344,0)</x:f>
        <x:v>0.375</x:v>
      </x:c>
    </x:row>
    <x:row r="345">
      <x:c r="A345" s="161" t="n">
        <x:v>46143</x:v>
      </x:c>
      <x:c r="B345" s="162" t="str">
        <x:v>LinkedIn</x:v>
      </x:c>
      <x:c r="C345" s="162" t="str">
        <x:v>Midwest</x:v>
      </x:c>
      <x:c r="D345" s="162" t="str">
        <x:v>Case Packers</x:v>
      </x:c>
      <x:c r="E345" s="163" t="n">
        <x:v>18000</x:v>
      </x:c>
      <x:c r="F345" s="163" t="n">
        <x:v>475</x:v>
      </x:c>
      <x:c r="G345" s="163" t="n">
        <x:v>44</x:v>
      </x:c>
      <x:c r="H345" s="163" t="n">
        <x:v>31</x:v>
      </x:c>
      <x:c r="I345" s="163" t="n">
        <x:v>18</x:v>
      </x:c>
      <x:c r="J345" s="163" t="n">
        <x:v>10</x:v>
      </x:c>
      <x:c r="K345" s="163" t="n">
        <x:v>3</x:v>
      </x:c>
      <x:c r="L345" s="164" t="n">
        <x:v>4811</x:v>
      </x:c>
      <x:c r="M345" s="164" t="n">
        <x:v>919856</x:v>
      </x:c>
      <x:c r="N345" s="164" t="n">
        <x:v>320880</x:v>
      </x:c>
      <x:c r="O345" s="165" t="n">
        <x:f>IFERROR(F345/E345,0)</x:f>
        <x:v>0.02638888888888889</x:v>
      </x:c>
      <x:c r="P345" s="166" t="n">
        <x:f>IFERROR(L345/F345,0)</x:f>
        <x:v>10.128421052631579</x:v>
      </x:c>
      <x:c r="Q345" s="165" t="n">
        <x:f>IFERROR(G345/F345,0)</x:f>
        <x:v>0.09263157894736843</x:v>
      </x:c>
      <x:c r="R345" s="164" t="n">
        <x:f>IFERROR(L345/G345,0)</x:f>
        <x:v>109.3409090909091</x:v>
      </x:c>
      <x:c r="S345" s="167" t="n">
        <x:f>IFERROR(N345/L345,0)</x:f>
        <x:v>66.69715235917688</x:v>
      </x:c>
      <x:c r="T345" s="165" t="n">
        <x:f>IFERROR(K345/J345,0)</x:f>
        <x:v>0.3</x:v>
      </x:c>
    </x:row>
    <x:row r="346">
      <x:c r="A346" s="161" t="n">
        <x:v>46143</x:v>
      </x:c>
      <x:c r="B346" s="162" t="str">
        <x:v>LinkedIn</x:v>
      </x:c>
      <x:c r="C346" s="162" t="str">
        <x:v>South</x:v>
      </x:c>
      <x:c r="D346" s="162" t="str">
        <x:v>Pouch Fillers</x:v>
      </x:c>
      <x:c r="E346" s="163" t="n">
        <x:v>16650</x:v>
      </x:c>
      <x:c r="F346" s="163" t="n">
        <x:v>400</x:v>
      </x:c>
      <x:c r="G346" s="163" t="n">
        <x:v>36</x:v>
      </x:c>
      <x:c r="H346" s="163" t="n">
        <x:v>22</x:v>
      </x:c>
      <x:c r="I346" s="163" t="n">
        <x:v>13</x:v>
      </x:c>
      <x:c r="J346" s="163" t="n">
        <x:v>6</x:v>
      </x:c>
      <x:c r="K346" s="163" t="n">
        <x:v>2</x:v>
      </x:c>
      <x:c r="L346" s="164" t="n">
        <x:v>4109</x:v>
      </x:c>
      <x:c r="M346" s="164" t="n">
        <x:v>414658</x:v>
      </x:c>
      <x:c r="N346" s="164" t="n">
        <x:v>160720</x:v>
      </x:c>
      <x:c r="O346" s="165" t="n">
        <x:f>IFERROR(F346/E346,0)</x:f>
        <x:v>0.024024024024024024</x:v>
      </x:c>
      <x:c r="P346" s="166" t="n">
        <x:f>IFERROR(L346/F346,0)</x:f>
        <x:v>10.2725</x:v>
      </x:c>
      <x:c r="Q346" s="165" t="n">
        <x:f>IFERROR(G346/F346,0)</x:f>
        <x:v>0.09</x:v>
      </x:c>
      <x:c r="R346" s="164" t="n">
        <x:f>IFERROR(L346/G346,0)</x:f>
        <x:v>114.13888888888889</x:v>
      </x:c>
      <x:c r="S346" s="167" t="n">
        <x:f>IFERROR(N346/L346,0)</x:f>
        <x:v>39.114139693356044</x:v>
      </x:c>
      <x:c r="T346" s="165" t="n">
        <x:f>IFERROR(K346/J346,0)</x:f>
        <x:v>0.3333333333333333</x:v>
      </x:c>
    </x:row>
    <x:row r="347">
      <x:c r="A347" s="161" t="n">
        <x:v>46143</x:v>
      </x:c>
      <x:c r="B347" s="162" t="str">
        <x:v>LinkedIn</x:v>
      </x:c>
      <x:c r="C347" s="162" t="str">
        <x:v>South</x:v>
      </x:c>
      <x:c r="D347" s="162" t="str">
        <x:v>Cartoning Machines</x:v>
      </x:c>
      <x:c r="E347" s="163" t="n">
        <x:v>17925</x:v>
      </x:c>
      <x:c r="F347" s="163" t="n">
        <x:v>459</x:v>
      </x:c>
      <x:c r="G347" s="163" t="n">
        <x:v>42</x:v>
      </x:c>
      <x:c r="H347" s="163" t="n">
        <x:v>27</x:v>
      </x:c>
      <x:c r="I347" s="163" t="n">
        <x:v>16</x:v>
      </x:c>
      <x:c r="J347" s="163" t="n">
        <x:v>8</x:v>
      </x:c>
      <x:c r="K347" s="163" t="n">
        <x:v>3</x:v>
      </x:c>
      <x:c r="L347" s="164" t="n">
        <x:v>4715</x:v>
      </x:c>
      <x:c r="M347" s="164" t="n">
        <x:v>930451</x:v>
      </x:c>
      <x:c r="N347" s="164" t="n">
        <x:v>405720</x:v>
      </x:c>
      <x:c r="O347" s="165" t="n">
        <x:f>IFERROR(F347/E347,0)</x:f>
        <x:v>0.025606694560669455</x:v>
      </x:c>
      <x:c r="P347" s="166" t="n">
        <x:f>IFERROR(L347/F347,0)</x:f>
        <x:v>10.272331154684096</x:v>
      </x:c>
      <x:c r="Q347" s="165" t="n">
        <x:f>IFERROR(G347/F347,0)</x:f>
        <x:v>0.0915032679738562</x:v>
      </x:c>
      <x:c r="R347" s="164" t="n">
        <x:f>IFERROR(L347/G347,0)</x:f>
        <x:v>112.26190476190476</x:v>
      </x:c>
      <x:c r="S347" s="167" t="n">
        <x:f>IFERROR(N347/L347,0)</x:f>
        <x:v>86.04878048780488</x:v>
      </x:c>
      <x:c r="T347" s="165" t="n">
        <x:f>IFERROR(K347/J347,0)</x:f>
        <x:v>0.375</x:v>
      </x:c>
    </x:row>
    <x:row r="348">
      <x:c r="A348" s="161" t="n">
        <x:v>46143</x:v>
      </x:c>
      <x:c r="B348" s="162" t="str">
        <x:v>LinkedIn</x:v>
      </x:c>
      <x:c r="C348" s="162" t="str">
        <x:v>South</x:v>
      </x:c>
      <x:c r="D348" s="162" t="str">
        <x:v>Labeling Systems</x:v>
      </x:c>
      <x:c r="E348" s="163" t="n">
        <x:v>17550</x:v>
      </x:c>
      <x:c r="F348" s="163" t="n">
        <x:v>477</x:v>
      </x:c>
      <x:c r="G348" s="163" t="n">
        <x:v>43</x:v>
      </x:c>
      <x:c r="H348" s="163" t="n">
        <x:v>29</x:v>
      </x:c>
      <x:c r="I348" s="163" t="n">
        <x:v>17</x:v>
      </x:c>
      <x:c r="J348" s="163" t="n">
        <x:v>9</x:v>
      </x:c>
      <x:c r="K348" s="163" t="n">
        <x:v>3</x:v>
      </x:c>
      <x:c r="L348" s="164" t="n">
        <x:v>4900</x:v>
      </x:c>
      <x:c r="M348" s="164" t="n">
        <x:v>364090</x:v>
      </x:c>
      <x:c r="N348" s="164" t="n">
        <x:v>141120</x:v>
      </x:c>
      <x:c r="O348" s="165" t="n">
        <x:f>IFERROR(F348/E348,0)</x:f>
        <x:v>0.02717948717948718</x:v>
      </x:c>
      <x:c r="P348" s="166" t="n">
        <x:f>IFERROR(L348/F348,0)</x:f>
        <x:v>10.272536687631026</x:v>
      </x:c>
      <x:c r="Q348" s="165" t="n">
        <x:f>IFERROR(G348/F348,0)</x:f>
        <x:v>0.09014675052410902</x:v>
      </x:c>
      <x:c r="R348" s="164" t="n">
        <x:f>IFERROR(L348/G348,0)</x:f>
        <x:v>113.95348837209302</x:v>
      </x:c>
      <x:c r="S348" s="167" t="n">
        <x:f>IFERROR(N348/L348,0)</x:f>
        <x:v>28.8</x:v>
      </x:c>
      <x:c r="T348" s="165" t="n">
        <x:f>IFERROR(K348/J348,0)</x:f>
        <x:v>0.3333333333333333</x:v>
      </x:c>
    </x:row>
    <x:row r="349">
      <x:c r="A349" s="161" t="n">
        <x:v>46143</x:v>
      </x:c>
      <x:c r="B349" s="162" t="str">
        <x:v>LinkedIn</x:v>
      </x:c>
      <x:c r="C349" s="162" t="str">
        <x:v>South</x:v>
      </x:c>
      <x:c r="D349" s="162" t="str">
        <x:v>Case Packers</x:v>
      </x:c>
      <x:c r="E349" s="163" t="n">
        <x:v>18825</x:v>
      </x:c>
      <x:c r="F349" s="163" t="n">
        <x:v>467</x:v>
      </x:c>
      <x:c r="G349" s="163" t="n">
        <x:v>43</x:v>
      </x:c>
      <x:c r="H349" s="163" t="n">
        <x:v>30</x:v>
      </x:c>
      <x:c r="I349" s="163" t="n">
        <x:v>18</x:v>
      </x:c>
      <x:c r="J349" s="163" t="n">
        <x:v>10</x:v>
      </x:c>
      <x:c r="K349" s="163" t="n">
        <x:v>3</x:v>
      </x:c>
      <x:c r="L349" s="164" t="n">
        <x:v>4797</x:v>
      </x:c>
      <x:c r="M349" s="164" t="n">
        <x:v>943936</x:v>
      </x:c>
      <x:c r="N349" s="164" t="n">
        <x:v>329280</x:v>
      </x:c>
      <x:c r="O349" s="165" t="n">
        <x:f>IFERROR(F349/E349,0)</x:f>
        <x:v>0.024807436918990705</x:v>
      </x:c>
      <x:c r="P349" s="166" t="n">
        <x:f>IFERROR(L349/F349,0)</x:f>
        <x:v>10.271948608137045</x:v>
      </x:c>
      <x:c r="Q349" s="165" t="n">
        <x:f>IFERROR(G349/F349,0)</x:f>
        <x:v>0.09207708779443255</x:v>
      </x:c>
      <x:c r="R349" s="164" t="n">
        <x:f>IFERROR(L349/G349,0)</x:f>
        <x:v>111.55813953488372</x:v>
      </x:c>
      <x:c r="S349" s="167" t="n">
        <x:f>IFERROR(N349/L349,0)</x:f>
        <x:v>68.64290181363351</x:v>
      </x:c>
      <x:c r="T349" s="165" t="n">
        <x:f>IFERROR(K349/J349,0)</x:f>
        <x:v>0.3</x:v>
      </x:c>
    </x:row>
    <x:row r="350">
      <x:c r="A350" s="161" t="n">
        <x:v>46143</x:v>
      </x:c>
      <x:c r="B350" s="162" t="str">
        <x:v>LinkedIn</x:v>
      </x:c>
      <x:c r="C350" s="162" t="str">
        <x:v>West</x:v>
      </x:c>
      <x:c r="D350" s="162" t="str">
        <x:v>Pouch Fillers</x:v>
      </x:c>
      <x:c r="E350" s="163" t="n">
        <x:v>17475</x:v>
      </x:c>
      <x:c r="F350" s="163" t="n">
        <x:v>461</x:v>
      </x:c>
      <x:c r="G350" s="163" t="n">
        <x:v>41</x:v>
      </x:c>
      <x:c r="H350" s="163" t="n">
        <x:v>25</x:v>
      </x:c>
      <x:c r="I350" s="163" t="n">
        <x:v>15</x:v>
      </x:c>
      <x:c r="J350" s="163" t="n">
        <x:v>7</x:v>
      </x:c>
      <x:c r="K350" s="163" t="n">
        <x:v>2</x:v>
      </x:c>
      <x:c r="L350" s="164" t="n">
        <x:v>4802</x:v>
      </x:c>
      <x:c r="M350" s="164" t="n">
        <x:v>496108</x:v>
      </x:c>
      <x:c r="N350" s="164" t="n">
        <x:v>164820</x:v>
      </x:c>
      <x:c r="O350" s="165" t="n">
        <x:f>IFERROR(F350/E350,0)</x:f>
        <x:v>0.026380543633762518</x:v>
      </x:c>
      <x:c r="P350" s="166" t="n">
        <x:f>IFERROR(L350/F350,0)</x:f>
        <x:v>10.41648590021692</x:v>
      </x:c>
      <x:c r="Q350" s="165" t="n">
        <x:f>IFERROR(G350/F350,0)</x:f>
        <x:v>0.08893709327548807</x:v>
      </x:c>
      <x:c r="R350" s="164" t="n">
        <x:f>IFERROR(L350/G350,0)</x:f>
        <x:v>117.1219512195122</x:v>
      </x:c>
      <x:c r="S350" s="167" t="n">
        <x:f>IFERROR(N350/L350,0)</x:f>
        <x:v>34.32319866722199</x:v>
      </x:c>
      <x:c r="T350" s="165" t="n">
        <x:f>IFERROR(K350/J350,0)</x:f>
        <x:v>0.2857142857142857</x:v>
      </x:c>
    </x:row>
    <x:row r="351">
      <x:c r="A351" s="161" t="n">
        <x:v>46143</x:v>
      </x:c>
      <x:c r="B351" s="162" t="str">
        <x:v>LinkedIn</x:v>
      </x:c>
      <x:c r="C351" s="162" t="str">
        <x:v>West</x:v>
      </x:c>
      <x:c r="D351" s="162" t="str">
        <x:v>Cartoning Machines</x:v>
      </x:c>
      <x:c r="E351" s="163" t="n">
        <x:v>18750</x:v>
      </x:c>
      <x:c r="F351" s="163" t="n">
        <x:v>450</x:v>
      </x:c>
      <x:c r="G351" s="163" t="n">
        <x:v>41</x:v>
      </x:c>
      <x:c r="H351" s="163" t="n">
        <x:v>26</x:v>
      </x:c>
      <x:c r="I351" s="163" t="n">
        <x:v>16</x:v>
      </x:c>
      <x:c r="J351" s="163" t="n">
        <x:v>8</x:v>
      </x:c>
      <x:c r="K351" s="163" t="n">
        <x:v>3</x:v>
      </x:c>
      <x:c r="L351" s="164" t="n">
        <x:v>4687</x:v>
      </x:c>
      <x:c r="M351" s="164" t="n">
        <x:v>954187</x:v>
      </x:c>
      <x:c r="N351" s="164" t="n">
        <x:v>416070</x:v>
      </x:c>
      <x:c r="O351" s="165" t="n">
        <x:f>IFERROR(F351/E351,0)</x:f>
        <x:v>0.024</x:v>
      </x:c>
      <x:c r="P351" s="166" t="n">
        <x:f>IFERROR(L351/F351,0)</x:f>
        <x:v>10.415555555555555</x:v>
      </x:c>
      <x:c r="Q351" s="165" t="n">
        <x:f>IFERROR(G351/F351,0)</x:f>
        <x:v>0.09111111111111111</x:v>
      </x:c>
      <x:c r="R351" s="164" t="n">
        <x:f>IFERROR(L351/G351,0)</x:f>
        <x:v>114.3170731707317</x:v>
      </x:c>
      <x:c r="S351" s="167" t="n">
        <x:f>IFERROR(N351/L351,0)</x:f>
        <x:v>88.77106891401749</x:v>
      </x:c>
      <x:c r="T351" s="165" t="n">
        <x:f>IFERROR(K351/J351,0)</x:f>
        <x:v>0.375</x:v>
      </x:c>
    </x:row>
    <x:row r="352">
      <x:c r="A352" s="161" t="n">
        <x:v>46143</x:v>
      </x:c>
      <x:c r="B352" s="162" t="str">
        <x:v>LinkedIn</x:v>
      </x:c>
      <x:c r="C352" s="162" t="str">
        <x:v>West</x:v>
      </x:c>
      <x:c r="D352" s="162" t="str">
        <x:v>Labeling Systems</x:v>
      </x:c>
      <x:c r="E352" s="163" t="n">
        <x:v>18375</x:v>
      </x:c>
      <x:c r="F352" s="163" t="n">
        <x:v>470</x:v>
      </x:c>
      <x:c r="G352" s="163" t="n">
        <x:v>42</x:v>
      </x:c>
      <x:c r="H352" s="163" t="n">
        <x:v>28</x:v>
      </x:c>
      <x:c r="I352" s="163" t="n">
        <x:v>17</x:v>
      </x:c>
      <x:c r="J352" s="163" t="n">
        <x:v>9</x:v>
      </x:c>
      <x:c r="K352" s="163" t="n">
        <x:v>3</x:v>
      </x:c>
      <x:c r="L352" s="164" t="n">
        <x:v>4896</x:v>
      </x:c>
      <x:c r="M352" s="164" t="n">
        <x:v>373378</x:v>
      </x:c>
      <x:c r="N352" s="164" t="n">
        <x:v>144720</x:v>
      </x:c>
      <x:c r="O352" s="165" t="n">
        <x:f>IFERROR(F352/E352,0)</x:f>
        <x:v>0.025578231292517007</x:v>
      </x:c>
      <x:c r="P352" s="166" t="n">
        <x:f>IFERROR(L352/F352,0)</x:f>
        <x:v>10.417021276595746</x:v>
      </x:c>
      <x:c r="Q352" s="165" t="n">
        <x:f>IFERROR(G352/F352,0)</x:f>
        <x:v>0.08936170212765958</x:v>
      </x:c>
      <x:c r="R352" s="164" t="n">
        <x:f>IFERROR(L352/G352,0)</x:f>
        <x:v>116.57142857142857</x:v>
      </x:c>
      <x:c r="S352" s="167" t="n">
        <x:f>IFERROR(N352/L352,0)</x:f>
        <x:v>29.558823529411764</x:v>
      </x:c>
      <x:c r="T352" s="165" t="n">
        <x:f>IFERROR(K352/J352,0)</x:f>
        <x:v>0.3333333333333333</x:v>
      </x:c>
    </x:row>
    <x:row r="353">
      <x:c r="A353" s="161" t="n">
        <x:v>46143</x:v>
      </x:c>
      <x:c r="B353" s="162" t="str">
        <x:v>LinkedIn</x:v>
      </x:c>
      <x:c r="C353" s="162" t="str">
        <x:v>West</x:v>
      </x:c>
      <x:c r="D353" s="162" t="str">
        <x:v>Case Packers</x:v>
      </x:c>
      <x:c r="E353" s="163" t="n">
        <x:v>18000</x:v>
      </x:c>
      <x:c r="F353" s="163" t="n">
        <x:v>490</x:v>
      </x:c>
      <x:c r="G353" s="163" t="n">
        <x:v>45</x:v>
      </x:c>
      <x:c r="H353" s="163" t="n">
        <x:v>31</x:v>
      </x:c>
      <x:c r="I353" s="163" t="n">
        <x:v>19</x:v>
      </x:c>
      <x:c r="J353" s="163" t="n">
        <x:v>11</x:v>
      </x:c>
      <x:c r="K353" s="163" t="n">
        <x:v>4</x:v>
      </x:c>
      <x:c r="L353" s="164" t="n">
        <x:v>5104</x:v>
      </x:c>
      <x:c r="M353" s="164" t="n">
        <x:v>1064818</x:v>
      </x:c>
      <x:c r="N353" s="164" t="n">
        <x:v>450240</x:v>
      </x:c>
      <x:c r="O353" s="165" t="n">
        <x:f>IFERROR(F353/E353,0)</x:f>
        <x:v>0.02722222222222222</x:v>
      </x:c>
      <x:c r="P353" s="166" t="n">
        <x:f>IFERROR(L353/F353,0)</x:f>
        <x:v>10.416326530612245</x:v>
      </x:c>
      <x:c r="Q353" s="165" t="n">
        <x:f>IFERROR(G353/F353,0)</x:f>
        <x:v>0.09183673469387756</x:v>
      </x:c>
      <x:c r="R353" s="164" t="n">
        <x:f>IFERROR(L353/G353,0)</x:f>
        <x:v>113.42222222222222</x:v>
      </x:c>
      <x:c r="S353" s="167" t="n">
        <x:f>IFERROR(N353/L353,0)</x:f>
        <x:v>88.21316614420063</x:v>
      </x:c>
      <x:c r="T353" s="165" t="n">
        <x:f>IFERROR(K353/J353,0)</x:f>
        <x:v>0.36363636363636365</x:v>
      </x:c>
    </x:row>
    <x:row r="354">
      <x:c r="A354" s="161" t="n">
        <x:v>46143</x:v>
      </x:c>
      <x:c r="B354" s="162" t="str">
        <x:v>Email</x:v>
      </x:c>
      <x:c r="C354" s="162" t="str">
        <x:v>Northeast</x:v>
      </x:c>
      <x:c r="D354" s="162" t="str">
        <x:v>Pouch Fillers</x:v>
      </x:c>
      <x:c r="E354" s="163" t="n">
        <x:v>9720</x:v>
      </x:c>
      <x:c r="F354" s="163" t="n">
        <x:v>572</x:v>
      </x:c>
      <x:c r="G354" s="163" t="n">
        <x:v>60</x:v>
      </x:c>
      <x:c r="H354" s="163" t="n">
        <x:v>37</x:v>
      </x:c>
      <x:c r="I354" s="163" t="n">
        <x:v>20</x:v>
      </x:c>
      <x:c r="J354" s="163" t="n">
        <x:v>10</x:v>
      </x:c>
      <x:c r="K354" s="163" t="n">
        <x:v>3</x:v>
      </x:c>
      <x:c r="L354" s="164" t="n">
        <x:v>1130</x:v>
      </x:c>
      <x:c r="M354" s="164" t="n">
        <x:v>655836</x:v>
      </x:c>
      <x:c r="N354" s="164" t="n">
        <x:v>228780</x:v>
      </x:c>
      <x:c r="O354" s="165" t="n">
        <x:f>IFERROR(F354/E354,0)</x:f>
        <x:v>0.0588477366255144</x:v>
      </x:c>
      <x:c r="P354" s="166" t="n">
        <x:f>IFERROR(L354/F354,0)</x:f>
        <x:v>1.9755244755244756</x:v>
      </x:c>
      <x:c r="Q354" s="165" t="n">
        <x:f>IFERROR(G354/F354,0)</x:f>
        <x:v>0.1048951048951049</x:v>
      </x:c>
      <x:c r="R354" s="164" t="n">
        <x:f>IFERROR(L354/G354,0)</x:f>
        <x:v>18.833333333333332</x:v>
      </x:c>
      <x:c r="S354" s="167" t="n">
        <x:f>IFERROR(N354/L354,0)</x:f>
        <x:v>202.46017699115043</x:v>
      </x:c>
      <x:c r="T354" s="165" t="n">
        <x:f>IFERROR(K354/J354,0)</x:f>
        <x:v>0.3</x:v>
      </x:c>
    </x:row>
    <x:row r="355">
      <x:c r="A355" s="161" t="n">
        <x:v>46143</x:v>
      </x:c>
      <x:c r="B355" s="162" t="str">
        <x:v>Email</x:v>
      </x:c>
      <x:c r="C355" s="162" t="str">
        <x:v>Northeast</x:v>
      </x:c>
      <x:c r="D355" s="162" t="str">
        <x:v>Cartoning Machines</x:v>
      </x:c>
      <x:c r="E355" s="163" t="n">
        <x:v>9495</x:v>
      </x:c>
      <x:c r="F355" s="163" t="n">
        <x:v>573</x:v>
      </x:c>
      <x:c r="G355" s="163" t="n">
        <x:v>61</x:v>
      </x:c>
      <x:c r="H355" s="163" t="n">
        <x:v>39</x:v>
      </x:c>
      <x:c r="I355" s="163" t="n">
        <x:v>21</x:v>
      </x:c>
      <x:c r="J355" s="163" t="n">
        <x:v>11</x:v>
      </x:c>
      <x:c r="K355" s="163" t="n">
        <x:v>3</x:v>
      </x:c>
      <x:c r="L355" s="164" t="n">
        <x:v>1132</x:v>
      </x:c>
      <x:c r="M355" s="164" t="n">
        <x:v>1214096</x:v>
      </x:c>
      <x:c r="N355" s="164" t="n">
        <x:v>385020</x:v>
      </x:c>
      <x:c r="O355" s="165" t="n">
        <x:f>IFERROR(F355/E355,0)</x:f>
        <x:v>0.06034755134281201</x:v>
      </x:c>
      <x:c r="P355" s="166" t="n">
        <x:f>IFERROR(L355/F355,0)</x:f>
        <x:v>1.975567190226876</x:v>
      </x:c>
      <x:c r="Q355" s="165" t="n">
        <x:f>IFERROR(G355/F355,0)</x:f>
        <x:v>0.10645724258289703</x:v>
      </x:c>
      <x:c r="R355" s="164" t="n">
        <x:f>IFERROR(L355/G355,0)</x:f>
        <x:v>18.557377049180328</x:v>
      </x:c>
      <x:c r="S355" s="167" t="n">
        <x:f>IFERROR(N355/L355,0)</x:f>
        <x:v>340.12367491166077</x:v>
      </x:c>
      <x:c r="T355" s="165" t="n">
        <x:f>IFERROR(K355/J355,0)</x:f>
        <x:v>0.2727272727272727</x:v>
      </x:c>
    </x:row>
    <x:row r="356">
      <x:c r="A356" s="161" t="n">
        <x:v>46143</x:v>
      </x:c>
      <x:c r="B356" s="162" t="str">
        <x:v>Email</x:v>
      </x:c>
      <x:c r="C356" s="162" t="str">
        <x:v>Northeast</x:v>
      </x:c>
      <x:c r="D356" s="162" t="str">
        <x:v>Labeling Systems</x:v>
      </x:c>
      <x:c r="E356" s="163" t="n">
        <x:v>10260</x:v>
      </x:c>
      <x:c r="F356" s="163" t="n">
        <x:v>595</x:v>
      </x:c>
      <x:c r="G356" s="163" t="n">
        <x:v>62</x:v>
      </x:c>
      <x:c r="H356" s="163" t="n">
        <x:v>42</x:v>
      </x:c>
      <x:c r="I356" s="163" t="n">
        <x:v>23</x:v>
      </x:c>
      <x:c r="J356" s="163" t="n">
        <x:v>12</x:v>
      </x:c>
      <x:c r="K356" s="163" t="n">
        <x:v>4</x:v>
      </x:c>
      <x:c r="L356" s="164" t="n">
        <x:v>1176</x:v>
      </x:c>
      <x:c r="M356" s="164" t="n">
        <x:v>460685</x:v>
      </x:c>
      <x:c r="N356" s="164" t="n">
        <x:v>178560</x:v>
      </x:c>
      <x:c r="O356" s="165" t="n">
        <x:f>IFERROR(F356/E356,0)</x:f>
        <x:v>0.05799220272904483</x:v>
      </x:c>
      <x:c r="P356" s="166" t="n">
        <x:f>IFERROR(L356/F356,0)</x:f>
        <x:v>1.9764705882352942</x:v>
      </x:c>
      <x:c r="Q356" s="165" t="n">
        <x:f>IFERROR(G356/F356,0)</x:f>
        <x:v>0.10420168067226891</x:v>
      </x:c>
      <x:c r="R356" s="164" t="n">
        <x:f>IFERROR(L356/G356,0)</x:f>
        <x:v>18.967741935483872</x:v>
      </x:c>
      <x:c r="S356" s="167" t="n">
        <x:f>IFERROR(N356/L356,0)</x:f>
        <x:v>151.83673469387756</x:v>
      </x:c>
      <x:c r="T356" s="165" t="n">
        <x:f>IFERROR(K356/J356,0)</x:f>
        <x:v>0.3333333333333333</x:v>
      </x:c>
    </x:row>
    <x:row r="357">
      <x:c r="A357" s="161" t="n">
        <x:v>46143</x:v>
      </x:c>
      <x:c r="B357" s="162" t="str">
        <x:v>Email</x:v>
      </x:c>
      <x:c r="C357" s="162" t="str">
        <x:v>Northeast</x:v>
      </x:c>
      <x:c r="D357" s="162" t="str">
        <x:v>Case Packers</x:v>
      </x:c>
      <x:c r="E357" s="163" t="n">
        <x:v>10035</x:v>
      </x:c>
      <x:c r="F357" s="163" t="n">
        <x:v>598</x:v>
      </x:c>
      <x:c r="G357" s="163" t="n">
        <x:v>64</x:v>
      </x:c>
      <x:c r="H357" s="163" t="n">
        <x:v>44</x:v>
      </x:c>
      <x:c r="I357" s="163" t="n">
        <x:v>24</x:v>
      </x:c>
      <x:c r="J357" s="163" t="n">
        <x:v>14</x:v>
      </x:c>
      <x:c r="K357" s="163" t="n">
        <x:v>4</x:v>
      </x:c>
      <x:c r="L357" s="164" t="n">
        <x:v>1182</x:v>
      </x:c>
      <x:c r="M357" s="164" t="n">
        <x:v>1254086</x:v>
      </x:c>
      <x:c r="N357" s="164" t="n">
        <x:v>416640</x:v>
      </x:c>
      <x:c r="O357" s="165" t="n">
        <x:f>IFERROR(F357/E357,0)</x:f>
        <x:v>0.05959142999501744</x:v>
      </x:c>
      <x:c r="P357" s="166" t="n">
        <x:f>IFERROR(L357/F357,0)</x:f>
        <x:v>1.9765886287625418</x:v>
      </x:c>
      <x:c r="Q357" s="165" t="n">
        <x:f>IFERROR(G357/F357,0)</x:f>
        <x:v>0.10702341137123746</x:v>
      </x:c>
      <x:c r="R357" s="164" t="n">
        <x:f>IFERROR(L357/G357,0)</x:f>
        <x:v>18.46875</x:v>
      </x:c>
      <x:c r="S357" s="167" t="n">
        <x:f>IFERROR(N357/L357,0)</x:f>
        <x:v>352.48730964467006</x:v>
      </x:c>
      <x:c r="T357" s="165" t="n">
        <x:f>IFERROR(K357/J357,0)</x:f>
        <x:v>0.2857142857142857</x:v>
      </x:c>
    </x:row>
    <x:row r="358">
      <x:c r="A358" s="161" t="n">
        <x:v>46143</x:v>
      </x:c>
      <x:c r="B358" s="162" t="str">
        <x:v>Email</x:v>
      </x:c>
      <x:c r="C358" s="162" t="str">
        <x:v>Midwest</x:v>
      </x:c>
      <x:c r="D358" s="162" t="str">
        <x:v>Pouch Fillers</x:v>
      </x:c>
      <x:c r="E358" s="163" t="n">
        <x:v>10215</x:v>
      </x:c>
      <x:c r="F358" s="163" t="n">
        <x:v>625</x:v>
      </x:c>
      <x:c r="G358" s="163" t="n">
        <x:v>66</x:v>
      </x:c>
      <x:c r="H358" s="163" t="n">
        <x:v>41</x:v>
      </x:c>
      <x:c r="I358" s="163" t="n">
        <x:v>23</x:v>
      </x:c>
      <x:c r="J358" s="163" t="n">
        <x:v>11</x:v>
      </x:c>
      <x:c r="K358" s="163" t="n">
        <x:v>4</x:v>
      </x:c>
      <x:c r="L358" s="164" t="n">
        <x:v>1253</x:v>
      </x:c>
      <x:c r="M358" s="164" t="n">
        <x:v>740813</x:v>
      </x:c>
      <x:c r="N358" s="164" t="n">
        <x:v>313240</x:v>
      </x:c>
      <x:c r="O358" s="165" t="n">
        <x:f>IFERROR(F358/E358,0)</x:f>
        <x:v>0.06118453255017132</x:v>
      </x:c>
      <x:c r="P358" s="166" t="n">
        <x:f>IFERROR(L358/F358,0)</x:f>
        <x:v>2.0048</x:v>
      </x:c>
      <x:c r="Q358" s="165" t="n">
        <x:f>IFERROR(G358/F358,0)</x:f>
        <x:v>0.1056</x:v>
      </x:c>
      <x:c r="R358" s="164" t="n">
        <x:f>IFERROR(L358/G358,0)</x:f>
        <x:v>18.984848484848484</x:v>
      </x:c>
      <x:c r="S358" s="167" t="n">
        <x:f>IFERROR(N358/L358,0)</x:f>
        <x:v>249.99201915403032</x:v>
      </x:c>
      <x:c r="T358" s="165" t="n">
        <x:f>IFERROR(K358/J358,0)</x:f>
        <x:v>0.36363636363636365</x:v>
      </x:c>
    </x:row>
    <x:row r="359">
      <x:c r="A359" s="161" t="n">
        <x:v>46143</x:v>
      </x:c>
      <x:c r="B359" s="162" t="str">
        <x:v>Email</x:v>
      </x:c>
      <x:c r="C359" s="162" t="str">
        <x:v>Midwest</x:v>
      </x:c>
      <x:c r="D359" s="162" t="str">
        <x:v>Cartoning Machines</x:v>
      </x:c>
      <x:c r="E359" s="163" t="n">
        <x:v>9990</x:v>
      </x:c>
      <x:c r="F359" s="163" t="n">
        <x:v>587</x:v>
      </x:c>
      <x:c r="G359" s="163" t="n">
        <x:v>63</x:v>
      </x:c>
      <x:c r="H359" s="163" t="n">
        <x:v>41</x:v>
      </x:c>
      <x:c r="I359" s="163" t="n">
        <x:v>23</x:v>
      </x:c>
      <x:c r="J359" s="163" t="n">
        <x:v>12</x:v>
      </x:c>
      <x:c r="K359" s="163" t="n">
        <x:v>4</x:v>
      </x:c>
      <x:c r="L359" s="164" t="n">
        <x:v>1177</x:v>
      </x:c>
      <x:c r="M359" s="164" t="n">
        <x:v>1360073</x:v>
      </x:c>
      <x:c r="N359" s="164" t="n">
        <x:v>527160</x:v>
      </x:c>
      <x:c r="O359" s="165" t="n">
        <x:f>IFERROR(F359/E359,0)</x:f>
        <x:v>0.05875875875875876</x:v>
      </x:c>
      <x:c r="P359" s="166" t="n">
        <x:f>IFERROR(L359/F359,0)</x:f>
        <x:v>2.0051107325383306</x:v>
      </x:c>
      <x:c r="Q359" s="165" t="n">
        <x:f>IFERROR(G359/F359,0)</x:f>
        <x:v>0.10732538330494037</x:v>
      </x:c>
      <x:c r="R359" s="164" t="n">
        <x:f>IFERROR(L359/G359,0)</x:f>
        <x:v>18.682539682539684</x:v>
      </x:c>
      <x:c r="S359" s="167" t="n">
        <x:f>IFERROR(N359/L359,0)</x:f>
        <x:v>447.8844519966015</x:v>
      </x:c>
      <x:c r="T359" s="165" t="n">
        <x:f>IFERROR(K359/J359,0)</x:f>
        <x:v>0.3333333333333333</x:v>
      </x:c>
    </x:row>
    <x:row r="360">
      <x:c r="A360" s="161" t="n">
        <x:v>46143</x:v>
      </x:c>
      <x:c r="B360" s="162" t="str">
        <x:v>Email</x:v>
      </x:c>
      <x:c r="C360" s="162" t="str">
        <x:v>Midwest</x:v>
      </x:c>
      <x:c r="D360" s="162" t="str">
        <x:v>Labeling Systems</x:v>
      </x:c>
      <x:c r="E360" s="163" t="n">
        <x:v>10755</x:v>
      </x:c>
      <x:c r="F360" s="163" t="n">
        <x:v>650</x:v>
      </x:c>
      <x:c r="G360" s="163" t="n">
        <x:v>68</x:v>
      </x:c>
      <x:c r="H360" s="163" t="n">
        <x:v>46</x:v>
      </x:c>
      <x:c r="I360" s="163" t="n">
        <x:v>26</x:v>
      </x:c>
      <x:c r="J360" s="163" t="n">
        <x:v>14</x:v>
      </x:c>
      <x:c r="K360" s="163" t="n">
        <x:v>5</x:v>
      </x:c>
      <x:c r="L360" s="164" t="n">
        <x:v>1303</x:v>
      </x:c>
      <x:c r="M360" s="164" t="n">
        <x:v>551914</x:v>
      </x:c>
      <x:c r="N360" s="164" t="n">
        <x:v>229200</x:v>
      </x:c>
      <x:c r="O360" s="165" t="n">
        <x:f>IFERROR(F360/E360,0)</x:f>
        <x:v>0.06043700604370061</x:v>
      </x:c>
      <x:c r="P360" s="166" t="n">
        <x:f>IFERROR(L360/F360,0)</x:f>
        <x:v>2.0046153846153847</x:v>
      </x:c>
      <x:c r="Q360" s="165" t="n">
        <x:f>IFERROR(G360/F360,0)</x:f>
        <x:v>0.10461538461538461</x:v>
      </x:c>
      <x:c r="R360" s="164" t="n">
        <x:f>IFERROR(L360/G360,0)</x:f>
        <x:v>19.16176470588235</x:v>
      </x:c>
      <x:c r="S360" s="167" t="n">
        <x:f>IFERROR(N360/L360,0)</x:f>
        <x:v>175.90176515732924</x:v>
      </x:c>
      <x:c r="T360" s="165" t="n">
        <x:f>IFERROR(K360/J360,0)</x:f>
        <x:v>0.35714285714285715</x:v>
      </x:c>
    </x:row>
    <x:row r="361">
      <x:c r="A361" s="161" t="n">
        <x:v>46143</x:v>
      </x:c>
      <x:c r="B361" s="162" t="str">
        <x:v>Email</x:v>
      </x:c>
      <x:c r="C361" s="162" t="str">
        <x:v>Midwest</x:v>
      </x:c>
      <x:c r="D361" s="162" t="str">
        <x:v>Case Packers</x:v>
      </x:c>
      <x:c r="E361" s="163" t="n">
        <x:v>10530</x:v>
      </x:c>
      <x:c r="F361" s="163" t="n">
        <x:v>611</x:v>
      </x:c>
      <x:c r="G361" s="163" t="n">
        <x:v>65</x:v>
      </x:c>
      <x:c r="H361" s="163" t="n">
        <x:v>45</x:v>
      </x:c>
      <x:c r="I361" s="163" t="n">
        <x:v>26</x:v>
      </x:c>
      <x:c r="J361" s="163" t="n">
        <x:v>15</x:v>
      </x:c>
      <x:c r="K361" s="163" t="n">
        <x:v>5</x:v>
      </x:c>
      <x:c r="L361" s="164" t="n">
        <x:v>1225</x:v>
      </x:c>
      <x:c r="M361" s="164" t="n">
        <x:v>1379784</x:v>
      </x:c>
      <x:c r="N361" s="164" t="n">
        <x:v>534800</x:v>
      </x:c>
      <x:c r="O361" s="165" t="n">
        <x:f>IFERROR(F361/E361,0)</x:f>
        <x:v>0.05802469135802469</x:v>
      </x:c>
      <x:c r="P361" s="166" t="n">
        <x:f>IFERROR(L361/F361,0)</x:f>
        <x:v>2.0049099836333877</x:v>
      </x:c>
      <x:c r="Q361" s="165" t="n">
        <x:f>IFERROR(G361/F361,0)</x:f>
        <x:v>0.10638297872340426</x:v>
      </x:c>
      <x:c r="R361" s="164" t="n">
        <x:f>IFERROR(L361/G361,0)</x:f>
        <x:v>18.846153846153847</x:v>
      </x:c>
      <x:c r="S361" s="167" t="n">
        <x:f>IFERROR(N361/L361,0)</x:f>
        <x:v>436.57142857142856</x:v>
      </x:c>
      <x:c r="T361" s="165" t="n">
        <x:f>IFERROR(K361/J361,0)</x:f>
        <x:v>0.3333333333333333</x:v>
      </x:c>
    </x:row>
    <x:row r="362">
      <x:c r="A362" s="161" t="n">
        <x:v>46143</x:v>
      </x:c>
      <x:c r="B362" s="162" t="str">
        <x:v>Email</x:v>
      </x:c>
      <x:c r="C362" s="162" t="str">
        <x:v>South</x:v>
      </x:c>
      <x:c r="D362" s="162" t="str">
        <x:v>Pouch Fillers</x:v>
      </x:c>
      <x:c r="E362" s="163" t="n">
        <x:v>10710</x:v>
      </x:c>
      <x:c r="F362" s="163" t="n">
        <x:v>638</x:v>
      </x:c>
      <x:c r="G362" s="163" t="n">
        <x:v>67</x:v>
      </x:c>
      <x:c r="H362" s="163" t="n">
        <x:v>42</x:v>
      </x:c>
      <x:c r="I362" s="163" t="n">
        <x:v>25</x:v>
      </x:c>
      <x:c r="J362" s="163" t="n">
        <x:v>12</x:v>
      </x:c>
      <x:c r="K362" s="163" t="n">
        <x:v>4</x:v>
      </x:c>
      <x:c r="L362" s="164" t="n">
        <x:v>1297</x:v>
      </x:c>
      <x:c r="M362" s="164" t="n">
        <x:v>829315</x:v>
      </x:c>
      <x:c r="N362" s="164" t="n">
        <x:v>321440</x:v>
      </x:c>
      <x:c r="O362" s="165" t="n">
        <x:f>IFERROR(F362/E362,0)</x:f>
        <x:v>0.059570494864612515</x:v>
      </x:c>
      <x:c r="P362" s="166" t="n">
        <x:f>IFERROR(L362/F362,0)</x:f>
        <x:v>2.0329153605015673</x:v>
      </x:c>
      <x:c r="Q362" s="165" t="n">
        <x:f>IFERROR(G362/F362,0)</x:f>
        <x:v>0.10501567398119123</x:v>
      </x:c>
      <x:c r="R362" s="164" t="n">
        <x:f>IFERROR(L362/G362,0)</x:f>
        <x:v>19.35820895522388</x:v>
      </x:c>
      <x:c r="S362" s="167" t="n">
        <x:f>IFERROR(N362/L362,0)</x:f>
        <x:v>247.83346183500385</x:v>
      </x:c>
      <x:c r="T362" s="165" t="n">
        <x:f>IFERROR(K362/J362,0)</x:f>
        <x:v>0.3333333333333333</x:v>
      </x:c>
    </x:row>
    <x:row r="363">
      <x:c r="A363" s="161" t="n">
        <x:v>46143</x:v>
      </x:c>
      <x:c r="B363" s="162" t="str">
        <x:v>Email</x:v>
      </x:c>
      <x:c r="C363" s="162" t="str">
        <x:v>South</x:v>
      </x:c>
      <x:c r="D363" s="162" t="str">
        <x:v>Cartoning Machines</x:v>
      </x:c>
      <x:c r="E363" s="163" t="n">
        <x:v>10485</x:v>
      </x:c>
      <x:c r="F363" s="163" t="n">
        <x:v>642</x:v>
      </x:c>
      <x:c r="G363" s="163" t="n">
        <x:v>69</x:v>
      </x:c>
      <x:c r="H363" s="163" t="n">
        <x:v>45</x:v>
      </x:c>
      <x:c r="I363" s="163" t="n">
        <x:v>27</x:v>
      </x:c>
      <x:c r="J363" s="163" t="n">
        <x:v>14</x:v>
      </x:c>
      <x:c r="K363" s="163" t="n">
        <x:v>5</x:v>
      </x:c>
      <x:c r="L363" s="164" t="n">
        <x:v>1305</x:v>
      </x:c>
      <x:c r="M363" s="164" t="n">
        <x:v>1628290</x:v>
      </x:c>
      <x:c r="N363" s="164" t="n">
        <x:v>676200</x:v>
      </x:c>
      <x:c r="O363" s="165" t="n">
        <x:f>IFERROR(F363/E363,0)</x:f>
        <x:v>0.06123032904148784</x:v>
      </x:c>
      <x:c r="P363" s="166" t="n">
        <x:f>IFERROR(L363/F363,0)</x:f>
        <x:v>2.032710280373832</x:v>
      </x:c>
      <x:c r="Q363" s="165" t="n">
        <x:f>IFERROR(G363/F363,0)</x:f>
        <x:v>0.10747663551401869</x:v>
      </x:c>
      <x:c r="R363" s="164" t="n">
        <x:f>IFERROR(L363/G363,0)</x:f>
        <x:v>18.91304347826087</x:v>
      </x:c>
      <x:c r="S363" s="167" t="n">
        <x:f>IFERROR(N363/L363,0)</x:f>
        <x:v>518.1609195402299</x:v>
      </x:c>
      <x:c r="T363" s="165" t="n">
        <x:f>IFERROR(K363/J363,0)</x:f>
        <x:v>0.35714285714285715</x:v>
      </x:c>
    </x:row>
    <x:row r="364">
      <x:c r="A364" s="161" t="n">
        <x:v>46143</x:v>
      </x:c>
      <x:c r="B364" s="162" t="str">
        <x:v>Email</x:v>
      </x:c>
      <x:c r="C364" s="162" t="str">
        <x:v>South</x:v>
      </x:c>
      <x:c r="D364" s="162" t="str">
        <x:v>Labeling Systems</x:v>
      </x:c>
      <x:c r="E364" s="163" t="n">
        <x:v>10260</x:v>
      </x:c>
      <x:c r="F364" s="163" t="n">
        <x:v>603</x:v>
      </x:c>
      <x:c r="G364" s="163" t="n">
        <x:v>63</x:v>
      </x:c>
      <x:c r="H364" s="163" t="n">
        <x:v>42</x:v>
      </x:c>
      <x:c r="I364" s="163" t="n">
        <x:v>25</x:v>
      </x:c>
      <x:c r="J364" s="163" t="n">
        <x:v>14</x:v>
      </x:c>
      <x:c r="K364" s="163" t="n">
        <x:v>5</x:v>
      </x:c>
      <x:c r="L364" s="164" t="n">
        <x:v>1226</x:v>
      </x:c>
      <x:c r="M364" s="164" t="n">
        <x:v>566362</x:v>
      </x:c>
      <x:c r="N364" s="164" t="n">
        <x:v>235200</x:v>
      </x:c>
      <x:c r="O364" s="165" t="n">
        <x:f>IFERROR(F364/E364,0)</x:f>
        <x:v>0.058771929824561406</x:v>
      </x:c>
      <x:c r="P364" s="166" t="n">
        <x:f>IFERROR(L364/F364,0)</x:f>
        <x:v>2.033167495854063</x:v>
      </x:c>
      <x:c r="Q364" s="165" t="n">
        <x:f>IFERROR(G364/F364,0)</x:f>
        <x:v>0.1044776119402985</x:v>
      </x:c>
      <x:c r="R364" s="164" t="n">
        <x:f>IFERROR(L364/G364,0)</x:f>
        <x:v>19.46031746031746</x:v>
      </x:c>
      <x:c r="S364" s="167" t="n">
        <x:f>IFERROR(N364/L364,0)</x:f>
        <x:v>191.84339314845025</x:v>
      </x:c>
      <x:c r="T364" s="165" t="n">
        <x:f>IFERROR(K364/J364,0)</x:f>
        <x:v>0.35714285714285715</x:v>
      </x:c>
    </x:row>
    <x:row r="365">
      <x:c r="A365" s="161" t="n">
        <x:v>46143</x:v>
      </x:c>
      <x:c r="B365" s="162" t="str">
        <x:v>Email</x:v>
      </x:c>
      <x:c r="C365" s="162" t="str">
        <x:v>South</x:v>
      </x:c>
      <x:c r="D365" s="162" t="str">
        <x:v>Case Packers</x:v>
      </x:c>
      <x:c r="E365" s="163" t="n">
        <x:v>11025</x:v>
      </x:c>
      <x:c r="F365" s="163" t="n">
        <x:v>666</x:v>
      </x:c>
      <x:c r="G365" s="163" t="n">
        <x:v>71</x:v>
      </x:c>
      <x:c r="H365" s="163" t="n">
        <x:v>49</x:v>
      </x:c>
      <x:c r="I365" s="163" t="n">
        <x:v>29</x:v>
      </x:c>
      <x:c r="J365" s="163" t="n">
        <x:v>16</x:v>
      </x:c>
      <x:c r="K365" s="163" t="n">
        <x:v>5</x:v>
      </x:c>
      <x:c r="L365" s="164" t="n">
        <x:v>1354</x:v>
      </x:c>
      <x:c r="M365" s="164" t="n">
        <x:v>1510298</x:v>
      </x:c>
      <x:c r="N365" s="164" t="n">
        <x:v>548800</x:v>
      </x:c>
      <x:c r="O365" s="165" t="n">
        <x:f>IFERROR(F365/E365,0)</x:f>
        <x:v>0.060408163265306125</x:v>
      </x:c>
      <x:c r="P365" s="166" t="n">
        <x:f>IFERROR(L365/F365,0)</x:f>
        <x:v>2.033033033033033</x:v>
      </x:c>
      <x:c r="Q365" s="165" t="n">
        <x:f>IFERROR(G365/F365,0)</x:f>
        <x:v>0.1066066066066066</x:v>
      </x:c>
      <x:c r="R365" s="164" t="n">
        <x:f>IFERROR(L365/G365,0)</x:f>
        <x:v>19.070422535211268</x:v>
      </x:c>
      <x:c r="S365" s="167" t="n">
        <x:f>IFERROR(N365/L365,0)</x:f>
        <x:v>405.3175775480059</x:v>
      </x:c>
      <x:c r="T365" s="165" t="n">
        <x:f>IFERROR(K365/J365,0)</x:f>
        <x:v>0.3125</x:v>
      </x:c>
    </x:row>
    <x:row r="366">
      <x:c r="A366" s="161" t="n">
        <x:v>46143</x:v>
      </x:c>
      <x:c r="B366" s="162" t="str">
        <x:v>Email</x:v>
      </x:c>
      <x:c r="C366" s="162" t="str">
        <x:v>West</x:v>
      </x:c>
      <x:c r="D366" s="162" t="str">
        <x:v>Pouch Fillers</x:v>
      </x:c>
      <x:c r="E366" s="163" t="n">
        <x:v>10215</x:v>
      </x:c>
      <x:c r="F366" s="163" t="n">
        <x:v>592</x:v>
      </x:c>
      <x:c r="G366" s="163" t="n">
        <x:v>62</x:v>
      </x:c>
      <x:c r="H366" s="163" t="n">
        <x:v>38</x:v>
      </x:c>
      <x:c r="I366" s="163" t="n">
        <x:v>23</x:v>
      </x:c>
      <x:c r="J366" s="163" t="n">
        <x:v>11</x:v>
      </x:c>
      <x:c r="K366" s="163" t="n">
        <x:v>4</x:v>
      </x:c>
      <x:c r="L366" s="164" t="n">
        <x:v>1220</x:v>
      </x:c>
      <x:c r="M366" s="164" t="n">
        <x:v>779599</x:v>
      </x:c>
      <x:c r="N366" s="164" t="n">
        <x:v>329640</x:v>
      </x:c>
      <x:c r="O366" s="165" t="n">
        <x:f>IFERROR(F366/E366,0)</x:f>
        <x:v>0.05795398923152227</x:v>
      </x:c>
      <x:c r="P366" s="166" t="n">
        <x:f>IFERROR(L366/F366,0)</x:f>
        <x:v>2.060810810810811</x:v>
      </x:c>
      <x:c r="Q366" s="165" t="n">
        <x:f>IFERROR(G366/F366,0)</x:f>
        <x:v>0.10472972972972973</x:v>
      </x:c>
      <x:c r="R366" s="164" t="n">
        <x:f>IFERROR(L366/G366,0)</x:f>
        <x:v>19.677419354838708</x:v>
      </x:c>
      <x:c r="S366" s="167" t="n">
        <x:f>IFERROR(N366/L366,0)</x:f>
        <x:v>270.1967213114754</x:v>
      </x:c>
      <x:c r="T366" s="165" t="n">
        <x:f>IFERROR(K366/J366,0)</x:f>
        <x:v>0.36363636363636365</x:v>
      </x:c>
    </x:row>
    <x:row r="367">
      <x:c r="A367" s="161" t="n">
        <x:v>46143</x:v>
      </x:c>
      <x:c r="B367" s="162" t="str">
        <x:v>Email</x:v>
      </x:c>
      <x:c r="C367" s="162" t="str">
        <x:v>West</x:v>
      </x:c>
      <x:c r="D367" s="162" t="str">
        <x:v>Cartoning Machines</x:v>
      </x:c>
      <x:c r="E367" s="163" t="n">
        <x:v>10980</x:v>
      </x:c>
      <x:c r="F367" s="163" t="n">
        <x:v>654</x:v>
      </x:c>
      <x:c r="G367" s="163" t="n">
        <x:v>70</x:v>
      </x:c>
      <x:c r="H367" s="163" t="n">
        <x:v>45</x:v>
      </x:c>
      <x:c r="I367" s="163" t="n">
        <x:v>27</x:v>
      </x:c>
      <x:c r="J367" s="163" t="n">
        <x:v>14</x:v>
      </x:c>
      <x:c r="K367" s="163" t="n">
        <x:v>5</x:v>
      </x:c>
      <x:c r="L367" s="164" t="n">
        <x:v>1348</x:v>
      </x:c>
      <x:c r="M367" s="164" t="n">
        <x:v>1669828</x:v>
      </x:c>
      <x:c r="N367" s="164" t="n">
        <x:v>693450</x:v>
      </x:c>
      <x:c r="O367" s="165" t="n">
        <x:f>IFERROR(F367/E367,0)</x:f>
        <x:v>0.059562841530054644</x:v>
      </x:c>
      <x:c r="P367" s="166" t="n">
        <x:f>IFERROR(L367/F367,0)</x:f>
        <x:v>2.0611620795107033</x:v>
      </x:c>
      <x:c r="Q367" s="165" t="n">
        <x:f>IFERROR(G367/F367,0)</x:f>
        <x:v>0.10703363914373089</x:v>
      </x:c>
      <x:c r="R367" s="164" t="n">
        <x:f>IFERROR(L367/G367,0)</x:f>
        <x:v>19.257142857142856</x:v>
      </x:c>
      <x:c r="S367" s="167" t="n">
        <x:f>IFERROR(N367/L367,0)</x:f>
        <x:v>514.4287833827893</x:v>
      </x:c>
      <x:c r="T367" s="165" t="n">
        <x:f>IFERROR(K367/J367,0)</x:f>
        <x:v>0.35714285714285715</x:v>
      </x:c>
    </x:row>
    <x:row r="368">
      <x:c r="A368" s="161" t="n">
        <x:v>46143</x:v>
      </x:c>
      <x:c r="B368" s="162" t="str">
        <x:v>Email</x:v>
      </x:c>
      <x:c r="C368" s="162" t="str">
        <x:v>West</x:v>
      </x:c>
      <x:c r="D368" s="162" t="str">
        <x:v>Labeling Systems</x:v>
      </x:c>
      <x:c r="E368" s="163" t="n">
        <x:v>10755</x:v>
      </x:c>
      <x:c r="F368" s="163" t="n">
        <x:v>658</x:v>
      </x:c>
      <x:c r="G368" s="163" t="n">
        <x:v>69</x:v>
      </x:c>
      <x:c r="H368" s="163" t="n">
        <x:v>46</x:v>
      </x:c>
      <x:c r="I368" s="163" t="n">
        <x:v>28</x:v>
      </x:c>
      <x:c r="J368" s="163" t="n">
        <x:v>15</x:v>
      </x:c>
      <x:c r="K368" s="163" t="n">
        <x:v>5</x:v>
      </x:c>
      <x:c r="L368" s="164" t="n">
        <x:v>1356</x:v>
      </x:c>
      <x:c r="M368" s="164" t="n">
        <x:v>622296</x:v>
      </x:c>
      <x:c r="N368" s="164" t="n">
        <x:v>241200</x:v>
      </x:c>
      <x:c r="O368" s="165" t="n">
        <x:f>IFERROR(F368/E368,0)</x:f>
        <x:v>0.06118084611808461</x:v>
      </x:c>
      <x:c r="P368" s="166" t="n">
        <x:f>IFERROR(L368/F368,0)</x:f>
        <x:v>2.060790273556231</x:v>
      </x:c>
      <x:c r="Q368" s="165" t="n">
        <x:f>IFERROR(G368/F368,0)</x:f>
        <x:v>0.10486322188449848</x:v>
      </x:c>
      <x:c r="R368" s="164" t="n">
        <x:f>IFERROR(L368/G368,0)</x:f>
        <x:v>19.652173913043477</x:v>
      </x:c>
      <x:c r="S368" s="167" t="n">
        <x:f>IFERROR(N368/L368,0)</x:f>
        <x:v>177.87610619469027</x:v>
      </x:c>
      <x:c r="T368" s="165" t="n">
        <x:f>IFERROR(K368/J368,0)</x:f>
        <x:v>0.3333333333333333</x:v>
      </x:c>
    </x:row>
    <x:row r="369">
      <x:c r="A369" s="161" t="n">
        <x:v>46143</x:v>
      </x:c>
      <x:c r="B369" s="162" t="str">
        <x:v>Email</x:v>
      </x:c>
      <x:c r="C369" s="162" t="str">
        <x:v>West</x:v>
      </x:c>
      <x:c r="D369" s="162" t="str">
        <x:v>Case Packers</x:v>
      </x:c>
      <x:c r="E369" s="163" t="n">
        <x:v>11520</x:v>
      </x:c>
      <x:c r="F369" s="163" t="n">
        <x:v>677</x:v>
      </x:c>
      <x:c r="G369" s="163" t="n">
        <x:v>72</x:v>
      </x:c>
      <x:c r="H369" s="163" t="n">
        <x:v>50</x:v>
      </x:c>
      <x:c r="I369" s="163" t="n">
        <x:v>31</x:v>
      </x:c>
      <x:c r="J369" s="163" t="n">
        <x:v>18</x:v>
      </x:c>
      <x:c r="K369" s="163" t="n">
        <x:v>6</x:v>
      </x:c>
      <x:c r="L369" s="164" t="n">
        <x:v>1396</x:v>
      </x:c>
      <x:c r="M369" s="164" t="n">
        <x:v>1742429</x:v>
      </x:c>
      <x:c r="N369" s="164" t="n">
        <x:v>675360</x:v>
      </x:c>
      <x:c r="O369" s="165" t="n">
        <x:f>IFERROR(F369/E369,0)</x:f>
        <x:v>0.05876736111111111</x:v>
      </x:c>
      <x:c r="P369" s="166" t="n">
        <x:f>IFERROR(L369/F369,0)</x:f>
        <x:v>2.0620384047267355</x:v>
      </x:c>
      <x:c r="Q369" s="165" t="n">
        <x:f>IFERROR(G369/F369,0)</x:f>
        <x:v>0.10635155096011817</x:v>
      </x:c>
      <x:c r="R369" s="164" t="n">
        <x:f>IFERROR(L369/G369,0)</x:f>
        <x:v>19.38888888888889</x:v>
      </x:c>
      <x:c r="S369" s="167" t="n">
        <x:f>IFERROR(N369/L369,0)</x:f>
        <x:v>483.7822349570201</x:v>
      </x:c>
      <x:c r="T369" s="165" t="n">
        <x:f>IFERROR(K369/J369,0)</x:f>
        <x:v>0.3333333333333333</x:v>
      </x:c>
    </x:row>
    <x:row r="370">
      <x:c r="A370" s="161" t="n">
        <x:v>46143</x:v>
      </x:c>
      <x:c r="B370" s="162" t="str">
        <x:v>Trade Media</x:v>
      </x:c>
      <x:c r="C370" s="162" t="str">
        <x:v>Northeast</x:v>
      </x:c>
      <x:c r="D370" s="162" t="str">
        <x:v>Pouch Fillers</x:v>
      </x:c>
      <x:c r="E370" s="163" t="n">
        <x:v>11550</x:v>
      </x:c>
      <x:c r="F370" s="163" t="n">
        <x:v>259</x:v>
      </x:c>
      <x:c r="G370" s="163" t="n">
        <x:v>17</x:v>
      </x:c>
      <x:c r="H370" s="163" t="n">
        <x:v>11</x:v>
      </x:c>
      <x:c r="I370" s="163" t="n">
        <x:v>6</x:v>
      </x:c>
      <x:c r="J370" s="163" t="n">
        <x:v>3</x:v>
      </x:c>
      <x:c r="K370" s="163" t="n">
        <x:v>1</x:v>
      </x:c>
      <x:c r="L370" s="164" t="n">
        <x:v>1993</x:v>
      </x:c>
      <x:c r="M370" s="164" t="n">
        <x:v>196751</x:v>
      </x:c>
      <x:c r="N370" s="164" t="n">
        <x:v>76260</x:v>
      </x:c>
      <x:c r="O370" s="165" t="n">
        <x:f>IFERROR(F370/E370,0)</x:f>
        <x:v>0.022424242424242423</x:v>
      </x:c>
      <x:c r="P370" s="166" t="n">
        <x:f>IFERROR(L370/F370,0)</x:f>
        <x:v>7.694980694980695</x:v>
      </x:c>
      <x:c r="Q370" s="165" t="n">
        <x:f>IFERROR(G370/F370,0)</x:f>
        <x:v>0.06563706563706563</x:v>
      </x:c>
      <x:c r="R370" s="164" t="n">
        <x:f>IFERROR(L370/G370,0)</x:f>
        <x:v>117.23529411764706</x:v>
      </x:c>
      <x:c r="S370" s="167" t="n">
        <x:f>IFERROR(N370/L370,0)</x:f>
        <x:v>38.26392373306573</x:v>
      </x:c>
      <x:c r="T370" s="165" t="n">
        <x:f>IFERROR(K370/J370,0)</x:f>
        <x:v>0.3333333333333333</x:v>
      </x:c>
    </x:row>
    <x:row r="371">
      <x:c r="A371" s="161" t="n">
        <x:v>46143</x:v>
      </x:c>
      <x:c r="B371" s="162" t="str">
        <x:v>Trade Media</x:v>
      </x:c>
      <x:c r="C371" s="162" t="str">
        <x:v>Northeast</x:v>
      </x:c>
      <x:c r="D371" s="162" t="str">
        <x:v>Cartoning Machines</x:v>
      </x:c>
      <x:c r="E371" s="163" t="n">
        <x:v>12485</x:v>
      </x:c>
      <x:c r="F371" s="163" t="n">
        <x:v>250</x:v>
      </x:c>
      <x:c r="G371" s="163" t="n">
        <x:v>17</x:v>
      </x:c>
      <x:c r="H371" s="163" t="n">
        <x:v>11</x:v>
      </x:c>
      <x:c r="I371" s="163" t="n">
        <x:v>6</x:v>
      </x:c>
      <x:c r="J371" s="163" t="n">
        <x:v>3</x:v>
      </x:c>
      <x:c r="K371" s="163" t="n">
        <x:v>1</x:v>
      </x:c>
      <x:c r="L371" s="164" t="n">
        <x:v>1924</x:v>
      </x:c>
      <x:c r="M371" s="164" t="n">
        <x:v>331117</x:v>
      </x:c>
      <x:c r="N371" s="164" t="n">
        <x:v>128340</x:v>
      </x:c>
      <x:c r="O371" s="165" t="n">
        <x:f>IFERROR(F371/E371,0)</x:f>
        <x:v>0.020024028834601523</x:v>
      </x:c>
      <x:c r="P371" s="166" t="n">
        <x:f>IFERROR(L371/F371,0)</x:f>
        <x:v>7.696</x:v>
      </x:c>
      <x:c r="Q371" s="165" t="n">
        <x:f>IFERROR(G371/F371,0)</x:f>
        <x:v>0.068</x:v>
      </x:c>
      <x:c r="R371" s="164" t="n">
        <x:f>IFERROR(L371/G371,0)</x:f>
        <x:v>113.17647058823529</x:v>
      </x:c>
      <x:c r="S371" s="167" t="n">
        <x:f>IFERROR(N371/L371,0)</x:f>
        <x:v>66.70478170478171</x:v>
      </x:c>
      <x:c r="T371" s="165" t="n">
        <x:f>IFERROR(K371/J371,0)</x:f>
        <x:v>0.3333333333333333</x:v>
      </x:c>
    </x:row>
    <x:row r="372">
      <x:c r="A372" s="161" t="n">
        <x:v>46143</x:v>
      </x:c>
      <x:c r="B372" s="162" t="str">
        <x:v>Trade Media</x:v>
      </x:c>
      <x:c r="C372" s="162" t="str">
        <x:v>Northeast</x:v>
      </x:c>
      <x:c r="D372" s="162" t="str">
        <x:v>Labeling Systems</x:v>
      </x:c>
      <x:c r="E372" s="163" t="n">
        <x:v>12210</x:v>
      </x:c>
      <x:c r="F372" s="163" t="n">
        <x:v>264</x:v>
      </x:c>
      <x:c r="G372" s="163" t="n">
        <x:v>18</x:v>
      </x:c>
      <x:c r="H372" s="163" t="n">
        <x:v>12</x:v>
      </x:c>
      <x:c r="I372" s="163" t="n">
        <x:v>7</x:v>
      </x:c>
      <x:c r="J372" s="163" t="n">
        <x:v>4</x:v>
      </x:c>
      <x:c r="K372" s="163" t="n">
        <x:v>1</x:v>
      </x:c>
      <x:c r="L372" s="164" t="n">
        <x:v>2032</x:v>
      </x:c>
      <x:c r="M372" s="164" t="n">
        <x:v>153562</x:v>
      </x:c>
      <x:c r="N372" s="164" t="n">
        <x:v>44640</x:v>
      </x:c>
      <x:c r="O372" s="165" t="n">
        <x:f>IFERROR(F372/E372,0)</x:f>
        <x:v>0.021621621621621623</x:v>
      </x:c>
      <x:c r="P372" s="166" t="n">
        <x:f>IFERROR(L372/F372,0)</x:f>
        <x:v>7.696969696969697</x:v>
      </x:c>
      <x:c r="Q372" s="165" t="n">
        <x:f>IFERROR(G372/F372,0)</x:f>
        <x:v>0.06818181818181818</x:v>
      </x:c>
      <x:c r="R372" s="164" t="n">
        <x:f>IFERROR(L372/G372,0)</x:f>
        <x:v>112.88888888888889</x:v>
      </x:c>
      <x:c r="S372" s="167" t="n">
        <x:f>IFERROR(N372/L372,0)</x:f>
        <x:v>21.968503937007874</x:v>
      </x:c>
      <x:c r="T372" s="165" t="n">
        <x:f>IFERROR(K372/J372,0)</x:f>
        <x:v>0.25</x:v>
      </x:c>
    </x:row>
    <x:row r="373">
      <x:c r="A373" s="161" t="n">
        <x:v>46143</x:v>
      </x:c>
      <x:c r="B373" s="162" t="str">
        <x:v>Trade Media</x:v>
      </x:c>
      <x:c r="C373" s="162" t="str">
        <x:v>Northeast</x:v>
      </x:c>
      <x:c r="D373" s="162" t="str">
        <x:v>Case Packers</x:v>
      </x:c>
      <x:c r="E373" s="163" t="n">
        <x:v>13145</x:v>
      </x:c>
      <x:c r="F373" s="163" t="n">
        <x:v>305</x:v>
      </x:c>
      <x:c r="G373" s="163" t="n">
        <x:v>21</x:v>
      </x:c>
      <x:c r="H373" s="163" t="n">
        <x:v>15</x:v>
      </x:c>
      <x:c r="I373" s="163" t="n">
        <x:v>8</x:v>
      </x:c>
      <x:c r="J373" s="163" t="n">
        <x:v>5</x:v>
      </x:c>
      <x:c r="K373" s="163" t="n">
        <x:v>2</x:v>
      </x:c>
      <x:c r="L373" s="164" t="n">
        <x:v>2347</x:v>
      </x:c>
      <x:c r="M373" s="164" t="n">
        <x:v>447888</x:v>
      </x:c>
      <x:c r="N373" s="164" t="n">
        <x:v>208320</x:v>
      </x:c>
      <x:c r="O373" s="165" t="n">
        <x:f>IFERROR(F373/E373,0)</x:f>
        <x:v>0.02320273868391023</x:v>
      </x:c>
      <x:c r="P373" s="166" t="n">
        <x:f>IFERROR(L373/F373,0)</x:f>
        <x:v>7.695081967213115</x:v>
      </x:c>
      <x:c r="Q373" s="165" t="n">
        <x:f>IFERROR(G373/F373,0)</x:f>
        <x:v>0.06885245901639345</x:v>
      </x:c>
      <x:c r="R373" s="164" t="n">
        <x:f>IFERROR(L373/G373,0)</x:f>
        <x:v>111.76190476190476</x:v>
      </x:c>
      <x:c r="S373" s="167" t="n">
        <x:f>IFERROR(N373/L373,0)</x:f>
        <x:v>88.76011930123562</x:v>
      </x:c>
      <x:c r="T373" s="165" t="n">
        <x:f>IFERROR(K373/J373,0)</x:f>
        <x:v>0.4</x:v>
      </x:c>
    </x:row>
    <x:row r="374">
      <x:c r="A374" s="161" t="n">
        <x:v>46143</x:v>
      </x:c>
      <x:c r="B374" s="162" t="str">
        <x:v>Trade Media</x:v>
      </x:c>
      <x:c r="C374" s="162" t="str">
        <x:v>Midwest</x:v>
      </x:c>
      <x:c r="D374" s="162" t="str">
        <x:v>Pouch Fillers</x:v>
      </x:c>
      <x:c r="E374" s="163" t="n">
        <x:v>12155</x:v>
      </x:c>
      <x:c r="F374" s="163" t="n">
        <x:v>253</x:v>
      </x:c>
      <x:c r="G374" s="163" t="n">
        <x:v>17</x:v>
      </x:c>
      <x:c r="H374" s="163" t="n">
        <x:v>11</x:v>
      </x:c>
      <x:c r="I374" s="163" t="n">
        <x:v>6</x:v>
      </x:c>
      <x:c r="J374" s="163" t="n">
        <x:v>3</x:v>
      </x:c>
      <x:c r="K374" s="163" t="n">
        <x:v>1</x:v>
      </x:c>
      <x:c r="L374" s="164" t="n">
        <x:v>1975</x:v>
      </x:c>
      <x:c r="M374" s="164" t="n">
        <x:v>202040</x:v>
      </x:c>
      <x:c r="N374" s="164" t="n">
        <x:v>78310</x:v>
      </x:c>
      <x:c r="O374" s="165" t="n">
        <x:f>IFERROR(F374/E374,0)</x:f>
        <x:v>0.02081447963800905</x:v>
      </x:c>
      <x:c r="P374" s="166" t="n">
        <x:f>IFERROR(L374/F374,0)</x:f>
        <x:v>7.8063241106719365</x:v>
      </x:c>
      <x:c r="Q374" s="165" t="n">
        <x:f>IFERROR(G374/F374,0)</x:f>
        <x:v>0.06719367588932806</x:v>
      </x:c>
      <x:c r="R374" s="164" t="n">
        <x:f>IFERROR(L374/G374,0)</x:f>
        <x:v>116.17647058823529</x:v>
      </x:c>
      <x:c r="S374" s="167" t="n">
        <x:f>IFERROR(N374/L374,0)</x:f>
        <x:v>39.65063291139241</x:v>
      </x:c>
      <x:c r="T374" s="165" t="n">
        <x:f>IFERROR(K374/J374,0)</x:f>
        <x:v>0.3333333333333333</x:v>
      </x:c>
    </x:row>
    <x:row r="375">
      <x:c r="A375" s="161" t="n">
        <x:v>46143</x:v>
      </x:c>
      <x:c r="B375" s="162" t="str">
        <x:v>Trade Media</x:v>
      </x:c>
      <x:c r="C375" s="162" t="str">
        <x:v>Midwest</x:v>
      </x:c>
      <x:c r="D375" s="162" t="str">
        <x:v>Cartoning Machines</x:v>
      </x:c>
      <x:c r="E375" s="163" t="n">
        <x:v>11880</x:v>
      </x:c>
      <x:c r="F375" s="163" t="n">
        <x:v>266</x:v>
      </x:c>
      <x:c r="G375" s="163" t="n">
        <x:v>18</x:v>
      </x:c>
      <x:c r="H375" s="163" t="n">
        <x:v>12</x:v>
      </x:c>
      <x:c r="I375" s="163" t="n">
        <x:v>7</x:v>
      </x:c>
      <x:c r="J375" s="163" t="n">
        <x:v>4</x:v>
      </x:c>
      <x:c r="K375" s="163" t="n">
        <x:v>1</x:v>
      </x:c>
      <x:c r="L375" s="164" t="n">
        <x:v>2077</x:v>
      </x:c>
      <x:c r="M375" s="164" t="n">
        <x:v>453358</x:v>
      </x:c>
      <x:c r="N375" s="164" t="n">
        <x:v>131790</x:v>
      </x:c>
      <x:c r="O375" s="165" t="n">
        <x:f>IFERROR(F375/E375,0)</x:f>
        <x:v>0.02239057239057239</x:v>
      </x:c>
      <x:c r="P375" s="166" t="n">
        <x:f>IFERROR(L375/F375,0)</x:f>
        <x:v>7.80827067669173</x:v>
      </x:c>
      <x:c r="Q375" s="165" t="n">
        <x:f>IFERROR(G375/F375,0)</x:f>
        <x:v>0.06766917293233082</x:v>
      </x:c>
      <x:c r="R375" s="164" t="n">
        <x:f>IFERROR(L375/G375,0)</x:f>
        <x:v>115.38888888888889</x:v>
      </x:c>
      <x:c r="S375" s="167" t="n">
        <x:f>IFERROR(N375/L375,0)</x:f>
        <x:v>63.4520943668753</x:v>
      </x:c>
      <x:c r="T375" s="165" t="n">
        <x:f>IFERROR(K375/J375,0)</x:f>
        <x:v>0.25</x:v>
      </x:c>
    </x:row>
    <x:row r="376">
      <x:c r="A376" s="161" t="n">
        <x:v>46143</x:v>
      </x:c>
      <x:c r="B376" s="162" t="str">
        <x:v>Trade Media</x:v>
      </x:c>
      <x:c r="C376" s="162" t="str">
        <x:v>Midwest</x:v>
      </x:c>
      <x:c r="D376" s="162" t="str">
        <x:v>Labeling Systems</x:v>
      </x:c>
      <x:c r="E376" s="163" t="n">
        <x:v>12815</x:v>
      </x:c>
      <x:c r="F376" s="163" t="n">
        <x:v>256</x:v>
      </x:c>
      <x:c r="G376" s="163" t="n">
        <x:v>17</x:v>
      </x:c>
      <x:c r="H376" s="163" t="n">
        <x:v>11</x:v>
      </x:c>
      <x:c r="I376" s="163" t="n">
        <x:v>6</x:v>
      </x:c>
      <x:c r="J376" s="163" t="n">
        <x:v>3</x:v>
      </x:c>
      <x:c r="K376" s="163" t="n">
        <x:v>1</x:v>
      </x:c>
      <x:c r="L376" s="164" t="n">
        <x:v>1999</x:v>
      </x:c>
      <x:c r="M376" s="164" t="n">
        <x:v>118267</x:v>
      </x:c>
      <x:c r="N376" s="164" t="n">
        <x:v>45840</x:v>
      </x:c>
      <x:c r="O376" s="165" t="n">
        <x:f>IFERROR(F376/E376,0)</x:f>
        <x:v>0.01997658993367148</x:v>
      </x:c>
      <x:c r="P376" s="166" t="n">
        <x:f>IFERROR(L376/F376,0)</x:f>
        <x:v>7.80859375</x:v>
      </x:c>
      <x:c r="Q376" s="165" t="n">
        <x:f>IFERROR(G376/F376,0)</x:f>
        <x:v>0.06640625</x:v>
      </x:c>
      <x:c r="R376" s="164" t="n">
        <x:f>IFERROR(L376/G376,0)</x:f>
        <x:v>117.58823529411765</x:v>
      </x:c>
      <x:c r="S376" s="167" t="n">
        <x:f>IFERROR(N376/L376,0)</x:f>
        <x:v>22.93146573286643</x:v>
      </x:c>
      <x:c r="T376" s="165" t="n">
        <x:f>IFERROR(K376/J376,0)</x:f>
        <x:v>0.3333333333333333</x:v>
      </x:c>
    </x:row>
    <x:row r="377">
      <x:c r="A377" s="161" t="n">
        <x:v>46143</x:v>
      </x:c>
      <x:c r="B377" s="162" t="str">
        <x:v>Trade Media</x:v>
      </x:c>
      <x:c r="C377" s="162" t="str">
        <x:v>Midwest</x:v>
      </x:c>
      <x:c r="D377" s="162" t="str">
        <x:v>Case Packers</x:v>
      </x:c>
      <x:c r="E377" s="163" t="n">
        <x:v>12540</x:v>
      </x:c>
      <x:c r="F377" s="163" t="n">
        <x:v>271</x:v>
      </x:c>
      <x:c r="G377" s="163" t="n">
        <x:v>19</x:v>
      </x:c>
      <x:c r="H377" s="163" t="n">
        <x:v>13</x:v>
      </x:c>
      <x:c r="I377" s="163" t="n">
        <x:v>7</x:v>
      </x:c>
      <x:c r="J377" s="163" t="n">
        <x:v>4</x:v>
      </x:c>
      <x:c r="K377" s="163" t="n">
        <x:v>1</x:v>
      </x:c>
      <x:c r="L377" s="164" t="n">
        <x:v>2116</x:v>
      </x:c>
      <x:c r="M377" s="164" t="n">
        <x:v>367942</x:v>
      </x:c>
      <x:c r="N377" s="164" t="n">
        <x:v>106960</x:v>
      </x:c>
      <x:c r="O377" s="165" t="n">
        <x:f>IFERROR(F377/E377,0)</x:f>
        <x:v>0.02161084529505582</x:v>
      </x:c>
      <x:c r="P377" s="166" t="n">
        <x:f>IFERROR(L377/F377,0)</x:f>
        <x:v>7.808118081180812</x:v>
      </x:c>
      <x:c r="Q377" s="165" t="n">
        <x:f>IFERROR(G377/F377,0)</x:f>
        <x:v>0.07011070110701106</x:v>
      </x:c>
      <x:c r="R377" s="164" t="n">
        <x:f>IFERROR(L377/G377,0)</x:f>
        <x:v>111.36842105263158</x:v>
      </x:c>
      <x:c r="S377" s="167" t="n">
        <x:f>IFERROR(N377/L377,0)</x:f>
        <x:v>50.54820415879017</x:v>
      </x:c>
      <x:c r="T377" s="165" t="n">
        <x:f>IFERROR(K377/J377,0)</x:f>
        <x:v>0.25</x:v>
      </x:c>
    </x:row>
    <x:row r="378">
      <x:c r="A378" s="161" t="n">
        <x:v>46143</x:v>
      </x:c>
      <x:c r="B378" s="162" t="str">
        <x:v>Trade Media</x:v>
      </x:c>
      <x:c r="C378" s="162" t="str">
        <x:v>South</x:v>
      </x:c>
      <x:c r="D378" s="162" t="str">
        <x:v>Pouch Fillers</x:v>
      </x:c>
      <x:c r="E378" s="163" t="n">
        <x:v>12760</x:v>
      </x:c>
      <x:c r="F378" s="163" t="n">
        <x:v>296</x:v>
      </x:c>
      <x:c r="G378" s="163" t="n">
        <x:v>20</x:v>
      </x:c>
      <x:c r="H378" s="163" t="n">
        <x:v>12</x:v>
      </x:c>
      <x:c r="I378" s="163" t="n">
        <x:v>7</x:v>
      </x:c>
      <x:c r="J378" s="163" t="n">
        <x:v>3</x:v>
      </x:c>
      <x:c r="K378" s="163" t="n">
        <x:v>1</x:v>
      </x:c>
      <x:c r="L378" s="164" t="n">
        <x:v>2344</x:v>
      </x:c>
      <x:c r="M378" s="164" t="n">
        <x:v>207329</x:v>
      </x:c>
      <x:c r="N378" s="164" t="n">
        <x:v>80360</x:v>
      </x:c>
      <x:c r="O378" s="165" t="n">
        <x:f>IFERROR(F378/E378,0)</x:f>
        <x:v>0.023197492163009405</x:v>
      </x:c>
      <x:c r="P378" s="166" t="n">
        <x:f>IFERROR(L378/F378,0)</x:f>
        <x:v>7.918918918918919</x:v>
      </x:c>
      <x:c r="Q378" s="165" t="n">
        <x:f>IFERROR(G378/F378,0)</x:f>
        <x:v>0.06756756756756757</x:v>
      </x:c>
      <x:c r="R378" s="164" t="n">
        <x:f>IFERROR(L378/G378,0)</x:f>
        <x:v>117.2</x:v>
      </x:c>
      <x:c r="S378" s="167" t="n">
        <x:f>IFERROR(N378/L378,0)</x:f>
        <x:v>34.28327645051195</x:v>
      </x:c>
      <x:c r="T378" s="165" t="n">
        <x:f>IFERROR(K378/J378,0)</x:f>
        <x:v>0.3333333333333333</x:v>
      </x:c>
    </x:row>
    <x:row r="379">
      <x:c r="A379" s="161" t="n">
        <x:v>46143</x:v>
      </x:c>
      <x:c r="B379" s="162" t="str">
        <x:v>Trade Media</x:v>
      </x:c>
      <x:c r="C379" s="162" t="str">
        <x:v>South</x:v>
      </x:c>
      <x:c r="D379" s="162" t="str">
        <x:v>Cartoning Machines</x:v>
      </x:c>
      <x:c r="E379" s="163" t="n">
        <x:v>12485</x:v>
      </x:c>
      <x:c r="F379" s="163" t="n">
        <x:v>260</x:v>
      </x:c>
      <x:c r="G379" s="163" t="n">
        <x:v>18</x:v>
      </x:c>
      <x:c r="H379" s="163" t="n">
        <x:v>12</x:v>
      </x:c>
      <x:c r="I379" s="163" t="n">
        <x:v>7</x:v>
      </x:c>
      <x:c r="J379" s="163" t="n">
        <x:v>4</x:v>
      </x:c>
      <x:c r="K379" s="163" t="n">
        <x:v>1</x:v>
      </x:c>
      <x:c r="L379" s="164" t="n">
        <x:v>2059</x:v>
      </x:c>
      <x:c r="M379" s="164" t="n">
        <x:v>465226</x:v>
      </x:c>
      <x:c r="N379" s="164" t="n">
        <x:v>135240</x:v>
      </x:c>
      <x:c r="O379" s="165" t="n">
        <x:f>IFERROR(F379/E379,0)</x:f>
        <x:v>0.020824989987985584</x:v>
      </x:c>
      <x:c r="P379" s="166" t="n">
        <x:f>IFERROR(L379/F379,0)</x:f>
        <x:v>7.9192307692307695</x:v>
      </x:c>
      <x:c r="Q379" s="165" t="n">
        <x:f>IFERROR(G379/F379,0)</x:f>
        <x:v>0.06923076923076923</x:v>
      </x:c>
      <x:c r="R379" s="164" t="n">
        <x:f>IFERROR(L379/G379,0)</x:f>
        <x:v>114.38888888888889</x:v>
      </x:c>
      <x:c r="S379" s="167" t="n">
        <x:f>IFERROR(N379/L379,0)</x:f>
        <x:v>65.68237008256435</x:v>
      </x:c>
      <x:c r="T379" s="165" t="n">
        <x:f>IFERROR(K379/J379,0)</x:f>
        <x:v>0.25</x:v>
      </x:c>
    </x:row>
    <x:row r="380">
      <x:c r="A380" s="161" t="n">
        <x:v>46143</x:v>
      </x:c>
      <x:c r="B380" s="162" t="str">
        <x:v>Trade Media</x:v>
      </x:c>
      <x:c r="C380" s="162" t="str">
        <x:v>South</x:v>
      </x:c>
      <x:c r="D380" s="162" t="str">
        <x:v>Labeling Systems</x:v>
      </x:c>
      <x:c r="E380" s="163" t="n">
        <x:v>13420</x:v>
      </x:c>
      <x:c r="F380" s="163" t="n">
        <x:v>301</x:v>
      </x:c>
      <x:c r="G380" s="163" t="n">
        <x:v>20</x:v>
      </x:c>
      <x:c r="H380" s="163" t="n">
        <x:v>13</x:v>
      </x:c>
      <x:c r="I380" s="163" t="n">
        <x:v>8</x:v>
      </x:c>
      <x:c r="J380" s="163" t="n">
        <x:v>4</x:v>
      </x:c>
      <x:c r="K380" s="163" t="n">
        <x:v>1</x:v>
      </x:c>
      <x:c r="L380" s="164" t="n">
        <x:v>2383</x:v>
      </x:c>
      <x:c r="M380" s="164" t="n">
        <x:v>161818</x:v>
      </x:c>
      <x:c r="N380" s="164" t="n">
        <x:v>47040</x:v>
      </x:c>
      <x:c r="O380" s="165" t="n">
        <x:f>IFERROR(F380/E380,0)</x:f>
        <x:v>0.02242921013412817</x:v>
      </x:c>
      <x:c r="P380" s="166" t="n">
        <x:f>IFERROR(L380/F380,0)</x:f>
        <x:v>7.916943521594685</x:v>
      </x:c>
      <x:c r="Q380" s="165" t="n">
        <x:f>IFERROR(G380/F380,0)</x:f>
        <x:v>0.0664451827242525</x:v>
      </x:c>
      <x:c r="R380" s="164" t="n">
        <x:f>IFERROR(L380/G380,0)</x:f>
        <x:v>119.15</x:v>
      </x:c>
      <x:c r="S380" s="167" t="n">
        <x:f>IFERROR(N380/L380,0)</x:f>
        <x:v>19.739823751573645</x:v>
      </x:c>
      <x:c r="T380" s="165" t="n">
        <x:f>IFERROR(K380/J380,0)</x:f>
        <x:v>0.25</x:v>
      </x:c>
    </x:row>
    <x:row r="381">
      <x:c r="A381" s="161" t="n">
        <x:v>46143</x:v>
      </x:c>
      <x:c r="B381" s="162" t="str">
        <x:v>Trade Media</x:v>
      </x:c>
      <x:c r="C381" s="162" t="str">
        <x:v>South</x:v>
      </x:c>
      <x:c r="D381" s="162" t="str">
        <x:v>Case Packers</x:v>
      </x:c>
      <x:c r="E381" s="163" t="n">
        <x:v>13145</x:v>
      </x:c>
      <x:c r="F381" s="163" t="n">
        <x:v>263</x:v>
      </x:c>
      <x:c r="G381" s="163" t="n">
        <x:v>18</x:v>
      </x:c>
      <x:c r="H381" s="163" t="n">
        <x:v>13</x:v>
      </x:c>
      <x:c r="I381" s="163" t="n">
        <x:v>8</x:v>
      </x:c>
      <x:c r="J381" s="163" t="n">
        <x:v>5</x:v>
      </x:c>
      <x:c r="K381" s="163" t="n">
        <x:v>2</x:v>
      </x:c>
      <x:c r="L381" s="164" t="n">
        <x:v>2082</x:v>
      </x:c>
      <x:c r="M381" s="164" t="n">
        <x:v>471968</x:v>
      </x:c>
      <x:c r="N381" s="164" t="n">
        <x:v>219520</x:v>
      </x:c>
      <x:c r="O381" s="165" t="n">
        <x:f>IFERROR(F381/E381,0)</x:f>
        <x:v>0.0200076074553062</x:v>
      </x:c>
      <x:c r="P381" s="166" t="n">
        <x:f>IFERROR(L381/F381,0)</x:f>
        <x:v>7.916349809885932</x:v>
      </x:c>
      <x:c r="Q381" s="165" t="n">
        <x:f>IFERROR(G381/F381,0)</x:f>
        <x:v>0.06844106463878327</x:v>
      </x:c>
      <x:c r="R381" s="164" t="n">
        <x:f>IFERROR(L381/G381,0)</x:f>
        <x:v>115.66666666666667</x:v>
      </x:c>
      <x:c r="S381" s="167" t="n">
        <x:f>IFERROR(N381/L381,0)</x:f>
        <x:v>105.43707973102786</x:v>
      </x:c>
      <x:c r="T381" s="165" t="n">
        <x:f>IFERROR(K381/J381,0)</x:f>
        <x:v>0.4</x:v>
      </x:c>
    </x:row>
    <x:row r="382">
      <x:c r="A382" s="161" t="n">
        <x:v>46143</x:v>
      </x:c>
      <x:c r="B382" s="162" t="str">
        <x:v>Trade Media</x:v>
      </x:c>
      <x:c r="C382" s="162" t="str">
        <x:v>West</x:v>
      </x:c>
      <x:c r="D382" s="162" t="str">
        <x:v>Pouch Fillers</x:v>
      </x:c>
      <x:c r="E382" s="163" t="n">
        <x:v>13365</x:v>
      </x:c>
      <x:c r="F382" s="163" t="n">
        <x:v>289</x:v>
      </x:c>
      <x:c r="G382" s="163" t="n">
        <x:v>19</x:v>
      </x:c>
      <x:c r="H382" s="163" t="n">
        <x:v>12</x:v>
      </x:c>
      <x:c r="I382" s="163" t="n">
        <x:v>7</x:v>
      </x:c>
      <x:c r="J382" s="163" t="n">
        <x:v>3</x:v>
      </x:c>
      <x:c r="K382" s="163" t="n">
        <x:v>1</x:v>
      </x:c>
      <x:c r="L382" s="164" t="n">
        <x:v>2320</x:v>
      </x:c>
      <x:c r="M382" s="164" t="n">
        <x:v>212618</x:v>
      </x:c>
      <x:c r="N382" s="164" t="n">
        <x:v>82410</x:v>
      </x:c>
      <x:c r="O382" s="165" t="n">
        <x:f>IFERROR(F382/E382,0)</x:f>
        <x:v>0.02162364384586607</x:v>
      </x:c>
      <x:c r="P382" s="166" t="n">
        <x:f>IFERROR(L382/F382,0)</x:f>
        <x:v>8.027681660899654</x:v>
      </x:c>
      <x:c r="Q382" s="165" t="n">
        <x:f>IFERROR(G382/F382,0)</x:f>
        <x:v>0.0657439446366782</x:v>
      </x:c>
      <x:c r="R382" s="164" t="n">
        <x:f>IFERROR(L382/G382,0)</x:f>
        <x:v>122.10526315789474</x:v>
      </x:c>
      <x:c r="S382" s="167" t="n">
        <x:f>IFERROR(N382/L382,0)</x:f>
        <x:v>35.52155172413793</x:v>
      </x:c>
      <x:c r="T382" s="165" t="n">
        <x:f>IFERROR(K382/J382,0)</x:f>
        <x:v>0.3333333333333333</x:v>
      </x:c>
    </x:row>
    <x:row r="383">
      <x:c r="A383" s="161" t="n">
        <x:v>46143</x:v>
      </x:c>
      <x:c r="B383" s="162" t="str">
        <x:v>Trade Media</x:v>
      </x:c>
      <x:c r="C383" s="162" t="str">
        <x:v>West</x:v>
      </x:c>
      <x:c r="D383" s="162" t="str">
        <x:v>Cartoning Machines</x:v>
      </x:c>
      <x:c r="E383" s="163" t="n">
        <x:v>13090</x:v>
      </x:c>
      <x:c r="F383" s="163" t="n">
        <x:v>304</x:v>
      </x:c>
      <x:c r="G383" s="163" t="n">
        <x:v>21</x:v>
      </x:c>
      <x:c r="H383" s="163" t="n">
        <x:v>14</x:v>
      </x:c>
      <x:c r="I383" s="163" t="n">
        <x:v>9</x:v>
      </x:c>
      <x:c r="J383" s="163" t="n">
        <x:v>5</x:v>
      </x:c>
      <x:c r="K383" s="163" t="n">
        <x:v>2</x:v>
      </x:c>
      <x:c r="L383" s="164" t="n">
        <x:v>2441</x:v>
      </x:c>
      <x:c r="M383" s="164" t="n">
        <x:v>596367</x:v>
      </x:c>
      <x:c r="N383" s="164" t="n">
        <x:v>277380</x:v>
      </x:c>
      <x:c r="O383" s="165" t="n">
        <x:f>IFERROR(F383/E383,0)</x:f>
        <x:v>0.02322383498854087</x:v>
      </x:c>
      <x:c r="P383" s="166" t="n">
        <x:f>IFERROR(L383/F383,0)</x:f>
        <x:v>8.029605263157896</x:v>
      </x:c>
      <x:c r="Q383" s="165" t="n">
        <x:f>IFERROR(G383/F383,0)</x:f>
        <x:v>0.06907894736842106</x:v>
      </x:c>
      <x:c r="R383" s="164" t="n">
        <x:f>IFERROR(L383/G383,0)</x:f>
        <x:v>116.23809523809524</x:v>
      </x:c>
      <x:c r="S383" s="167" t="n">
        <x:f>IFERROR(N383/L383,0)</x:f>
        <x:v>113.63375665710774</x:v>
      </x:c>
      <x:c r="T383" s="165" t="n">
        <x:f>IFERROR(K383/J383,0)</x:f>
        <x:v>0.4</x:v>
      </x:c>
    </x:row>
    <x:row r="384">
      <x:c r="A384" s="161" t="n">
        <x:v>46143</x:v>
      </x:c>
      <x:c r="B384" s="162" t="str">
        <x:v>Trade Media</x:v>
      </x:c>
      <x:c r="C384" s="162" t="str">
        <x:v>West</x:v>
      </x:c>
      <x:c r="D384" s="162" t="str">
        <x:v>Labeling Systems</x:v>
      </x:c>
      <x:c r="E384" s="163" t="n">
        <x:v>14025</x:v>
      </x:c>
      <x:c r="F384" s="163" t="n">
        <x:v>292</x:v>
      </x:c>
      <x:c r="G384" s="163" t="n">
        <x:v>20</x:v>
      </x:c>
      <x:c r="H384" s="163" t="n">
        <x:v>13</x:v>
      </x:c>
      <x:c r="I384" s="163" t="n">
        <x:v>8</x:v>
      </x:c>
      <x:c r="J384" s="163" t="n">
        <x:v>4</x:v>
      </x:c>
      <x:c r="K384" s="163" t="n">
        <x:v>1</x:v>
      </x:c>
      <x:c r="L384" s="164" t="n">
        <x:v>2344</x:v>
      </x:c>
      <x:c r="M384" s="164" t="n">
        <x:v>165946</x:v>
      </x:c>
      <x:c r="N384" s="164" t="n">
        <x:v>48240</x:v>
      </x:c>
      <x:c r="O384" s="165" t="n">
        <x:f>IFERROR(F384/E384,0)</x:f>
        <x:v>0.020819964349376115</x:v>
      </x:c>
      <x:c r="P384" s="166" t="n">
        <x:f>IFERROR(L384/F384,0)</x:f>
        <x:v>8.027397260273972</x:v>
      </x:c>
      <x:c r="Q384" s="165" t="n">
        <x:f>IFERROR(G384/F384,0)</x:f>
        <x:v>0.0684931506849315</x:v>
      </x:c>
      <x:c r="R384" s="164" t="n">
        <x:f>IFERROR(L384/G384,0)</x:f>
        <x:v>117.2</x:v>
      </x:c>
      <x:c r="S384" s="167" t="n">
        <x:f>IFERROR(N384/L384,0)</x:f>
        <x:v>20.580204778156997</x:v>
      </x:c>
      <x:c r="T384" s="165" t="n">
        <x:f>IFERROR(K384/J384,0)</x:f>
        <x:v>0.25</x:v>
      </x:c>
    </x:row>
    <x:row r="385">
      <x:c r="A385" s="161" t="n">
        <x:v>46143</x:v>
      </x:c>
      <x:c r="B385" s="162" t="str">
        <x:v>Trade Media</x:v>
      </x:c>
      <x:c r="C385" s="162" t="str">
        <x:v>West</x:v>
      </x:c>
      <x:c r="D385" s="162" t="str">
        <x:v>Case Packers</x:v>
      </x:c>
      <x:c r="E385" s="163" t="n">
        <x:v>13750</x:v>
      </x:c>
      <x:c r="F385" s="163" t="n">
        <x:v>308</x:v>
      </x:c>
      <x:c r="G385" s="163" t="n">
        <x:v>21</x:v>
      </x:c>
      <x:c r="H385" s="163" t="n">
        <x:v>15</x:v>
      </x:c>
      <x:c r="I385" s="163" t="n">
        <x:v>9</x:v>
      </x:c>
      <x:c r="J385" s="163" t="n">
        <x:v>5</x:v>
      </x:c>
      <x:c r="K385" s="163" t="n">
        <x:v>2</x:v>
      </x:c>
      <x:c r="L385" s="164" t="n">
        <x:v>2473</x:v>
      </x:c>
      <x:c r="M385" s="164" t="n">
        <x:v>484008</x:v>
      </x:c>
      <x:c r="N385" s="164" t="n">
        <x:v>225120</x:v>
      </x:c>
      <x:c r="O385" s="165" t="n">
        <x:f>IFERROR(F385/E385,0)</x:f>
        <x:v>0.0224</x:v>
      </x:c>
      <x:c r="P385" s="166" t="n">
        <x:f>IFERROR(L385/F385,0)</x:f>
        <x:v>8.029220779220779</x:v>
      </x:c>
      <x:c r="Q385" s="165" t="n">
        <x:f>IFERROR(G385/F385,0)</x:f>
        <x:v>0.06818181818181818</x:v>
      </x:c>
      <x:c r="R385" s="164" t="n">
        <x:f>IFERROR(L385/G385,0)</x:f>
        <x:v>117.76190476190476</x:v>
      </x:c>
      <x:c r="S385" s="167" t="n">
        <x:f>IFERROR(N385/L385,0)</x:f>
        <x:v>91.03113627173474</x:v>
      </x:c>
      <x:c r="T385" s="165" t="n">
        <x:f>IFERROR(K385/J385,0)</x:f>
        <x:v>0.4</x:v>
      </x:c>
    </x:row>
    <x:row r="386">
      <x:c r="A386" s="161" t="n">
        <x:v>46143</x:v>
      </x:c>
      <x:c r="B386" s="162" t="str">
        <x:v>Retargeting</x:v>
      </x:c>
      <x:c r="C386" s="162" t="str">
        <x:v>Northeast</x:v>
      </x:c>
      <x:c r="D386" s="162" t="str">
        <x:v>Pouch Fillers</x:v>
      </x:c>
      <x:c r="E386" s="163" t="n">
        <x:v>18360</x:v>
      </x:c>
      <x:c r="F386" s="163" t="n">
        <x:v>606</x:v>
      </x:c>
      <x:c r="G386" s="163" t="n">
        <x:v>50</x:v>
      </x:c>
      <x:c r="H386" s="163" t="n">
        <x:v>31</x:v>
      </x:c>
      <x:c r="I386" s="163" t="n">
        <x:v>17</x:v>
      </x:c>
      <x:c r="J386" s="163" t="n">
        <x:v>8</x:v>
      </x:c>
      <x:c r="K386" s="163" t="n">
        <x:v>2</x:v>
      </x:c>
      <x:c r="L386" s="164" t="n">
        <x:v>3025</x:v>
      </x:c>
      <x:c r="M386" s="164" t="n">
        <x:v>524669</x:v>
      </x:c>
      <x:c r="N386" s="164" t="n">
        <x:v>152520</x:v>
      </x:c>
      <x:c r="O386" s="165" t="n">
        <x:f>IFERROR(F386/E386,0)</x:f>
        <x:v>0.03300653594771242</x:v>
      </x:c>
      <x:c r="P386" s="166" t="n">
        <x:f>IFERROR(L386/F386,0)</x:f>
        <x:v>4.991749174917492</x:v>
      </x:c>
      <x:c r="Q386" s="165" t="n">
        <x:f>IFERROR(G386/F386,0)</x:f>
        <x:v>0.08250825082508251</x:v>
      </x:c>
      <x:c r="R386" s="164" t="n">
        <x:f>IFERROR(L386/G386,0)</x:f>
        <x:v>60.5</x:v>
      </x:c>
      <x:c r="S386" s="167" t="n">
        <x:f>IFERROR(N386/L386,0)</x:f>
        <x:v>50.4198347107438</x:v>
      </x:c>
      <x:c r="T386" s="165" t="n">
        <x:f>IFERROR(K386/J386,0)</x:f>
        <x:v>0.25</x:v>
      </x:c>
    </x:row>
    <x:row r="387">
      <x:c r="A387" s="161" t="n">
        <x:v>46143</x:v>
      </x:c>
      <x:c r="B387" s="162" t="str">
        <x:v>Retargeting</x:v>
      </x:c>
      <x:c r="C387" s="162" t="str">
        <x:v>Northeast</x:v>
      </x:c>
      <x:c r="D387" s="162" t="str">
        <x:v>Cartoning Machines</x:v>
      </x:c>
      <x:c r="E387" s="163" t="n">
        <x:v>19890</x:v>
      </x:c>
      <x:c r="F387" s="163" t="n">
        <x:v>688</x:v>
      </x:c>
      <x:c r="G387" s="163" t="n">
        <x:v>58</x:v>
      </x:c>
      <x:c r="H387" s="163" t="n">
        <x:v>37</x:v>
      </x:c>
      <x:c r="I387" s="163" t="n">
        <x:v>20</x:v>
      </x:c>
      <x:c r="J387" s="163" t="n">
        <x:v>10</x:v>
      </x:c>
      <x:c r="K387" s="163" t="n">
        <x:v>3</x:v>
      </x:c>
      <x:c r="L387" s="164" t="n">
        <x:v>3434</x:v>
      </x:c>
      <x:c r="M387" s="164" t="n">
        <x:v>1103724</x:v>
      </x:c>
      <x:c r="N387" s="164" t="n">
        <x:v>385020</x:v>
      </x:c>
      <x:c r="O387" s="165" t="n">
        <x:f>IFERROR(F387/E387,0)</x:f>
        <x:v>0.03459024635495224</x:v>
      </x:c>
      <x:c r="P387" s="166" t="n">
        <x:f>IFERROR(L387/F387,0)</x:f>
        <x:v>4.991279069767442</x:v>
      </x:c>
      <x:c r="Q387" s="165" t="n">
        <x:f>IFERROR(G387/F387,0)</x:f>
        <x:v>0.08430232558139535</x:v>
      </x:c>
      <x:c r="R387" s="164" t="n">
        <x:f>IFERROR(L387/G387,0)</x:f>
        <x:v>59.206896551724135</x:v>
      </x:c>
      <x:c r="S387" s="167" t="n">
        <x:f>IFERROR(N387/L387,0)</x:f>
        <x:v>112.11997670355271</x:v>
      </x:c>
      <x:c r="T387" s="165" t="n">
        <x:f>IFERROR(K387/J387,0)</x:f>
        <x:v>0.3</x:v>
      </x:c>
    </x:row>
    <x:row r="388">
      <x:c r="A388" s="161" t="n">
        <x:v>46143</x:v>
      </x:c>
      <x:c r="B388" s="162" t="str">
        <x:v>Retargeting</x:v>
      </x:c>
      <x:c r="C388" s="162" t="str">
        <x:v>Northeast</x:v>
      </x:c>
      <x:c r="D388" s="162" t="str">
        <x:v>Labeling Systems</x:v>
      </x:c>
      <x:c r="E388" s="163" t="n">
        <x:v>19440</x:v>
      </x:c>
      <x:c r="F388" s="163" t="n">
        <x:v>704</x:v>
      </x:c>
      <x:c r="G388" s="163" t="n">
        <x:v>58</x:v>
      </x:c>
      <x:c r="H388" s="163" t="n">
        <x:v>39</x:v>
      </x:c>
      <x:c r="I388" s="163" t="n">
        <x:v>21</x:v>
      </x:c>
      <x:c r="J388" s="163" t="n">
        <x:v>11</x:v>
      </x:c>
      <x:c r="K388" s="163" t="n">
        <x:v>3</x:v>
      </x:c>
      <x:c r="L388" s="164" t="n">
        <x:v>3514</x:v>
      </x:c>
      <x:c r="M388" s="164" t="n">
        <x:v>422294</x:v>
      </x:c>
      <x:c r="N388" s="164" t="n">
        <x:v>133920</x:v>
      </x:c>
      <x:c r="O388" s="165" t="n">
        <x:f>IFERROR(F388/E388,0)</x:f>
        <x:v>0.03621399176954732</x:v>
      </x:c>
      <x:c r="P388" s="166" t="n">
        <x:f>IFERROR(L388/F388,0)</x:f>
        <x:v>4.9914772727272725</x:v>
      </x:c>
      <x:c r="Q388" s="165" t="n">
        <x:f>IFERROR(G388/F388,0)</x:f>
        <x:v>0.08238636363636363</x:v>
      </x:c>
      <x:c r="R388" s="164" t="n">
        <x:f>IFERROR(L388/G388,0)</x:f>
        <x:v>60.58620689655172</x:v>
      </x:c>
      <x:c r="S388" s="167" t="n">
        <x:f>IFERROR(N388/L388,0)</x:f>
        <x:v>38.11041548093341</x:v>
      </x:c>
      <x:c r="T388" s="165" t="n">
        <x:f>IFERROR(K388/J388,0)</x:f>
        <x:v>0.2727272727272727</x:v>
      </x:c>
    </x:row>
    <x:row r="389">
      <x:c r="A389" s="161" t="n">
        <x:v>46143</x:v>
      </x:c>
      <x:c r="B389" s="162" t="str">
        <x:v>Retargeting</x:v>
      </x:c>
      <x:c r="C389" s="162" t="str">
        <x:v>Northeast</x:v>
      </x:c>
      <x:c r="D389" s="162" t="str">
        <x:v>Case Packers</x:v>
      </x:c>
      <x:c r="E389" s="163" t="n">
        <x:v>20970</x:v>
      </x:c>
      <x:c r="F389" s="163" t="n">
        <x:v>709</x:v>
      </x:c>
      <x:c r="G389" s="163" t="n">
        <x:v>60</x:v>
      </x:c>
      <x:c r="H389" s="163" t="n">
        <x:v>42</x:v>
      </x:c>
      <x:c r="I389" s="163" t="n">
        <x:v>23</x:v>
      </x:c>
      <x:c r="J389" s="163" t="n">
        <x:v>13</x:v>
      </x:c>
      <x:c r="K389" s="163" t="n">
        <x:v>4</x:v>
      </x:c>
      <x:c r="L389" s="164" t="n">
        <x:v>3539</x:v>
      </x:c>
      <x:c r="M389" s="164" t="n">
        <x:v>1164509</x:v>
      </x:c>
      <x:c r="N389" s="164" t="n">
        <x:v>416640</x:v>
      </x:c>
      <x:c r="O389" s="165" t="n">
        <x:f>IFERROR(F389/E389,0)</x:f>
        <x:v>0.033810205054840246</x:v>
      </x:c>
      <x:c r="P389" s="166" t="n">
        <x:f>IFERROR(L389/F389,0)</x:f>
        <x:v>4.9915373765867415</x:v>
      </x:c>
      <x:c r="Q389" s="165" t="n">
        <x:f>IFERROR(G389/F389,0)</x:f>
        <x:v>0.0846262341325811</x:v>
      </x:c>
      <x:c r="R389" s="164" t="n">
        <x:f>IFERROR(L389/G389,0)</x:f>
        <x:v>58.983333333333334</x:v>
      </x:c>
      <x:c r="S389" s="167" t="n">
        <x:f>IFERROR(N389/L389,0)</x:f>
        <x:v>117.72817179994348</x:v>
      </x:c>
      <x:c r="T389" s="165" t="n">
        <x:f>IFERROR(K389/J389,0)</x:f>
        <x:v>0.3076923076923077</x:v>
      </x:c>
    </x:row>
    <x:row r="390">
      <x:c r="A390" s="161" t="n">
        <x:v>46143</x:v>
      </x:c>
      <x:c r="B390" s="162" t="str">
        <x:v>Retargeting</x:v>
      </x:c>
      <x:c r="C390" s="162" t="str">
        <x:v>Midwest</x:v>
      </x:c>
      <x:c r="D390" s="162" t="str">
        <x:v>Pouch Fillers</x:v>
      </x:c>
      <x:c r="E390" s="163" t="n">
        <x:v>19350</x:v>
      </x:c>
      <x:c r="F390" s="163" t="n">
        <x:v>685</x:v>
      </x:c>
      <x:c r="G390" s="163" t="n">
        <x:v>57</x:v>
      </x:c>
      <x:c r="H390" s="163" t="n">
        <x:v>35</x:v>
      </x:c>
      <x:c r="I390" s="163" t="n">
        <x:v>20</x:v>
      </x:c>
      <x:c r="J390" s="163" t="n">
        <x:v>10</x:v>
      </x:c>
      <x:c r="K390" s="163" t="n">
        <x:v>3</x:v>
      </x:c>
      <x:c r="L390" s="164" t="n">
        <x:v>3469</x:v>
      </x:c>
      <x:c r="M390" s="164" t="n">
        <x:v>673466</x:v>
      </x:c>
      <x:c r="N390" s="164" t="n">
        <x:v>234930</x:v>
      </x:c>
      <x:c r="O390" s="165" t="n">
        <x:f>IFERROR(F390/E390,0)</x:f>
        <x:v>0.03540051679586563</x:v>
      </x:c>
      <x:c r="P390" s="166" t="n">
        <x:f>IFERROR(L390/F390,0)</x:f>
        <x:v>5.064233576642335</x:v>
      </x:c>
      <x:c r="Q390" s="165" t="n">
        <x:f>IFERROR(G390/F390,0)</x:f>
        <x:v>0.08321167883211679</x:v>
      </x:c>
      <x:c r="R390" s="164" t="n">
        <x:f>IFERROR(L390/G390,0)</x:f>
        <x:v>60.85964912280702</x:v>
      </x:c>
      <x:c r="S390" s="167" t="n">
        <x:f>IFERROR(N390/L390,0)</x:f>
        <x:v>67.72268665321418</x:v>
      </x:c>
      <x:c r="T390" s="165" t="n">
        <x:f>IFERROR(K390/J390,0)</x:f>
        <x:v>0.3</x:v>
      </x:c>
    </x:row>
    <x:row r="391">
      <x:c r="A391" s="161" t="n">
        <x:v>46143</x:v>
      </x:c>
      <x:c r="B391" s="162" t="str">
        <x:v>Retargeting</x:v>
      </x:c>
      <x:c r="C391" s="162" t="str">
        <x:v>Midwest</x:v>
      </x:c>
      <x:c r="D391" s="162" t="str">
        <x:v>Cartoning Machines</x:v>
      </x:c>
      <x:c r="E391" s="163" t="n">
        <x:v>20880</x:v>
      </x:c>
      <x:c r="F391" s="163" t="n">
        <x:v>689</x:v>
      </x:c>
      <x:c r="G391" s="163" t="n">
        <x:v>59</x:v>
      </x:c>
      <x:c r="H391" s="163" t="n">
        <x:v>38</x:v>
      </x:c>
      <x:c r="I391" s="163" t="n">
        <x:v>22</x:v>
      </x:c>
      <x:c r="J391" s="163" t="n">
        <x:v>11</x:v>
      </x:c>
      <x:c r="K391" s="163" t="n">
        <x:v>4</x:v>
      </x:c>
      <x:c r="L391" s="164" t="n">
        <x:v>3489</x:v>
      </x:c>
      <x:c r="M391" s="164" t="n">
        <x:v>1246733</x:v>
      </x:c>
      <x:c r="N391" s="164" t="n">
        <x:v>527160</x:v>
      </x:c>
      <x:c r="O391" s="165" t="n">
        <x:f>IFERROR(F391/E391,0)</x:f>
        <x:v>0.03299808429118774</x:v>
      </x:c>
      <x:c r="P391" s="166" t="n">
        <x:f>IFERROR(L391/F391,0)</x:f>
        <x:v>5.063860667634253</x:v>
      </x:c>
      <x:c r="Q391" s="165" t="n">
        <x:f>IFERROR(G391/F391,0)</x:f>
        <x:v>0.08563134978229318</x:v>
      </x:c>
      <x:c r="R391" s="164" t="n">
        <x:f>IFERROR(L391/G391,0)</x:f>
        <x:v>59.13559322033898</x:v>
      </x:c>
      <x:c r="S391" s="167" t="n">
        <x:f>IFERROR(N391/L391,0)</x:f>
        <x:v>151.0920034393809</x:v>
      </x:c>
      <x:c r="T391" s="165" t="n">
        <x:f>IFERROR(K391/J391,0)</x:f>
        <x:v>0.36363636363636365</x:v>
      </x:c>
    </x:row>
    <x:row r="392">
      <x:c r="A392" s="161" t="n">
        <x:v>46143</x:v>
      </x:c>
      <x:c r="B392" s="162" t="str">
        <x:v>Retargeting</x:v>
      </x:c>
      <x:c r="C392" s="162" t="str">
        <x:v>Midwest</x:v>
      </x:c>
      <x:c r="D392" s="162" t="str">
        <x:v>Labeling Systems</x:v>
      </x:c>
      <x:c r="E392" s="163" t="n">
        <x:v>20430</x:v>
      </x:c>
      <x:c r="F392" s="163" t="n">
        <x:v>707</x:v>
      </x:c>
      <x:c r="G392" s="163" t="n">
        <x:v>59</x:v>
      </x:c>
      <x:c r="H392" s="163" t="n">
        <x:v>40</x:v>
      </x:c>
      <x:c r="I392" s="163" t="n">
        <x:v>23</x:v>
      </x:c>
      <x:c r="J392" s="163" t="n">
        <x:v>12</x:v>
      </x:c>
      <x:c r="K392" s="163" t="n">
        <x:v>4</x:v>
      </x:c>
      <x:c r="L392" s="164" t="n">
        <x:v>3580</x:v>
      </x:c>
      <x:c r="M392" s="164" t="n">
        <x:v>473069</x:v>
      </x:c>
      <x:c r="N392" s="164" t="n">
        <x:v>183360</x:v>
      </x:c>
      <x:c r="O392" s="165" t="n">
        <x:f>IFERROR(F392/E392,0)</x:f>
        <x:v>0.034605971610376894</x:v>
      </x:c>
      <x:c r="P392" s="166" t="n">
        <x:f>IFERROR(L392/F392,0)</x:f>
        <x:v>5.063649222065064</x:v>
      </x:c>
      <x:c r="Q392" s="165" t="n">
        <x:f>IFERROR(G392/F392,0)</x:f>
        <x:v>0.08345120226308345</x:v>
      </x:c>
      <x:c r="R392" s="164" t="n">
        <x:f>IFERROR(L392/G392,0)</x:f>
        <x:v>60.67796610169491</x:v>
      </x:c>
      <x:c r="S392" s="167" t="n">
        <x:f>IFERROR(N392/L392,0)</x:f>
        <x:v>51.21787709497207</x:v>
      </x:c>
      <x:c r="T392" s="165" t="n">
        <x:f>IFERROR(K392/J392,0)</x:f>
        <x:v>0.3333333333333333</x:v>
      </x:c>
    </x:row>
    <x:row r="393">
      <x:c r="A393" s="161" t="n">
        <x:v>46143</x:v>
      </x:c>
      <x:c r="B393" s="162" t="str">
        <x:v>Retargeting</x:v>
      </x:c>
      <x:c r="C393" s="162" t="str">
        <x:v>Midwest</x:v>
      </x:c>
      <x:c r="D393" s="162" t="str">
        <x:v>Case Packers</x:v>
      </x:c>
      <x:c r="E393" s="163" t="n">
        <x:v>21960</x:v>
      </x:c>
      <x:c r="F393" s="163" t="n">
        <x:v>795</x:v>
      </x:c>
      <x:c r="G393" s="163" t="n">
        <x:v>68</x:v>
      </x:c>
      <x:c r="H393" s="163" t="n">
        <x:v>47</x:v>
      </x:c>
      <x:c r="I393" s="163" t="n">
        <x:v>27</x:v>
      </x:c>
      <x:c r="J393" s="163" t="n">
        <x:v>15</x:v>
      </x:c>
      <x:c r="K393" s="163" t="n">
        <x:v>5</x:v>
      </x:c>
      <x:c r="L393" s="164" t="n">
        <x:v>4026</x:v>
      </x:c>
      <x:c r="M393" s="164" t="n">
        <x:v>1379784</x:v>
      </x:c>
      <x:c r="N393" s="164" t="n">
        <x:v>534800</x:v>
      </x:c>
      <x:c r="O393" s="165" t="n">
        <x:f>IFERROR(F393/E393,0)</x:f>
        <x:v>0.036202185792349725</x:v>
      </x:c>
      <x:c r="P393" s="166" t="n">
        <x:f>IFERROR(L393/F393,0)</x:f>
        <x:v>5.064150943396227</x:v>
      </x:c>
      <x:c r="Q393" s="165" t="n">
        <x:f>IFERROR(G393/F393,0)</x:f>
        <x:v>0.08553459119496855</x:v>
      </x:c>
      <x:c r="R393" s="164" t="n">
        <x:f>IFERROR(L393/G393,0)</x:f>
        <x:v>59.205882352941174</x:v>
      </x:c>
      <x:c r="S393" s="167" t="n">
        <x:f>IFERROR(N393/L393,0)</x:f>
        <x:v>132.83656234475907</x:v>
      </x:c>
      <x:c r="T393" s="165" t="n">
        <x:f>IFERROR(K393/J393,0)</x:f>
        <x:v>0.3333333333333333</x:v>
      </x:c>
    </x:row>
    <x:row r="394">
      <x:c r="A394" s="161" t="n">
        <x:v>46143</x:v>
      </x:c>
      <x:c r="B394" s="162" t="str">
        <x:v>Retargeting</x:v>
      </x:c>
      <x:c r="C394" s="162" t="str">
        <x:v>South</x:v>
      </x:c>
      <x:c r="D394" s="162" t="str">
        <x:v>Pouch Fillers</x:v>
      </x:c>
      <x:c r="E394" s="163" t="n">
        <x:v>20340</x:v>
      </x:c>
      <x:c r="F394" s="163" t="n">
        <x:v>687</x:v>
      </x:c>
      <x:c r="G394" s="163" t="n">
        <x:v>57</x:v>
      </x:c>
      <x:c r="H394" s="163" t="n">
        <x:v>35</x:v>
      </x:c>
      <x:c r="I394" s="163" t="n">
        <x:v>21</x:v>
      </x:c>
      <x:c r="J394" s="163" t="n">
        <x:v>10</x:v>
      </x:c>
      <x:c r="K394" s="163" t="n">
        <x:v>3</x:v>
      </x:c>
      <x:c r="L394" s="164" t="n">
        <x:v>3528</x:v>
      </x:c>
      <x:c r="M394" s="164" t="n">
        <x:v>691096</x:v>
      </x:c>
      <x:c r="N394" s="164" t="n">
        <x:v>241080</x:v>
      </x:c>
      <x:c r="O394" s="165" t="n">
        <x:f>IFERROR(F394/E394,0)</x:f>
        <x:v>0.03377581120943953</x:v>
      </x:c>
      <x:c r="P394" s="166" t="n">
        <x:f>IFERROR(L394/F394,0)</x:f>
        <x:v>5.135371179039302</x:v>
      </x:c>
      <x:c r="Q394" s="165" t="n">
        <x:f>IFERROR(G394/F394,0)</x:f>
        <x:v>0.08296943231441048</x:v>
      </x:c>
      <x:c r="R394" s="164" t="n">
        <x:f>IFERROR(L394/G394,0)</x:f>
        <x:v>61.89473684210526</x:v>
      </x:c>
      <x:c r="S394" s="167" t="n">
        <x:f>IFERROR(N394/L394,0)</x:f>
        <x:v>68.33333333333333</x:v>
      </x:c>
      <x:c r="T394" s="165" t="n">
        <x:f>IFERROR(K394/J394,0)</x:f>
        <x:v>0.3</x:v>
      </x:c>
    </x:row>
    <x:row r="395">
      <x:c r="A395" s="161" t="n">
        <x:v>46143</x:v>
      </x:c>
      <x:c r="B395" s="162" t="str">
        <x:v>Retargeting</x:v>
      </x:c>
      <x:c r="C395" s="162" t="str">
        <x:v>South</x:v>
      </x:c>
      <x:c r="D395" s="162" t="str">
        <x:v>Cartoning Machines</x:v>
      </x:c>
      <x:c r="E395" s="163" t="n">
        <x:v>21870</x:v>
      </x:c>
      <x:c r="F395" s="163" t="n">
        <x:v>774</x:v>
      </x:c>
      <x:c r="G395" s="163" t="n">
        <x:v>66</x:v>
      </x:c>
      <x:c r="H395" s="163" t="n">
        <x:v>43</x:v>
      </x:c>
      <x:c r="I395" s="163" t="n">
        <x:v>25</x:v>
      </x:c>
      <x:c r="J395" s="163" t="n">
        <x:v>13</x:v>
      </x:c>
      <x:c r="K395" s="163" t="n">
        <x:v>4</x:v>
      </x:c>
      <x:c r="L395" s="164" t="n">
        <x:v>3975</x:v>
      </x:c>
      <x:c r="M395" s="164" t="n">
        <x:v>1511983</x:v>
      </x:c>
      <x:c r="N395" s="164" t="n">
        <x:v>540960</x:v>
      </x:c>
      <x:c r="O395" s="165" t="n">
        <x:f>IFERROR(F395/E395,0)</x:f>
        <x:v>0.03539094650205761</x:v>
      </x:c>
      <x:c r="P395" s="166" t="n">
        <x:f>IFERROR(L395/F395,0)</x:f>
        <x:v>5.135658914728682</x:v>
      </x:c>
      <x:c r="Q395" s="165" t="n">
        <x:f>IFERROR(G395/F395,0)</x:f>
        <x:v>0.08527131782945736</x:v>
      </x:c>
      <x:c r="R395" s="164" t="n">
        <x:f>IFERROR(L395/G395,0)</x:f>
        <x:v>60.22727272727273</x:v>
      </x:c>
      <x:c r="S395" s="167" t="n">
        <x:f>IFERROR(N395/L395,0)</x:f>
        <x:v>136.09056603773584</x:v>
      </x:c>
      <x:c r="T395" s="165" t="n">
        <x:f>IFERROR(K395/J395,0)</x:f>
        <x:v>0.3076923076923077</x:v>
      </x:c>
    </x:row>
    <x:row r="396">
      <x:c r="A396" s="161" t="n">
        <x:v>46143</x:v>
      </x:c>
      <x:c r="B396" s="162" t="str">
        <x:v>Retargeting</x:v>
      </x:c>
      <x:c r="C396" s="162" t="str">
        <x:v>South</x:v>
      </x:c>
      <x:c r="D396" s="162" t="str">
        <x:v>Labeling Systems</x:v>
      </x:c>
      <x:c r="E396" s="163" t="n">
        <x:v>21420</x:v>
      </x:c>
      <x:c r="F396" s="163" t="n">
        <x:v>707</x:v>
      </x:c>
      <x:c r="G396" s="163" t="n">
        <x:v>59</x:v>
      </x:c>
      <x:c r="H396" s="163" t="n">
        <x:v>40</x:v>
      </x:c>
      <x:c r="I396" s="163" t="n">
        <x:v>24</x:v>
      </x:c>
      <x:c r="J396" s="163" t="n">
        <x:v>13</x:v>
      </x:c>
      <x:c r="K396" s="163" t="n">
        <x:v>4</x:v>
      </x:c>
      <x:c r="L396" s="164" t="n">
        <x:v>3631</x:v>
      </x:c>
      <x:c r="M396" s="164" t="n">
        <x:v>525907</x:v>
      </x:c>
      <x:c r="N396" s="164" t="n">
        <x:v>188160</x:v>
      </x:c>
      <x:c r="O396" s="165" t="n">
        <x:f>IFERROR(F396/E396,0)</x:f>
        <x:v>0.03300653594771242</x:v>
      </x:c>
      <x:c r="P396" s="166" t="n">
        <x:f>IFERROR(L396/F396,0)</x:f>
        <x:v>5.135785007072136</x:v>
      </x:c>
      <x:c r="Q396" s="165" t="n">
        <x:f>IFERROR(G396/F396,0)</x:f>
        <x:v>0.08345120226308345</x:v>
      </x:c>
      <x:c r="R396" s="164" t="n">
        <x:f>IFERROR(L396/G396,0)</x:f>
        <x:v>61.54237288135593</x:v>
      </x:c>
      <x:c r="S396" s="167" t="n">
        <x:f>IFERROR(N396/L396,0)</x:f>
        <x:v>51.8204351418342</x:v>
      </x:c>
      <x:c r="T396" s="165" t="n">
        <x:f>IFERROR(K396/J396,0)</x:f>
        <x:v>0.3076923076923077</x:v>
      </x:c>
    </x:row>
    <x:row r="397">
      <x:c r="A397" s="161" t="n">
        <x:v>46143</x:v>
      </x:c>
      <x:c r="B397" s="162" t="str">
        <x:v>Retargeting</x:v>
      </x:c>
      <x:c r="C397" s="162" t="str">
        <x:v>South</x:v>
      </x:c>
      <x:c r="D397" s="162" t="str">
        <x:v>Case Packers</x:v>
      </x:c>
      <x:c r="E397" s="163" t="n">
        <x:v>20970</x:v>
      </x:c>
      <x:c r="F397" s="163" t="n">
        <x:v>726</x:v>
      </x:c>
      <x:c r="G397" s="163" t="n">
        <x:v>62</x:v>
      </x:c>
      <x:c r="H397" s="163" t="n">
        <x:v>43</x:v>
      </x:c>
      <x:c r="I397" s="163" t="n">
        <x:v>25</x:v>
      </x:c>
      <x:c r="J397" s="163" t="n">
        <x:v>14</x:v>
      </x:c>
      <x:c r="K397" s="163" t="n">
        <x:v>5</x:v>
      </x:c>
      <x:c r="L397" s="164" t="n">
        <x:v>3729</x:v>
      </x:c>
      <x:c r="M397" s="164" t="n">
        <x:v>1321510</x:v>
      </x:c>
      <x:c r="N397" s="164" t="n">
        <x:v>548800</x:v>
      </x:c>
      <x:c r="O397" s="165" t="n">
        <x:f>IFERROR(F397/E397,0)</x:f>
        <x:v>0.034620886981402005</x:v>
      </x:c>
      <x:c r="P397" s="166" t="n">
        <x:f>IFERROR(L397/F397,0)</x:f>
        <x:v>5.136363636363637</x:v>
      </x:c>
      <x:c r="Q397" s="165" t="n">
        <x:f>IFERROR(G397/F397,0)</x:f>
        <x:v>0.08539944903581267</x:v>
      </x:c>
      <x:c r="R397" s="164" t="n">
        <x:f>IFERROR(L397/G397,0)</x:f>
        <x:v>60.145161290322584</x:v>
      </x:c>
      <x:c r="S397" s="167" t="n">
        <x:f>IFERROR(N397/L397,0)</x:f>
        <x:v>147.17082327701797</x:v>
      </x:c>
      <x:c r="T397" s="165" t="n">
        <x:f>IFERROR(K397/J397,0)</x:f>
        <x:v>0.35714285714285715</x:v>
      </x:c>
    </x:row>
    <x:row r="398">
      <x:c r="A398" s="161" t="n">
        <x:v>46143</x:v>
      </x:c>
      <x:c r="B398" s="162" t="str">
        <x:v>Retargeting</x:v>
      </x:c>
      <x:c r="C398" s="162" t="str">
        <x:v>West</x:v>
      </x:c>
      <x:c r="D398" s="162" t="str">
        <x:v>Pouch Fillers</x:v>
      </x:c>
      <x:c r="E398" s="163" t="n">
        <x:v>21330</x:v>
      </x:c>
      <x:c r="F398" s="163" t="n">
        <x:v>772</x:v>
      </x:c>
      <x:c r="G398" s="163" t="n">
        <x:v>64</x:v>
      </x:c>
      <x:c r="H398" s="163" t="n">
        <x:v>40</x:v>
      </x:c>
      <x:c r="I398" s="163" t="n">
        <x:v>24</x:v>
      </x:c>
      <x:c r="J398" s="163" t="n">
        <x:v>12</x:v>
      </x:c>
      <x:c r="K398" s="163" t="n">
        <x:v>4</x:v>
      </x:c>
      <x:c r="L398" s="164" t="n">
        <x:v>4021</x:v>
      </x:c>
      <x:c r="M398" s="164" t="n">
        <x:v>850471</x:v>
      </x:c>
      <x:c r="N398" s="164" t="n">
        <x:v>329640</x:v>
      </x:c>
      <x:c r="O398" s="165" t="n">
        <x:f>IFERROR(F398/E398,0)</x:f>
        <x:v>0.036193155180496955</x:v>
      </x:c>
      <x:c r="P398" s="166" t="n">
        <x:f>IFERROR(L398/F398,0)</x:f>
        <x:v>5.208549222797927</x:v>
      </x:c>
      <x:c r="Q398" s="165" t="n">
        <x:f>IFERROR(G398/F398,0)</x:f>
        <x:v>0.08290155440414508</x:v>
      </x:c>
      <x:c r="R398" s="164" t="n">
        <x:f>IFERROR(L398/G398,0)</x:f>
        <x:v>62.828125</x:v>
      </x:c>
      <x:c r="S398" s="167" t="n">
        <x:f>IFERROR(N398/L398,0)</x:f>
        <x:v>81.97960706291967</x:v>
      </x:c>
      <x:c r="T398" s="165" t="n">
        <x:f>IFERROR(K398/J398,0)</x:f>
        <x:v>0.3333333333333333</x:v>
      </x:c>
    </x:row>
    <x:row r="399">
      <x:c r="A399" s="161" t="n">
        <x:v>46143</x:v>
      </x:c>
      <x:c r="B399" s="162" t="str">
        <x:v>Retargeting</x:v>
      </x:c>
      <x:c r="C399" s="162" t="str">
        <x:v>West</x:v>
      </x:c>
      <x:c r="D399" s="162" t="str">
        <x:v>Cartoning Machines</x:v>
      </x:c>
      <x:c r="E399" s="163" t="n">
        <x:v>20880</x:v>
      </x:c>
      <x:c r="F399" s="163" t="n">
        <x:v>706</x:v>
      </x:c>
      <x:c r="G399" s="163" t="n">
        <x:v>60</x:v>
      </x:c>
      <x:c r="H399" s="163" t="n">
        <x:v>39</x:v>
      </x:c>
      <x:c r="I399" s="163" t="n">
        <x:v>24</x:v>
      </x:c>
      <x:c r="J399" s="163" t="n">
        <x:v>12</x:v>
      </x:c>
      <x:c r="K399" s="163" t="n">
        <x:v>4</x:v>
      </x:c>
      <x:c r="L399" s="164" t="n">
        <x:v>3677</x:v>
      </x:c>
      <x:c r="M399" s="164" t="n">
        <x:v>1431281</x:v>
      </x:c>
      <x:c r="N399" s="164" t="n">
        <x:v>554760</x:v>
      </x:c>
      <x:c r="O399" s="165" t="n">
        <x:f>IFERROR(F399/E399,0)</x:f>
        <x:v>0.033812260536398464</x:v>
      </x:c>
      <x:c r="P399" s="166" t="n">
        <x:f>IFERROR(L399/F399,0)</x:f>
        <x:v>5.208215297450425</x:v>
      </x:c>
      <x:c r="Q399" s="165" t="n">
        <x:f>IFERROR(G399/F399,0)</x:f>
        <x:v>0.08498583569405099</x:v>
      </x:c>
      <x:c r="R399" s="164" t="n">
        <x:f>IFERROR(L399/G399,0)</x:f>
        <x:v>61.28333333333333</x:v>
      </x:c>
      <x:c r="S399" s="167" t="n">
        <x:f>IFERROR(N399/L399,0)</x:f>
        <x:v>150.8729942888224</x:v>
      </x:c>
      <x:c r="T399" s="165" t="n">
        <x:f>IFERROR(K399/J399,0)</x:f>
        <x:v>0.3333333333333333</x:v>
      </x:c>
    </x:row>
    <x:row r="400">
      <x:c r="A400" s="161" t="n">
        <x:v>46143</x:v>
      </x:c>
      <x:c r="B400" s="162" t="str">
        <x:v>Retargeting</x:v>
      </x:c>
      <x:c r="C400" s="162" t="str">
        <x:v>West</x:v>
      </x:c>
      <x:c r="D400" s="162" t="str">
        <x:v>Labeling Systems</x:v>
      </x:c>
      <x:c r="E400" s="163" t="n">
        <x:v>22410</x:v>
      </x:c>
      <x:c r="F400" s="163" t="n">
        <x:v>793</x:v>
      </x:c>
      <x:c r="G400" s="163" t="n">
        <x:v>66</x:v>
      </x:c>
      <x:c r="H400" s="163" t="n">
        <x:v>44</x:v>
      </x:c>
      <x:c r="I400" s="163" t="n">
        <x:v>27</x:v>
      </x:c>
      <x:c r="J400" s="163" t="n">
        <x:v>15</x:v>
      </x:c>
      <x:c r="K400" s="163" t="n">
        <x:v>5</x:v>
      </x:c>
      <x:c r="L400" s="164" t="n">
        <x:v>4130</x:v>
      </x:c>
      <x:c r="M400" s="164" t="n">
        <x:v>622296</x:v>
      </x:c>
      <x:c r="N400" s="164" t="n">
        <x:v>241200</x:v>
      </x:c>
      <x:c r="O400" s="165" t="n">
        <x:f>IFERROR(F400/E400,0)</x:f>
        <x:v>0.03538598839803659</x:v>
      </x:c>
      <x:c r="P400" s="166" t="n">
        <x:f>IFERROR(L400/F400,0)</x:f>
        <x:v>5.208070617906683</x:v>
      </x:c>
      <x:c r="Q400" s="165" t="n">
        <x:f>IFERROR(G400/F400,0)</x:f>
        <x:v>0.0832282471626734</x:v>
      </x:c>
      <x:c r="R400" s="164" t="n">
        <x:f>IFERROR(L400/G400,0)</x:f>
        <x:v>62.57575757575758</x:v>
      </x:c>
      <x:c r="S400" s="167" t="n">
        <x:f>IFERROR(N400/L400,0)</x:f>
        <x:v>58.40193704600484</x:v>
      </x:c>
      <x:c r="T400" s="165" t="n">
        <x:f>IFERROR(K400/J400,0)</x:f>
        <x:v>0.3333333333333333</x:v>
      </x:c>
    </x:row>
    <x:row r="401">
      <x:c r="A401" s="161" t="n">
        <x:v>46143</x:v>
      </x:c>
      <x:c r="B401" s="162" t="str">
        <x:v>Retargeting</x:v>
      </x:c>
      <x:c r="C401" s="162" t="str">
        <x:v>West</x:v>
      </x:c>
      <x:c r="D401" s="162" t="str">
        <x:v>Case Packers</x:v>
      </x:c>
      <x:c r="E401" s="163" t="n">
        <x:v>21960</x:v>
      </x:c>
      <x:c r="F401" s="163" t="n">
        <x:v>725</x:v>
      </x:c>
      <x:c r="G401" s="163" t="n">
        <x:v>62</x:v>
      </x:c>
      <x:c r="H401" s="163" t="n">
        <x:v>43</x:v>
      </x:c>
      <x:c r="I401" s="163" t="n">
        <x:v>26</x:v>
      </x:c>
      <x:c r="J401" s="163" t="n">
        <x:v>15</x:v>
      </x:c>
      <x:c r="K401" s="163" t="n">
        <x:v>5</x:v>
      </x:c>
      <x:c r="L401" s="164" t="n">
        <x:v>3776</x:v>
      </x:c>
      <x:c r="M401" s="164" t="n">
        <x:v>1452024</x:v>
      </x:c>
      <x:c r="N401" s="164" t="n">
        <x:v>562800</x:v>
      </x:c>
      <x:c r="O401" s="165" t="n">
        <x:f>IFERROR(F401/E401,0)</x:f>
        <x:v>0.03301457194899818</x:v>
      </x:c>
      <x:c r="P401" s="166" t="n">
        <x:f>IFERROR(L401/F401,0)</x:f>
        <x:v>5.208275862068965</x:v>
      </x:c>
      <x:c r="Q401" s="165" t="n">
        <x:f>IFERROR(G401/F401,0)</x:f>
        <x:v>0.08551724137931034</x:v>
      </x:c>
      <x:c r="R401" s="164" t="n">
        <x:f>IFERROR(L401/G401,0)</x:f>
        <x:v>60.903225806451616</x:v>
      </x:c>
      <x:c r="S401" s="167" t="n">
        <x:f>IFERROR(N401/L401,0)</x:f>
        <x:v>149.04661016949152</x:v>
      </x:c>
      <x:c r="T401" s="165" t="n">
        <x:f>IFERROR(K401/J401,0)</x:f>
        <x:v>0.3333333333333333</x:v>
      </x:c>
    </x:row>
    <x:row r="402">
      <x:c r="A402" s="161" t="n">
        <x:v>46174</x:v>
      </x:c>
      <x:c r="B402" s="162" t="str">
        <x:v>Google Search</x:v>
      </x:c>
      <x:c r="C402" s="162" t="str">
        <x:v>Northeast</x:v>
      </x:c>
      <x:c r="D402" s="162" t="str">
        <x:v>Pouch Fillers</x:v>
      </x:c>
      <x:c r="E402" s="163" t="n">
        <x:v>27840</x:v>
      </x:c>
      <x:c r="F402" s="163" t="n">
        <x:v>1256</x:v>
      </x:c>
      <x:c r="G402" s="163" t="n">
        <x:v>95</x:v>
      </x:c>
      <x:c r="H402" s="163" t="n">
        <x:v>60</x:v>
      </x:c>
      <x:c r="I402" s="163" t="n">
        <x:v>33</x:v>
      </x:c>
      <x:c r="J402" s="163" t="n">
        <x:v>16</x:v>
      </x:c>
      <x:c r="K402" s="163" t="n">
        <x:v>5</x:v>
      </x:c>
      <x:c r="L402" s="164" t="n">
        <x:v>9053</x:v>
      </x:c>
      <x:c r="M402" s="164" t="n">
        <x:v>1073741</x:v>
      </x:c>
      <x:c r="N402" s="164" t="n">
        <x:v>381300</x:v>
      </x:c>
      <x:c r="O402" s="165" t="n">
        <x:f>IFERROR(F402/E402,0)</x:f>
        <x:v>0.04511494252873563</x:v>
      </x:c>
      <x:c r="P402" s="166" t="n">
        <x:f>IFERROR(L402/F402,0)</x:f>
        <x:v>7.207802547770701</x:v>
      </x:c>
      <x:c r="Q402" s="165" t="n">
        <x:f>IFERROR(G402/F402,0)</x:f>
        <x:v>0.07563694267515923</x:v>
      </x:c>
      <x:c r="R402" s="164" t="n">
        <x:f>IFERROR(L402/G402,0)</x:f>
        <x:v>95.29473684210527</x:v>
      </x:c>
      <x:c r="S402" s="167" t="n">
        <x:f>IFERROR(N402/L402,0)</x:f>
        <x:v>42.11863470672705</x:v>
      </x:c>
      <x:c r="T402" s="165" t="n">
        <x:f>IFERROR(K402/J402,0)</x:f>
        <x:v>0.3125</x:v>
      </x:c>
    </x:row>
    <x:row r="403">
      <x:c r="A403" s="161" t="n">
        <x:v>46174</x:v>
      </x:c>
      <x:c r="B403" s="162" t="str">
        <x:v>Google Search</x:v>
      </x:c>
      <x:c r="C403" s="162" t="str">
        <x:v>Northeast</x:v>
      </x:c>
      <x:c r="D403" s="162" t="str">
        <x:v>Cartoning Machines</x:v>
      </x:c>
      <x:c r="E403" s="163" t="n">
        <x:v>27240</x:v>
      </x:c>
      <x:c r="F403" s="163" t="n">
        <x:v>1272</x:v>
      </x:c>
      <x:c r="G403" s="163" t="n">
        <x:v>99</x:v>
      </x:c>
      <x:c r="H403" s="163" t="n">
        <x:v>65</x:v>
      </x:c>
      <x:c r="I403" s="163" t="n">
        <x:v>36</x:v>
      </x:c>
      <x:c r="J403" s="163" t="n">
        <x:v>19</x:v>
      </x:c>
      <x:c r="K403" s="163" t="n">
        <x:v>6</x:v>
      </x:c>
      <x:c r="L403" s="164" t="n">
        <x:v>9169</x:v>
      </x:c>
      <x:c r="M403" s="164" t="n">
        <x:v>2145845</x:v>
      </x:c>
      <x:c r="N403" s="164" t="n">
        <x:v>770040</x:v>
      </x:c>
      <x:c r="O403" s="165" t="n">
        <x:f>IFERROR(F403/E403,0)</x:f>
        <x:v>0.04669603524229075</x:v>
      </x:c>
      <x:c r="P403" s="166" t="n">
        <x:f>IFERROR(L403/F403,0)</x:f>
        <x:v>7.208333333333333</x:v>
      </x:c>
      <x:c r="Q403" s="165" t="n">
        <x:f>IFERROR(G403/F403,0)</x:f>
        <x:v>0.07783018867924528</x:v>
      </x:c>
      <x:c r="R403" s="164" t="n">
        <x:f>IFERROR(L403/G403,0)</x:f>
        <x:v>92.61616161616162</x:v>
      </x:c>
      <x:c r="S403" s="167" t="n">
        <x:f>IFERROR(N403/L403,0)</x:f>
        <x:v>83.98298614898026</x:v>
      </x:c>
      <x:c r="T403" s="165" t="n">
        <x:f>IFERROR(K403/J403,0)</x:f>
        <x:v>0.3157894736842105</x:v>
      </x:c>
    </x:row>
    <x:row r="404">
      <x:c r="A404" s="161" t="n">
        <x:v>46174</x:v>
      </x:c>
      <x:c r="B404" s="162" t="str">
        <x:v>Google Search</x:v>
      </x:c>
      <x:c r="C404" s="162" t="str">
        <x:v>Northeast</x:v>
      </x:c>
      <x:c r="D404" s="162" t="str">
        <x:v>Labeling Systems</x:v>
      </x:c>
      <x:c r="E404" s="163" t="n">
        <x:v>29280</x:v>
      </x:c>
      <x:c r="F404" s="163" t="n">
        <x:v>1297</x:v>
      </x:c>
      <x:c r="G404" s="163" t="n">
        <x:v>99</x:v>
      </x:c>
      <x:c r="H404" s="163" t="n">
        <x:v>67</x:v>
      </x:c>
      <x:c r="I404" s="163" t="n">
        <x:v>37</x:v>
      </x:c>
      <x:c r="J404" s="163" t="n">
        <x:v>20</x:v>
      </x:c>
      <x:c r="K404" s="163" t="n">
        <x:v>7</x:v>
      </x:c>
      <x:c r="L404" s="164" t="n">
        <x:v>9349</x:v>
      </x:c>
      <x:c r="M404" s="164" t="n">
        <x:v>785664</x:v>
      </x:c>
      <x:c r="N404" s="164" t="n">
        <x:v>312480</x:v>
      </x:c>
      <x:c r="O404" s="165" t="n">
        <x:f>IFERROR(F404/E404,0)</x:f>
        <x:v>0.044296448087431696</x:v>
      </x:c>
      <x:c r="P404" s="166" t="n">
        <x:f>IFERROR(L404/F404,0)</x:f>
        <x:v>7.208172706245181</x:v>
      </x:c>
      <x:c r="Q404" s="165" t="n">
        <x:f>IFERROR(G404/F404,0)</x:f>
        <x:v>0.07632999228989977</x:v>
      </x:c>
      <x:c r="R404" s="164" t="n">
        <x:f>IFERROR(L404/G404,0)</x:f>
        <x:v>94.43434343434343</x:v>
      </x:c>
      <x:c r="S404" s="167" t="n">
        <x:f>IFERROR(N404/L404,0)</x:f>
        <x:v>33.42389560380789</x:v>
      </x:c>
      <x:c r="T404" s="165" t="n">
        <x:f>IFERROR(K404/J404,0)</x:f>
        <x:v>0.35</x:v>
      </x:c>
    </x:row>
    <x:row r="405">
      <x:c r="A405" s="161" t="n">
        <x:v>46174</x:v>
      </x:c>
      <x:c r="B405" s="162" t="str">
        <x:v>Google Search</x:v>
      </x:c>
      <x:c r="C405" s="162" t="str">
        <x:v>Northeast</x:v>
      </x:c>
      <x:c r="D405" s="162" t="str">
        <x:v>Case Packers</x:v>
      </x:c>
      <x:c r="E405" s="163" t="n">
        <x:v>28680</x:v>
      </x:c>
      <x:c r="F405" s="163" t="n">
        <x:v>1316</x:v>
      </x:c>
      <x:c r="G405" s="163" t="n">
        <x:v>103</x:v>
      </x:c>
      <x:c r="H405" s="163" t="n">
        <x:v>73</x:v>
      </x:c>
      <x:c r="I405" s="163" t="n">
        <x:v>40</x:v>
      </x:c>
      <x:c r="J405" s="163" t="n">
        <x:v>23</x:v>
      </x:c>
      <x:c r="K405" s="163" t="n">
        <x:v>8</x:v>
      </x:c>
      <x:c r="L405" s="164" t="n">
        <x:v>9486</x:v>
      </x:c>
      <x:c r="M405" s="164" t="n">
        <x:v>2108198</x:v>
      </x:c>
      <x:c r="N405" s="164" t="n">
        <x:v>833280</x:v>
      </x:c>
      <x:c r="O405" s="165" t="n">
        <x:f>IFERROR(F405/E405,0)</x:f>
        <x:v>0.045885634588563456</x:v>
      </x:c>
      <x:c r="P405" s="166" t="n">
        <x:f>IFERROR(L405/F405,0)</x:f>
        <x:v>7.208206686930091</x:v>
      </x:c>
      <x:c r="Q405" s="165" t="n">
        <x:f>IFERROR(G405/F405,0)</x:f>
        <x:v>0.07826747720364742</x:v>
      </x:c>
      <x:c r="R405" s="164" t="n">
        <x:f>IFERROR(L405/G405,0)</x:f>
        <x:v>92.09708737864078</x:v>
      </x:c>
      <x:c r="S405" s="167" t="n">
        <x:f>IFERROR(N405/L405,0)</x:f>
        <x:v>87.84313725490196</x:v>
      </x:c>
      <x:c r="T405" s="165" t="n">
        <x:f>IFERROR(K405/J405,0)</x:f>
        <x:v>0.34782608695652173</x:v>
      </x:c>
    </x:row>
    <x:row r="406">
      <x:c r="A406" s="161" t="n">
        <x:v>46174</x:v>
      </x:c>
      <x:c r="B406" s="162" t="str">
        <x:v>Google Search</x:v>
      </x:c>
      <x:c r="C406" s="162" t="str">
        <x:v>Midwest</x:v>
      </x:c>
      <x:c r="D406" s="162" t="str">
        <x:v>Pouch Fillers</x:v>
      </x:c>
      <x:c r="E406" s="163" t="n">
        <x:v>29160</x:v>
      </x:c>
      <x:c r="F406" s="163" t="n">
        <x:v>1268</x:v>
      </x:c>
      <x:c r="G406" s="163" t="n">
        <x:v>96</x:v>
      </x:c>
      <x:c r="H406" s="163" t="n">
        <x:v>60</x:v>
      </x:c>
      <x:c r="I406" s="163" t="n">
        <x:v>34</x:v>
      </x:c>
      <x:c r="J406" s="163" t="n">
        <x:v>17</x:v>
      </x:c>
      <x:c r="K406" s="163" t="n">
        <x:v>6</x:v>
      </x:c>
      <x:c r="L406" s="164" t="n">
        <x:v>9269</x:v>
      </x:c>
      <x:c r="M406" s="164" t="n">
        <x:v>1171518</x:v>
      </x:c>
      <x:c r="N406" s="164" t="n">
        <x:v>469860</x:v>
      </x:c>
      <x:c r="O406" s="165" t="n">
        <x:f>IFERROR(F406/E406,0)</x:f>
        <x:v>0.04348422496570645</x:v>
      </x:c>
      <x:c r="P406" s="166" t="n">
        <x:f>IFERROR(L406/F406,0)</x:f>
        <x:v>7.30993690851735</x:v>
      </x:c>
      <x:c r="Q406" s="165" t="n">
        <x:f>IFERROR(G406/F406,0)</x:f>
        <x:v>0.07570977917981073</x:v>
      </x:c>
      <x:c r="R406" s="164" t="n">
        <x:f>IFERROR(L406/G406,0)</x:f>
        <x:v>96.55208333333333</x:v>
      </x:c>
      <x:c r="S406" s="167" t="n">
        <x:f>IFERROR(N406/L406,0)</x:f>
        <x:v>50.691552486783905</x:v>
      </x:c>
      <x:c r="T406" s="165" t="n">
        <x:f>IFERROR(K406/J406,0)</x:f>
        <x:v>0.35294117647058826</x:v>
      </x:c>
    </x:row>
    <x:row r="407">
      <x:c r="A407" s="161" t="n">
        <x:v>46174</x:v>
      </x:c>
      <x:c r="B407" s="162" t="str">
        <x:v>Google Search</x:v>
      </x:c>
      <x:c r="C407" s="162" t="str">
        <x:v>Midwest</x:v>
      </x:c>
      <x:c r="D407" s="162" t="str">
        <x:v>Cartoning Machines</x:v>
      </x:c>
      <x:c r="E407" s="163" t="n">
        <x:v>28560</x:v>
      </x:c>
      <x:c r="F407" s="163" t="n">
        <x:v>1288</x:v>
      </x:c>
      <x:c r="G407" s="163" t="n">
        <x:v>100</x:v>
      </x:c>
      <x:c r="H407" s="163" t="n">
        <x:v>66</x:v>
      </x:c>
      <x:c r="I407" s="163" t="n">
        <x:v>38</x:v>
      </x:c>
      <x:c r="J407" s="163" t="n">
        <x:v>20</x:v>
      </x:c>
      <x:c r="K407" s="163" t="n">
        <x:v>7</x:v>
      </x:c>
      <x:c r="L407" s="164" t="n">
        <x:v>9415</x:v>
      </x:c>
      <x:c r="M407" s="164" t="n">
        <x:v>2319504</x:v>
      </x:c>
      <x:c r="N407" s="164" t="n">
        <x:v>922530</x:v>
      </x:c>
      <x:c r="O407" s="165" t="n">
        <x:f>IFERROR(F407/E407,0)</x:f>
        <x:v>0.045098039215686274</x:v>
      </x:c>
      <x:c r="P407" s="166" t="n">
        <x:f>IFERROR(L407/F407,0)</x:f>
        <x:v>7.309782608695652</x:v>
      </x:c>
      <x:c r="Q407" s="165" t="n">
        <x:f>IFERROR(G407/F407,0)</x:f>
        <x:v>0.07763975155279502</x:v>
      </x:c>
      <x:c r="R407" s="164" t="n">
        <x:f>IFERROR(L407/G407,0)</x:f>
        <x:v>94.15</x:v>
      </x:c>
      <x:c r="S407" s="167" t="n">
        <x:f>IFERROR(N407/L407,0)</x:f>
        <x:v>97.98513011152416</x:v>
      </x:c>
      <x:c r="T407" s="165" t="n">
        <x:f>IFERROR(K407/J407,0)</x:f>
        <x:v>0.35</x:v>
      </x:c>
    </x:row>
    <x:row r="408">
      <x:c r="A408" s="161" t="n">
        <x:v>46174</x:v>
      </x:c>
      <x:c r="B408" s="162" t="str">
        <x:v>Google Search</x:v>
      </x:c>
      <x:c r="C408" s="162" t="str">
        <x:v>Midwest</x:v>
      </x:c>
      <x:c r="D408" s="162" t="str">
        <x:v>Labeling Systems</x:v>
      </x:c>
      <x:c r="E408" s="163" t="n">
        <x:v>27960</x:v>
      </x:c>
      <x:c r="F408" s="163" t="n">
        <x:v>1306</x:v>
      </x:c>
      <x:c r="G408" s="163" t="n">
        <x:v>99</x:v>
      </x:c>
      <x:c r="H408" s="163" t="n">
        <x:v>67</x:v>
      </x:c>
      <x:c r="I408" s="163" t="n">
        <x:v>38</x:v>
      </x:c>
      <x:c r="J408" s="163" t="n">
        <x:v>21</x:v>
      </x:c>
      <x:c r="K408" s="163" t="n">
        <x:v>7</x:v>
      </x:c>
      <x:c r="L408" s="164" t="n">
        <x:v>9547</x:v>
      </x:c>
      <x:c r="M408" s="164" t="n">
        <x:v>847123</x:v>
      </x:c>
      <x:c r="N408" s="164" t="n">
        <x:v>320880</x:v>
      </x:c>
      <x:c r="O408" s="165" t="n">
        <x:f>IFERROR(F408/E408,0)</x:f>
        <x:v>0.04670958512160229</x:v>
      </x:c>
      <x:c r="P408" s="166" t="n">
        <x:f>IFERROR(L408/F408,0)</x:f>
        <x:v>7.310107197549771</x:v>
      </x:c>
      <x:c r="Q408" s="165" t="n">
        <x:f>IFERROR(G408/F408,0)</x:f>
        <x:v>0.07580398162327719</x:v>
      </x:c>
      <x:c r="R408" s="164" t="n">
        <x:f>IFERROR(L408/G408,0)</x:f>
        <x:v>96.43434343434343</x:v>
      </x:c>
      <x:c r="S408" s="167" t="n">
        <x:f>IFERROR(N408/L408,0)</x:f>
        <x:v>33.61055829056248</x:v>
      </x:c>
      <x:c r="T408" s="165" t="n">
        <x:f>IFERROR(K408/J408,0)</x:f>
        <x:v>0.3333333333333333</x:v>
      </x:c>
    </x:row>
    <x:row r="409">
      <x:c r="A409" s="161" t="n">
        <x:v>46174</x:v>
      </x:c>
      <x:c r="B409" s="162" t="str">
        <x:v>Google Search</x:v>
      </x:c>
      <x:c r="C409" s="162" t="str">
        <x:v>Midwest</x:v>
      </x:c>
      <x:c r="D409" s="162" t="str">
        <x:v>Case Packers</x:v>
      </x:c>
      <x:c r="E409" s="163" t="n">
        <x:v>30000</x:v>
      </x:c>
      <x:c r="F409" s="163" t="n">
        <x:v>1329</x:v>
      </x:c>
      <x:c r="G409" s="163" t="n">
        <x:v>104</x:v>
      </x:c>
      <x:c r="H409" s="163" t="n">
        <x:v>73</x:v>
      </x:c>
      <x:c r="I409" s="163" t="n">
        <x:v>42</x:v>
      </x:c>
      <x:c r="J409" s="163" t="n">
        <x:v>24</x:v>
      </x:c>
      <x:c r="K409" s="163" t="n">
        <x:v>8</x:v>
      </x:c>
      <x:c r="L409" s="164" t="n">
        <x:v>9715</x:v>
      </x:c>
      <x:c r="M409" s="164" t="n">
        <x:v>2258995</x:v>
      </x:c>
      <x:c r="N409" s="164" t="n">
        <x:v>855680</x:v>
      </x:c>
      <x:c r="O409" s="165" t="n">
        <x:f>IFERROR(F409/E409,0)</x:f>
        <x:v>0.0443</x:v>
      </x:c>
      <x:c r="P409" s="166" t="n">
        <x:f>IFERROR(L409/F409,0)</x:f>
        <x:v>7.310007524454477</x:v>
      </x:c>
      <x:c r="Q409" s="165" t="n">
        <x:f>IFERROR(G409/F409,0)</x:f>
        <x:v>0.0782543265613243</x:v>
      </x:c>
      <x:c r="R409" s="164" t="n">
        <x:f>IFERROR(L409/G409,0)</x:f>
        <x:v>93.41346153846153</x:v>
      </x:c>
      <x:c r="S409" s="167" t="n">
        <x:f>IFERROR(N409/L409,0)</x:f>
        <x:v>88.07822954194545</x:v>
      </x:c>
      <x:c r="T409" s="165" t="n">
        <x:f>IFERROR(K409/J409,0)</x:f>
        <x:v>0.3333333333333333</x:v>
      </x:c>
    </x:row>
    <x:row r="410">
      <x:c r="A410" s="161" t="n">
        <x:v>46174</x:v>
      </x:c>
      <x:c r="B410" s="162" t="str">
        <x:v>Google Search</x:v>
      </x:c>
      <x:c r="C410" s="162" t="str">
        <x:v>South</x:v>
      </x:c>
      <x:c r="D410" s="162" t="str">
        <x:v>Pouch Fillers</x:v>
      </x:c>
      <x:c r="E410" s="163" t="n">
        <x:v>27840</x:v>
      </x:c>
      <x:c r="F410" s="163" t="n">
        <x:v>1278</x:v>
      </x:c>
      <x:c r="G410" s="163" t="n">
        <x:v>97</x:v>
      </x:c>
      <x:c r="H410" s="163" t="n">
        <x:v>61</x:v>
      </x:c>
      <x:c r="I410" s="163" t="n">
        <x:v>36</x:v>
      </x:c>
      <x:c r="J410" s="163" t="n">
        <x:v>18</x:v>
      </x:c>
      <x:c r="K410" s="163" t="n">
        <x:v>6</x:v>
      </x:c>
      <x:c r="L410" s="164" t="n">
        <x:v>9473</x:v>
      </x:c>
      <x:c r="M410" s="164" t="n">
        <x:v>1272902</x:v>
      </x:c>
      <x:c r="N410" s="164" t="n">
        <x:v>482160</x:v>
      </x:c>
      <x:c r="O410" s="165" t="n">
        <x:f>IFERROR(F410/E410,0)</x:f>
        <x:v>0.045905172413793105</x:v>
      </x:c>
      <x:c r="P410" s="166" t="n">
        <x:f>IFERROR(L410/F410,0)</x:f>
        <x:v>7.412363067292644</x:v>
      </x:c>
      <x:c r="Q410" s="165" t="n">
        <x:f>IFERROR(G410/F410,0)</x:f>
        <x:v>0.07589984350547731</x:v>
      </x:c>
      <x:c r="R410" s="164" t="n">
        <x:f>IFERROR(L410/G410,0)</x:f>
        <x:v>97.65979381443299</x:v>
      </x:c>
      <x:c r="S410" s="167" t="n">
        <x:f>IFERROR(N410/L410,0)</x:f>
        <x:v>50.898342658080864</x:v>
      </x:c>
      <x:c r="T410" s="165" t="n">
        <x:f>IFERROR(K410/J410,0)</x:f>
        <x:v>0.3333333333333333</x:v>
      </x:c>
    </x:row>
    <x:row r="411">
      <x:c r="A411" s="161" t="n">
        <x:v>46174</x:v>
      </x:c>
      <x:c r="B411" s="162" t="str">
        <x:v>Google Search</x:v>
      </x:c>
      <x:c r="C411" s="162" t="str">
        <x:v>South</x:v>
      </x:c>
      <x:c r="D411" s="162" t="str">
        <x:v>Cartoning Machines</x:v>
      </x:c>
      <x:c r="E411" s="163" t="n">
        <x:v>29880</x:v>
      </x:c>
      <x:c r="F411" s="163" t="n">
        <x:v>1300</x:v>
      </x:c>
      <x:c r="G411" s="163" t="n">
        <x:v>101</x:v>
      </x:c>
      <x:c r="H411" s="163" t="n">
        <x:v>66</x:v>
      </x:c>
      <x:c r="I411" s="163" t="n">
        <x:v>39</x:v>
      </x:c>
      <x:c r="J411" s="163" t="n">
        <x:v>20</x:v>
      </x:c>
      <x:c r="K411" s="163" t="n">
        <x:v>7</x:v>
      </x:c>
      <x:c r="L411" s="164" t="n">
        <x:v>9636</x:v>
      </x:c>
      <x:c r="M411" s="164" t="n">
        <x:v>2380224</x:v>
      </x:c>
      <x:c r="N411" s="164" t="n">
        <x:v>946680</x:v>
      </x:c>
      <x:c r="O411" s="165" t="n">
        <x:f>IFERROR(F411/E411,0)</x:f>
        <x:v>0.04350736278447122</x:v>
      </x:c>
      <x:c r="P411" s="166" t="n">
        <x:f>IFERROR(L411/F411,0)</x:f>
        <x:v>7.412307692307692</x:v>
      </x:c>
      <x:c r="Q411" s="165" t="n">
        <x:f>IFERROR(G411/F411,0)</x:f>
        <x:v>0.07769230769230769</x:v>
      </x:c>
      <x:c r="R411" s="164" t="n">
        <x:f>IFERROR(L411/G411,0)</x:f>
        <x:v>95.4059405940594</x:v>
      </x:c>
      <x:c r="S411" s="167" t="n">
        <x:f>IFERROR(N411/L411,0)</x:f>
        <x:v>98.24408468244084</x:v>
      </x:c>
      <x:c r="T411" s="165" t="n">
        <x:f>IFERROR(K411/J411,0)</x:f>
        <x:v>0.35</x:v>
      </x:c>
    </x:row>
    <x:row r="412">
      <x:c r="A412" s="161" t="n">
        <x:v>46174</x:v>
      </x:c>
      <x:c r="B412" s="162" t="str">
        <x:v>Google Search</x:v>
      </x:c>
      <x:c r="C412" s="162" t="str">
        <x:v>South</x:v>
      </x:c>
      <x:c r="D412" s="162" t="str">
        <x:v>Labeling Systems</x:v>
      </x:c>
      <x:c r="E412" s="163" t="n">
        <x:v>29280</x:v>
      </x:c>
      <x:c r="F412" s="163" t="n">
        <x:v>1321</x:v>
      </x:c>
      <x:c r="G412" s="163" t="n">
        <x:v>100</x:v>
      </x:c>
      <x:c r="H412" s="163" t="n">
        <x:v>68</x:v>
      </x:c>
      <x:c r="I412" s="163" t="n">
        <x:v>40</x:v>
      </x:c>
      <x:c r="J412" s="163" t="n">
        <x:v>22</x:v>
      </x:c>
      <x:c r="K412" s="163" t="n">
        <x:v>8</x:v>
      </x:c>
      <x:c r="L412" s="164" t="n">
        <x:v>9791</x:v>
      </x:c>
      <x:c r="M412" s="164" t="n">
        <x:v>910694</x:v>
      </x:c>
      <x:c r="N412" s="164" t="n">
        <x:v>376320</x:v>
      </x:c>
      <x:c r="O412" s="165" t="n">
        <x:f>IFERROR(F412/E412,0)</x:f>
        <x:v>0.045116120218579234</x:v>
      </x:c>
      <x:c r="P412" s="166" t="n">
        <x:f>IFERROR(L412/F412,0)</x:f>
        <x:v>7.4118092354277065</x:v>
      </x:c>
      <x:c r="Q412" s="165" t="n">
        <x:f>IFERROR(G412/F412,0)</x:f>
        <x:v>0.0757002271006813</x:v>
      </x:c>
      <x:c r="R412" s="164" t="n">
        <x:f>IFERROR(L412/G412,0)</x:f>
        <x:v>97.91</x:v>
      </x:c>
      <x:c r="S412" s="167" t="n">
        <x:f>IFERROR(N412/L412,0)</x:f>
        <x:v>38.43529772239812</x:v>
      </x:c>
      <x:c r="T412" s="165" t="n">
        <x:f>IFERROR(K412/J412,0)</x:f>
        <x:v>0.36363636363636365</x:v>
      </x:c>
    </x:row>
    <x:row r="413">
      <x:c r="A413" s="161" t="n">
        <x:v>46174</x:v>
      </x:c>
      <x:c r="B413" s="162" t="str">
        <x:v>Google Search</x:v>
      </x:c>
      <x:c r="C413" s="162" t="str">
        <x:v>South</x:v>
      </x:c>
      <x:c r="D413" s="162" t="str">
        <x:v>Case Packers</x:v>
      </x:c>
      <x:c r="E413" s="163" t="n">
        <x:v>31320</x:v>
      </x:c>
      <x:c r="F413" s="163" t="n">
        <x:v>1463</x:v>
      </x:c>
      <x:c r="G413" s="163" t="n">
        <x:v>114</x:v>
      </x:c>
      <x:c r="H413" s="163" t="n">
        <x:v>80</x:v>
      </x:c>
      <x:c r="I413" s="163" t="n">
        <x:v>47</x:v>
      </x:c>
      <x:c r="J413" s="163" t="n">
        <x:v>27</x:v>
      </x:c>
      <x:c r="K413" s="163" t="n">
        <x:v>10</x:v>
      </x:c>
      <x:c r="L413" s="164" t="n">
        <x:v>10844</x:v>
      </x:c>
      <x:c r="M413" s="164" t="n">
        <x:v>2607898</x:v>
      </x:c>
      <x:c r="N413" s="164" t="n">
        <x:v>1097600</x:v>
      </x:c>
      <x:c r="O413" s="165" t="n">
        <x:f>IFERROR(F413/E413,0)</x:f>
        <x:v>0.04671136653895275</x:v>
      </x:c>
      <x:c r="P413" s="166" t="n">
        <x:f>IFERROR(L413/F413,0)</x:f>
        <x:v>7.4121667805878335</x:v>
      </x:c>
      <x:c r="Q413" s="165" t="n">
        <x:f>IFERROR(G413/F413,0)</x:f>
        <x:v>0.07792207792207792</x:v>
      </x:c>
      <x:c r="R413" s="164" t="n">
        <x:f>IFERROR(L413/G413,0)</x:f>
        <x:v>95.12280701754386</x:v>
      </x:c>
      <x:c r="S413" s="167" t="n">
        <x:f>IFERROR(N413/L413,0)</x:f>
        <x:v>101.21726300258207</x:v>
      </x:c>
      <x:c r="T413" s="165" t="n">
        <x:f>IFERROR(K413/J413,0)</x:f>
        <x:v>0.37037037037037035</x:v>
      </x:c>
    </x:row>
    <x:row r="414">
      <x:c r="A414" s="161" t="n">
        <x:v>46174</x:v>
      </x:c>
      <x:c r="B414" s="162" t="str">
        <x:v>Google Search</x:v>
      </x:c>
      <x:c r="C414" s="162" t="str">
        <x:v>West</x:v>
      </x:c>
      <x:c r="D414" s="162" t="str">
        <x:v>Pouch Fillers</x:v>
      </x:c>
      <x:c r="E414" s="163" t="n">
        <x:v>29160</x:v>
      </x:c>
      <x:c r="F414" s="163" t="n">
        <x:v>1292</x:v>
      </x:c>
      <x:c r="G414" s="163" t="n">
        <x:v>98</x:v>
      </x:c>
      <x:c r="H414" s="163" t="n">
        <x:v>62</x:v>
      </x:c>
      <x:c r="I414" s="163" t="n">
        <x:v>38</x:v>
      </x:c>
      <x:c r="J414" s="163" t="n">
        <x:v>19</x:v>
      </x:c>
      <x:c r="K414" s="163" t="n">
        <x:v>7</x:v>
      </x:c>
      <x:c r="L414" s="164" t="n">
        <x:v>9708</x:v>
      </x:c>
      <x:c r="M414" s="164" t="n">
        <x:v>1377895</x:v>
      </x:c>
      <x:c r="N414" s="164" t="n">
        <x:v>576870</x:v>
      </x:c>
      <x:c r="O414" s="165" t="n">
        <x:f>IFERROR(F414/E414,0)</x:f>
        <x:v>0.04430727023319616</x:v>
      </x:c>
      <x:c r="P414" s="166" t="n">
        <x:f>IFERROR(L414/F414,0)</x:f>
        <x:v>7.513931888544891</x:v>
      </x:c>
      <x:c r="Q414" s="165" t="n">
        <x:f>IFERROR(G414/F414,0)</x:f>
        <x:v>0.07585139318885449</x:v>
      </x:c>
      <x:c r="R414" s="164" t="n">
        <x:f>IFERROR(L414/G414,0)</x:f>
        <x:v>99.06122448979592</x:v>
      </x:c>
      <x:c r="S414" s="167" t="n">
        <x:f>IFERROR(N414/L414,0)</x:f>
        <x:v>59.4221260815822</x:v>
      </x:c>
      <x:c r="T414" s="165" t="n">
        <x:f>IFERROR(K414/J414,0)</x:f>
        <x:v>0.3684210526315789</x:v>
      </x:c>
    </x:row>
    <x:row r="415">
      <x:c r="A415" s="161" t="n">
        <x:v>46174</x:v>
      </x:c>
      <x:c r="B415" s="162" t="str">
        <x:v>Google Search</x:v>
      </x:c>
      <x:c r="C415" s="162" t="str">
        <x:v>West</x:v>
      </x:c>
      <x:c r="D415" s="162" t="str">
        <x:v>Cartoning Machines</x:v>
      </x:c>
      <x:c r="E415" s="163" t="n">
        <x:v>31200</x:v>
      </x:c>
      <x:c r="F415" s="163" t="n">
        <x:v>1432</x:v>
      </x:c>
      <x:c r="G415" s="163" t="n">
        <x:v>112</x:v>
      </x:c>
      <x:c r="H415" s="163" t="n">
        <x:v>73</x:v>
      </x:c>
      <x:c r="I415" s="163" t="n">
        <x:v>45</x:v>
      </x:c>
      <x:c r="J415" s="163" t="n">
        <x:v>23</x:v>
      </x:c>
      <x:c r="K415" s="163" t="n">
        <x:v>9</x:v>
      </x:c>
      <x:c r="L415" s="164" t="n">
        <x:v>10760</x:v>
      </x:c>
      <x:c r="M415" s="164" t="n">
        <x:v>2807086</x:v>
      </x:c>
      <x:c r="N415" s="164" t="n">
        <x:v>1248210</x:v>
      </x:c>
      <x:c r="O415" s="165" t="n">
        <x:f>IFERROR(F415/E415,0)</x:f>
        <x:v>0.0458974358974359</x:v>
      </x:c>
      <x:c r="P415" s="166" t="n">
        <x:f>IFERROR(L415/F415,0)</x:f>
        <x:v>7.5139664804469275</x:v>
      </x:c>
      <x:c r="Q415" s="165" t="n">
        <x:f>IFERROR(G415/F415,0)</x:f>
        <x:v>0.0782122905027933</x:v>
      </x:c>
      <x:c r="R415" s="164" t="n">
        <x:f>IFERROR(L415/G415,0)</x:f>
        <x:v>96.07142857142857</x:v>
      </x:c>
      <x:c r="S415" s="167" t="n">
        <x:f>IFERROR(N415/L415,0)</x:f>
        <x:v>116.0046468401487</x:v>
      </x:c>
      <x:c r="T415" s="165" t="n">
        <x:f>IFERROR(K415/J415,0)</x:f>
        <x:v>0.391304347826087</x:v>
      </x:c>
    </x:row>
    <x:row r="416">
      <x:c r="A416" s="161" t="n">
        <x:v>46174</x:v>
      </x:c>
      <x:c r="B416" s="162" t="str">
        <x:v>Google Search</x:v>
      </x:c>
      <x:c r="C416" s="162" t="str">
        <x:v>West</x:v>
      </x:c>
      <x:c r="D416" s="162" t="str">
        <x:v>Labeling Systems</x:v>
      </x:c>
      <x:c r="E416" s="163" t="n">
        <x:v>30600</x:v>
      </x:c>
      <x:c r="F416" s="163" t="n">
        <x:v>1331</x:v>
      </x:c>
      <x:c r="G416" s="163" t="n">
        <x:v>101</x:v>
      </x:c>
      <x:c r="H416" s="163" t="n">
        <x:v>69</x:v>
      </x:c>
      <x:c r="I416" s="163" t="n">
        <x:v>42</x:v>
      </x:c>
      <x:c r="J416" s="163" t="n">
        <x:v>23</x:v>
      </x:c>
      <x:c r="K416" s="163" t="n">
        <x:v>9</x:v>
      </x:c>
      <x:c r="L416" s="164" t="n">
        <x:v>10001</x:v>
      </x:c>
      <x:c r="M416" s="164" t="n">
        <x:v>976378</x:v>
      </x:c>
      <x:c r="N416" s="164" t="n">
        <x:v>434160</x:v>
      </x:c>
      <x:c r="O416" s="165" t="n">
        <x:f>IFERROR(F416/E416,0)</x:f>
        <x:v>0.04349673202614379</x:v>
      </x:c>
      <x:c r="P416" s="166" t="n">
        <x:f>IFERROR(L416/F416,0)</x:f>
        <x:v>7.51389932381668</x:v>
      </x:c>
      <x:c r="Q416" s="165" t="n">
        <x:f>IFERROR(G416/F416,0)</x:f>
        <x:v>0.07588279489105935</x:v>
      </x:c>
      <x:c r="R416" s="164" t="n">
        <x:f>IFERROR(L416/G416,0)</x:f>
        <x:v>99.01980198019803</x:v>
      </x:c>
      <x:c r="S416" s="167" t="n">
        <x:f>IFERROR(N416/L416,0)</x:f>
        <x:v>43.41165883411659</x:v>
      </x:c>
      <x:c r="T416" s="165" t="n">
        <x:f>IFERROR(K416/J416,0)</x:f>
        <x:v>0.391304347826087</x:v>
      </x:c>
    </x:row>
    <x:row r="417">
      <x:c r="A417" s="161" t="n">
        <x:v>46174</x:v>
      </x:c>
      <x:c r="B417" s="162" t="str">
        <x:v>Google Search</x:v>
      </x:c>
      <x:c r="C417" s="162" t="str">
        <x:v>West</x:v>
      </x:c>
      <x:c r="D417" s="162" t="str">
        <x:v>Case Packers</x:v>
      </x:c>
      <x:c r="E417" s="163" t="n">
        <x:v>32640</x:v>
      </x:c>
      <x:c r="F417" s="163" t="n">
        <x:v>1472</x:v>
      </x:c>
      <x:c r="G417" s="163" t="n">
        <x:v>115</x:v>
      </x:c>
      <x:c r="H417" s="163" t="n">
        <x:v>81</x:v>
      </x:c>
      <x:c r="I417" s="163" t="n">
        <x:v>49</x:v>
      </x:c>
      <x:c r="J417" s="163" t="n">
        <x:v>28</x:v>
      </x:c>
      <x:c r="K417" s="163" t="n">
        <x:v>10</x:v>
      </x:c>
      <x:c r="L417" s="164" t="n">
        <x:v>11061</x:v>
      </x:c>
      <x:c r="M417" s="164" t="n">
        <x:v>2773478</x:v>
      </x:c>
      <x:c r="N417" s="164" t="n">
        <x:v>1125600</x:v>
      </x:c>
      <x:c r="O417" s="165" t="n">
        <x:f>IFERROR(F417/E417,0)</x:f>
        <x:v>0.045098039215686274</x:v>
      </x:c>
      <x:c r="P417" s="166" t="n">
        <x:f>IFERROR(L417/F417,0)</x:f>
        <x:v>7.514266304347826</x:v>
      </x:c>
      <x:c r="Q417" s="165" t="n">
        <x:f>IFERROR(G417/F417,0)</x:f>
        <x:v>0.078125</x:v>
      </x:c>
      <x:c r="R417" s="164" t="n">
        <x:f>IFERROR(L417/G417,0)</x:f>
        <x:v>96.18260869565218</x:v>
      </x:c>
      <x:c r="S417" s="167" t="n">
        <x:f>IFERROR(N417/L417,0)</x:f>
        <x:v>101.76295090859777</x:v>
      </x:c>
      <x:c r="T417" s="165" t="n">
        <x:f>IFERROR(K417/J417,0)</x:f>
        <x:v>0.35714285714285715</x:v>
      </x:c>
    </x:row>
    <x:row r="418">
      <x:c r="A418" s="161" t="n">
        <x:v>46174</x:v>
      </x:c>
      <x:c r="B418" s="162" t="str">
        <x:v>LinkedIn</x:v>
      </x:c>
      <x:c r="C418" s="162" t="str">
        <x:v>Northeast</x:v>
      </x:c>
      <x:c r="D418" s="162" t="str">
        <x:v>Pouch Fillers</x:v>
      </x:c>
      <x:c r="E418" s="163" t="n">
        <x:v>16950</x:v>
      </x:c>
      <x:c r="F418" s="163" t="n">
        <x:v>486</x:v>
      </x:c>
      <x:c r="G418" s="163" t="n">
        <x:v>45</x:v>
      </x:c>
      <x:c r="H418" s="163" t="n">
        <x:v>28</x:v>
      </x:c>
      <x:c r="I418" s="163" t="n">
        <x:v>15</x:v>
      </x:c>
      <x:c r="J418" s="163" t="n">
        <x:v>7</x:v>
      </x:c>
      <x:c r="K418" s="163" t="n">
        <x:v>2</x:v>
      </x:c>
      <x:c r="L418" s="164" t="n">
        <x:v>4946</x:v>
      </x:c>
      <x:c r="M418" s="164" t="n">
        <x:v>469762</x:v>
      </x:c>
      <x:c r="N418" s="164" t="n">
        <x:v>152520</x:v>
      </x:c>
      <x:c r="O418" s="165" t="n">
        <x:f>IFERROR(F418/E418,0)</x:f>
        <x:v>0.028672566371681415</x:v>
      </x:c>
      <x:c r="P418" s="166" t="n">
        <x:f>IFERROR(L418/F418,0)</x:f>
        <x:v>10.176954732510287</x:v>
      </x:c>
      <x:c r="Q418" s="165" t="n">
        <x:f>IFERROR(G418/F418,0)</x:f>
        <x:v>0.09259259259259259</x:v>
      </x:c>
      <x:c r="R418" s="164" t="n">
        <x:f>IFERROR(L418/G418,0)</x:f>
        <x:v>109.91111111111111</x:v>
      </x:c>
      <x:c r="S418" s="167" t="n">
        <x:f>IFERROR(N418/L418,0)</x:f>
        <x:v>30.837040032349375</x:v>
      </x:c>
      <x:c r="T418" s="165" t="n">
        <x:f>IFERROR(K418/J418,0)</x:f>
        <x:v>0.2857142857142857</x:v>
      </x:c>
    </x:row>
    <x:row r="419">
      <x:c r="A419" s="161" t="n">
        <x:v>46174</x:v>
      </x:c>
      <x:c r="B419" s="162" t="str">
        <x:v>LinkedIn</x:v>
      </x:c>
      <x:c r="C419" s="162" t="str">
        <x:v>Northeast</x:v>
      </x:c>
      <x:c r="D419" s="162" t="str">
        <x:v>Cartoning Machines</x:v>
      </x:c>
      <x:c r="E419" s="163" t="n">
        <x:v>16575</x:v>
      </x:c>
      <x:c r="F419" s="163" t="n">
        <x:v>436</x:v>
      </x:c>
      <x:c r="G419" s="163" t="n">
        <x:v>41</x:v>
      </x:c>
      <x:c r="H419" s="163" t="n">
        <x:v>27</x:v>
      </x:c>
      <x:c r="I419" s="163" t="n">
        <x:v>15</x:v>
      </x:c>
      <x:c r="J419" s="163" t="n">
        <x:v>8</x:v>
      </x:c>
      <x:c r="K419" s="163" t="n">
        <x:v>3</x:v>
      </x:c>
      <x:c r="L419" s="164" t="n">
        <x:v>4437</x:v>
      </x:c>
      <x:c r="M419" s="164" t="n">
        <x:v>903514</x:v>
      </x:c>
      <x:c r="N419" s="164" t="n">
        <x:v>385020</x:v>
      </x:c>
      <x:c r="O419" s="165" t="n">
        <x:f>IFERROR(F419/E419,0)</x:f>
        <x:v>0.026304675716440424</x:v>
      </x:c>
      <x:c r="P419" s="166" t="n">
        <x:f>IFERROR(L419/F419,0)</x:f>
        <x:v>10.176605504587156</x:v>
      </x:c>
      <x:c r="Q419" s="165" t="n">
        <x:f>IFERROR(G419/F419,0)</x:f>
        <x:v>0.09403669724770643</x:v>
      </x:c>
      <x:c r="R419" s="164" t="n">
        <x:f>IFERROR(L419/G419,0)</x:f>
        <x:v>108.21951219512195</x:v>
      </x:c>
      <x:c r="S419" s="167" t="n">
        <x:f>IFERROR(N419/L419,0)</x:f>
        <x:v>86.77484787018255</x:v>
      </x:c>
      <x:c r="T419" s="165" t="n">
        <x:f>IFERROR(K419/J419,0)</x:f>
        <x:v>0.375</x:v>
      </x:c>
    </x:row>
    <x:row r="420">
      <x:c r="A420" s="161" t="n">
        <x:v>46174</x:v>
      </x:c>
      <x:c r="B420" s="162" t="str">
        <x:v>LinkedIn</x:v>
      </x:c>
      <x:c r="C420" s="162" t="str">
        <x:v>Northeast</x:v>
      </x:c>
      <x:c r="D420" s="162" t="str">
        <x:v>Labeling Systems</x:v>
      </x:c>
      <x:c r="E420" s="163" t="n">
        <x:v>17850</x:v>
      </x:c>
      <x:c r="F420" s="163" t="n">
        <x:v>498</x:v>
      </x:c>
      <x:c r="G420" s="163" t="n">
        <x:v>46</x:v>
      </x:c>
      <x:c r="H420" s="163" t="n">
        <x:v>31</x:v>
      </x:c>
      <x:c r="I420" s="163" t="n">
        <x:v>17</x:v>
      </x:c>
      <x:c r="J420" s="163" t="n">
        <x:v>9</x:v>
      </x:c>
      <x:c r="K420" s="163" t="n">
        <x:v>3</x:v>
      </x:c>
      <x:c r="L420" s="164" t="n">
        <x:v>5068</x:v>
      </x:c>
      <x:c r="M420" s="164" t="n">
        <x:v>353549</x:v>
      </x:c>
      <x:c r="N420" s="164" t="n">
        <x:v>133920</x:v>
      </x:c>
      <x:c r="O420" s="165" t="n">
        <x:f>IFERROR(F420/E420,0)</x:f>
        <x:v>0.027899159663865546</x:v>
      </x:c>
      <x:c r="P420" s="166" t="n">
        <x:f>IFERROR(L420/F420,0)</x:f>
        <x:v>10.176706827309237</x:v>
      </x:c>
      <x:c r="Q420" s="165" t="n">
        <x:f>IFERROR(G420/F420,0)</x:f>
        <x:v>0.09236947791164658</x:v>
      </x:c>
      <x:c r="R420" s="164" t="n">
        <x:f>IFERROR(L420/G420,0)</x:f>
        <x:v>110.17391304347827</x:v>
      </x:c>
      <x:c r="S420" s="167" t="n">
        <x:f>IFERROR(N420/L420,0)</x:f>
        <x:v>26.424625098658247</x:v>
      </x:c>
      <x:c r="T420" s="165" t="n">
        <x:f>IFERROR(K420/J420,0)</x:f>
        <x:v>0.3333333333333333</x:v>
      </x:c>
    </x:row>
    <x:row r="421">
      <x:c r="A421" s="161" t="n">
        <x:v>46174</x:v>
      </x:c>
      <x:c r="B421" s="162" t="str">
        <x:v>LinkedIn</x:v>
      </x:c>
      <x:c r="C421" s="162" t="str">
        <x:v>Northeast</x:v>
      </x:c>
      <x:c r="D421" s="162" t="str">
        <x:v>Case Packers</x:v>
      </x:c>
      <x:c r="E421" s="163" t="n">
        <x:v>17475</x:v>
      </x:c>
      <x:c r="F421" s="163" t="n">
        <x:v>446</x:v>
      </x:c>
      <x:c r="G421" s="163" t="n">
        <x:v>42</x:v>
      </x:c>
      <x:c r="H421" s="163" t="n">
        <x:v>30</x:v>
      </x:c>
      <x:c r="I421" s="163" t="n">
        <x:v>17</x:v>
      </x:c>
      <x:c r="J421" s="163" t="n">
        <x:v>10</x:v>
      </x:c>
      <x:c r="K421" s="163" t="n">
        <x:v>3</x:v>
      </x:c>
      <x:c r="L421" s="164" t="n">
        <x:v>4538</x:v>
      </x:c>
      <x:c r="M421" s="164" t="n">
        <x:v>916608</x:v>
      </x:c>
      <x:c r="N421" s="164" t="n">
        <x:v>312480</x:v>
      </x:c>
      <x:c r="O421" s="165" t="n">
        <x:f>IFERROR(F421/E421,0)</x:f>
        <x:v>0.025522174535050072</x:v>
      </x:c>
      <x:c r="P421" s="166" t="n">
        <x:f>IFERROR(L421/F421,0)</x:f>
        <x:v>10.174887892376681</x:v>
      </x:c>
      <x:c r="Q421" s="165" t="n">
        <x:f>IFERROR(G421/F421,0)</x:f>
        <x:v>0.09417040358744394</x:v>
      </x:c>
      <x:c r="R421" s="164" t="n">
        <x:f>IFERROR(L421/G421,0)</x:f>
        <x:v>108.04761904761905</x:v>
      </x:c>
      <x:c r="S421" s="167" t="n">
        <x:f>IFERROR(N421/L421,0)</x:f>
        <x:v>68.85852798589687</x:v>
      </x:c>
      <x:c r="T421" s="165" t="n">
        <x:f>IFERROR(K421/J421,0)</x:f>
        <x:v>0.3</x:v>
      </x:c>
    </x:row>
    <x:row r="422">
      <x:c r="A422" s="161" t="n">
        <x:v>46174</x:v>
      </x:c>
      <x:c r="B422" s="162" t="str">
        <x:v>LinkedIn</x:v>
      </x:c>
      <x:c r="C422" s="162" t="str">
        <x:v>Midwest</x:v>
      </x:c>
      <x:c r="D422" s="162" t="str">
        <x:v>Pouch Fillers</x:v>
      </x:c>
      <x:c r="E422" s="163" t="n">
        <x:v>17775</x:v>
      </x:c>
      <x:c r="F422" s="163" t="n">
        <x:v>482</x:v>
      </x:c>
      <x:c r="G422" s="163" t="n">
        <x:v>45</x:v>
      </x:c>
      <x:c r="H422" s="163" t="n">
        <x:v>28</x:v>
      </x:c>
      <x:c r="I422" s="163" t="n">
        <x:v>16</x:v>
      </x:c>
      <x:c r="J422" s="163" t="n">
        <x:v>8</x:v>
      </x:c>
      <x:c r="K422" s="163" t="n">
        <x:v>3</x:v>
      </x:c>
      <x:c r="L422" s="164" t="n">
        <x:v>4974</x:v>
      </x:c>
      <x:c r="M422" s="164" t="n">
        <x:v>551302</x:v>
      </x:c>
      <x:c r="N422" s="164" t="n">
        <x:v>234930</x:v>
      </x:c>
      <x:c r="O422" s="165" t="n">
        <x:f>IFERROR(F422/E422,0)</x:f>
        <x:v>0.02711673699015471</x:v>
      </x:c>
      <x:c r="P422" s="166" t="n">
        <x:f>IFERROR(L422/F422,0)</x:f>
        <x:v>10.319502074688797</x:v>
      </x:c>
      <x:c r="Q422" s="165" t="n">
        <x:f>IFERROR(G422/F422,0)</x:f>
        <x:v>0.09336099585062241</x:v>
      </x:c>
      <x:c r="R422" s="164" t="n">
        <x:f>IFERROR(L422/G422,0)</x:f>
        <x:v>110.53333333333333</x:v>
      </x:c>
      <x:c r="S422" s="167" t="n">
        <x:f>IFERROR(N422/L422,0)</x:f>
        <x:v>47.23160434258142</x:v>
      </x:c>
      <x:c r="T422" s="165" t="n">
        <x:f>IFERROR(K422/J422,0)</x:f>
        <x:v>0.375</x:v>
      </x:c>
    </x:row>
    <x:row r="423">
      <x:c r="A423" s="161" t="n">
        <x:v>46174</x:v>
      </x:c>
      <x:c r="B423" s="162" t="str">
        <x:v>LinkedIn</x:v>
      </x:c>
      <x:c r="C423" s="162" t="str">
        <x:v>Midwest</x:v>
      </x:c>
      <x:c r="D423" s="162" t="str">
        <x:v>Cartoning Machines</x:v>
      </x:c>
      <x:c r="E423" s="163" t="n">
        <x:v>17400</x:v>
      </x:c>
      <x:c r="F423" s="163" t="n">
        <x:v>499</x:v>
      </x:c>
      <x:c r="G423" s="163" t="n">
        <x:v>47</x:v>
      </x:c>
      <x:c r="H423" s="163" t="n">
        <x:v>31</x:v>
      </x:c>
      <x:c r="I423" s="163" t="n">
        <x:v>18</x:v>
      </x:c>
      <x:c r="J423" s="163" t="n">
        <x:v>9</x:v>
      </x:c>
      <x:c r="K423" s="163" t="n">
        <x:v>3</x:v>
      </x:c>
      <x:c r="L423" s="164" t="n">
        <x:v>5150</x:v>
      </x:c>
      <x:c r="M423" s="164" t="n">
        <x:v>1043777</x:v>
      </x:c>
      <x:c r="N423" s="164" t="n">
        <x:v>395370</x:v>
      </x:c>
      <x:c r="O423" s="165" t="n">
        <x:f>IFERROR(F423/E423,0)</x:f>
        <x:v>0.02867816091954023</x:v>
      </x:c>
      <x:c r="P423" s="166" t="n">
        <x:f>IFERROR(L423/F423,0)</x:f>
        <x:v>10.32064128256513</x:v>
      </x:c>
      <x:c r="Q423" s="165" t="n">
        <x:f>IFERROR(G423/F423,0)</x:f>
        <x:v>0.09418837675350701</x:v>
      </x:c>
      <x:c r="R423" s="164" t="n">
        <x:f>IFERROR(L423/G423,0)</x:f>
        <x:v>109.57446808510639</x:v>
      </x:c>
      <x:c r="S423" s="167" t="n">
        <x:f>IFERROR(N423/L423,0)</x:f>
        <x:v>76.77087378640776</x:v>
      </x:c>
      <x:c r="T423" s="165" t="n">
        <x:f>IFERROR(K423/J423,0)</x:f>
        <x:v>0.3333333333333333</x:v>
      </x:c>
    </x:row>
    <x:row r="424">
      <x:c r="A424" s="161" t="n">
        <x:v>46174</x:v>
      </x:c>
      <x:c r="B424" s="162" t="str">
        <x:v>LinkedIn</x:v>
      </x:c>
      <x:c r="C424" s="162" t="str">
        <x:v>Midwest</x:v>
      </x:c>
      <x:c r="D424" s="162" t="str">
        <x:v>Labeling Systems</x:v>
      </x:c>
      <x:c r="E424" s="163" t="n">
        <x:v>18675</x:v>
      </x:c>
      <x:c r="F424" s="163" t="n">
        <x:v>491</x:v>
      </x:c>
      <x:c r="G424" s="163" t="n">
        <x:v>46</x:v>
      </x:c>
      <x:c r="H424" s="163" t="n">
        <x:v>31</x:v>
      </x:c>
      <x:c r="I424" s="163" t="n">
        <x:v>18</x:v>
      </x:c>
      <x:c r="J424" s="163" t="n">
        <x:v>10</x:v>
      </x:c>
      <x:c r="K424" s="163" t="n">
        <x:v>3</x:v>
      </x:c>
      <x:c r="L424" s="164" t="n">
        <x:v>5067</x:v>
      </x:c>
      <x:c r="M424" s="164" t="n">
        <x:v>403392</x:v>
      </x:c>
      <x:c r="N424" s="164" t="n">
        <x:v>137520</x:v>
      </x:c>
      <x:c r="O424" s="165" t="n">
        <x:f>IFERROR(F424/E424,0)</x:f>
        <x:v>0.026291834002677376</x:v>
      </x:c>
      <x:c r="P424" s="166" t="n">
        <x:f>IFERROR(L424/F424,0)</x:f>
        <x:v>10.319755600814664</x:v>
      </x:c>
      <x:c r="Q424" s="165" t="n">
        <x:f>IFERROR(G424/F424,0)</x:f>
        <x:v>0.09368635437881874</x:v>
      </x:c>
      <x:c r="R424" s="164" t="n">
        <x:f>IFERROR(L424/G424,0)</x:f>
        <x:v>110.15217391304348</x:v>
      </x:c>
      <x:c r="S424" s="167" t="n">
        <x:f>IFERROR(N424/L424,0)</x:f>
        <x:v>27.14031971580817</x:v>
      </x:c>
      <x:c r="T424" s="165" t="n">
        <x:f>IFERROR(K424/J424,0)</x:f>
        <x:v>0.3</x:v>
      </x:c>
    </x:row>
    <x:row r="425">
      <x:c r="A425" s="161" t="n">
        <x:v>46174</x:v>
      </x:c>
      <x:c r="B425" s="162" t="str">
        <x:v>LinkedIn</x:v>
      </x:c>
      <x:c r="C425" s="162" t="str">
        <x:v>Midwest</x:v>
      </x:c>
      <x:c r="D425" s="162" t="str">
        <x:v>Case Packers</x:v>
      </x:c>
      <x:c r="E425" s="163" t="n">
        <x:v>18300</x:v>
      </x:c>
      <x:c r="F425" s="163" t="n">
        <x:v>511</x:v>
      </x:c>
      <x:c r="G425" s="163" t="n">
        <x:v>49</x:v>
      </x:c>
      <x:c r="H425" s="163" t="n">
        <x:v>35</x:v>
      </x:c>
      <x:c r="I425" s="163" t="n">
        <x:v>20</x:v>
      </x:c>
      <x:c r="J425" s="163" t="n">
        <x:v>11</x:v>
      </x:c>
      <x:c r="K425" s="163" t="n">
        <x:v>4</x:v>
      </x:c>
      <x:c r="L425" s="164" t="n">
        <x:v>5274</x:v>
      </x:c>
      <x:c r="M425" s="164" t="n">
        <x:v>1035373</x:v>
      </x:c>
      <x:c r="N425" s="164" t="n">
        <x:v>427840</x:v>
      </x:c>
      <x:c r="O425" s="165" t="n">
        <x:f>IFERROR(F425/E425,0)</x:f>
        <x:v>0.027923497267759563</x:v>
      </x:c>
      <x:c r="P425" s="166" t="n">
        <x:f>IFERROR(L425/F425,0)</x:f>
        <x:v>10.320939334637965</x:v>
      </x:c>
      <x:c r="Q425" s="165" t="n">
        <x:f>IFERROR(G425/F425,0)</x:f>
        <x:v>0.0958904109589041</x:v>
      </x:c>
      <x:c r="R425" s="164" t="n">
        <x:f>IFERROR(L425/G425,0)</x:f>
        <x:v>107.63265306122449</x:v>
      </x:c>
      <x:c r="S425" s="167" t="n">
        <x:f>IFERROR(N425/L425,0)</x:f>
        <x:v>81.1224876753887</x:v>
      </x:c>
      <x:c r="T425" s="165" t="n">
        <x:f>IFERROR(K425/J425,0)</x:f>
        <x:v>0.36363636363636365</x:v>
      </x:c>
    </x:row>
    <x:row r="426">
      <x:c r="A426" s="161" t="n">
        <x:v>46174</x:v>
      </x:c>
      <x:c r="B426" s="162" t="str">
        <x:v>LinkedIn</x:v>
      </x:c>
      <x:c r="C426" s="162" t="str">
        <x:v>South</x:v>
      </x:c>
      <x:c r="D426" s="162" t="str">
        <x:v>Pouch Fillers</x:v>
      </x:c>
      <x:c r="E426" s="163" t="n">
        <x:v>18600</x:v>
      </x:c>
      <x:c r="F426" s="163" t="n">
        <x:v>474</x:v>
      </x:c>
      <x:c r="G426" s="163" t="n">
        <x:v>44</x:v>
      </x:c>
      <x:c r="H426" s="163" t="n">
        <x:v>28</x:v>
      </x:c>
      <x:c r="I426" s="163" t="n">
        <x:v>17</x:v>
      </x:c>
      <x:c r="J426" s="163" t="n">
        <x:v>8</x:v>
      </x:c>
      <x:c r="K426" s="163" t="n">
        <x:v>3</x:v>
      </x:c>
      <x:c r="L426" s="164" t="n">
        <x:v>4960</x:v>
      </x:c>
      <x:c r="M426" s="164" t="n">
        <x:v>565734</x:v>
      </x:c>
      <x:c r="N426" s="164" t="n">
        <x:v>241080</x:v>
      </x:c>
      <x:c r="O426" s="165" t="n">
        <x:f>IFERROR(F426/E426,0)</x:f>
        <x:v>0.025483870967741934</x:v>
      </x:c>
      <x:c r="P426" s="166" t="n">
        <x:f>IFERROR(L426/F426,0)</x:f>
        <x:v>10.464135021097047</x:v>
      </x:c>
      <x:c r="Q426" s="165" t="n">
        <x:f>IFERROR(G426/F426,0)</x:f>
        <x:v>0.09282700421940929</x:v>
      </x:c>
      <x:c r="R426" s="164" t="n">
        <x:f>IFERROR(L426/G426,0)</x:f>
        <x:v>112.72727272727273</x:v>
      </x:c>
      <x:c r="S426" s="167" t="n">
        <x:f>IFERROR(N426/L426,0)</x:f>
        <x:v>48.604838709677416</x:v>
      </x:c>
      <x:c r="T426" s="165" t="n">
        <x:f>IFERROR(K426/J426,0)</x:f>
        <x:v>0.375</x:v>
      </x:c>
    </x:row>
    <x:row r="427">
      <x:c r="A427" s="161" t="n">
        <x:v>46174</x:v>
      </x:c>
      <x:c r="B427" s="162" t="str">
        <x:v>LinkedIn</x:v>
      </x:c>
      <x:c r="C427" s="162" t="str">
        <x:v>South</x:v>
      </x:c>
      <x:c r="D427" s="162" t="str">
        <x:v>Cartoning Machines</x:v>
      </x:c>
      <x:c r="E427" s="163" t="n">
        <x:v>18225</x:v>
      </x:c>
      <x:c r="F427" s="163" t="n">
        <x:v>494</x:v>
      </x:c>
      <x:c r="G427" s="163" t="n">
        <x:v>47</x:v>
      </x:c>
      <x:c r="H427" s="163" t="n">
        <x:v>31</x:v>
      </x:c>
      <x:c r="I427" s="163" t="n">
        <x:v>18</x:v>
      </x:c>
      <x:c r="J427" s="163" t="n">
        <x:v>9</x:v>
      </x:c>
      <x:c r="K427" s="163" t="n">
        <x:v>3</x:v>
      </x:c>
      <x:c r="L427" s="164" t="n">
        <x:v>5169</x:v>
      </x:c>
      <x:c r="M427" s="164" t="n">
        <x:v>1071101</x:v>
      </x:c>
      <x:c r="N427" s="164" t="n">
        <x:v>405720</x:v>
      </x:c>
      <x:c r="O427" s="165" t="n">
        <x:f>IFERROR(F427/E427,0)</x:f>
        <x:v>0.02710562414266118</x:v>
      </x:c>
      <x:c r="P427" s="166" t="n">
        <x:f>IFERROR(L427/F427,0)</x:f>
        <x:v>10.463562753036438</x:v>
      </x:c>
      <x:c r="Q427" s="165" t="n">
        <x:f>IFERROR(G427/F427,0)</x:f>
        <x:v>0.0951417004048583</x:v>
      </x:c>
      <x:c r="R427" s="164" t="n">
        <x:f>IFERROR(L427/G427,0)</x:f>
        <x:v>109.97872340425532</x:v>
      </x:c>
      <x:c r="S427" s="167" t="n">
        <x:f>IFERROR(N427/L427,0)</x:f>
        <x:v>78.49100406268137</x:v>
      </x:c>
      <x:c r="T427" s="165" t="n">
        <x:f>IFERROR(K427/J427,0)</x:f>
        <x:v>0.3333333333333333</x:v>
      </x:c>
    </x:row>
    <x:row r="428">
      <x:c r="A428" s="161" t="n">
        <x:v>46174</x:v>
      </x:c>
      <x:c r="B428" s="162" t="str">
        <x:v>LinkedIn</x:v>
      </x:c>
      <x:c r="C428" s="162" t="str">
        <x:v>South</x:v>
      </x:c>
      <x:c r="D428" s="162" t="str">
        <x:v>Labeling Systems</x:v>
      </x:c>
      <x:c r="E428" s="163" t="n">
        <x:v>19500</x:v>
      </x:c>
      <x:c r="F428" s="163" t="n">
        <x:v>560</x:v>
      </x:c>
      <x:c r="G428" s="163" t="n">
        <x:v>52</x:v>
      </x:c>
      <x:c r="H428" s="163" t="n">
        <x:v>35</x:v>
      </x:c>
      <x:c r="I428" s="163" t="n">
        <x:v>21</x:v>
      </x:c>
      <x:c r="J428" s="163" t="n">
        <x:v>11</x:v>
      </x:c>
      <x:c r="K428" s="163" t="n">
        <x:v>4</x:v>
      </x:c>
      <x:c r="L428" s="164" t="n">
        <x:v>5860</x:v>
      </x:c>
      <x:c r="M428" s="164" t="n">
        <x:v>455347</x:v>
      </x:c>
      <x:c r="N428" s="164" t="n">
        <x:v>188160</x:v>
      </x:c>
      <x:c r="O428" s="165" t="n">
        <x:f>IFERROR(F428/E428,0)</x:f>
        <x:v>0.028717948717948718</x:v>
      </x:c>
      <x:c r="P428" s="166" t="n">
        <x:f>IFERROR(L428/F428,0)</x:f>
        <x:v>10.464285714285714</x:v>
      </x:c>
      <x:c r="Q428" s="165" t="n">
        <x:f>IFERROR(G428/F428,0)</x:f>
        <x:v>0.09285714285714286</x:v>
      </x:c>
      <x:c r="R428" s="164" t="n">
        <x:f>IFERROR(L428/G428,0)</x:f>
        <x:v>112.6923076923077</x:v>
      </x:c>
      <x:c r="S428" s="167" t="n">
        <x:f>IFERROR(N428/L428,0)</x:f>
        <x:v>32.10921501706485</x:v>
      </x:c>
      <x:c r="T428" s="165" t="n">
        <x:f>IFERROR(K428/J428,0)</x:f>
        <x:v>0.36363636363636365</x:v>
      </x:c>
    </x:row>
    <x:row r="429">
      <x:c r="A429" s="161" t="n">
        <x:v>46174</x:v>
      </x:c>
      <x:c r="B429" s="162" t="str">
        <x:v>LinkedIn</x:v>
      </x:c>
      <x:c r="C429" s="162" t="str">
        <x:v>South</x:v>
      </x:c>
      <x:c r="D429" s="162" t="str">
        <x:v>Case Packers</x:v>
      </x:c>
      <x:c r="E429" s="163" t="n">
        <x:v>19125</x:v>
      </x:c>
      <x:c r="F429" s="163" t="n">
        <x:v>503</x:v>
      </x:c>
      <x:c r="G429" s="163" t="n">
        <x:v>48</x:v>
      </x:c>
      <x:c r="H429" s="163" t="n">
        <x:v>34</x:v>
      </x:c>
      <x:c r="I429" s="163" t="n">
        <x:v>20</x:v>
      </x:c>
      <x:c r="J429" s="163" t="n">
        <x:v>11</x:v>
      </x:c>
      <x:c r="K429" s="163" t="n">
        <x:v>4</x:v>
      </x:c>
      <x:c r="L429" s="164" t="n">
        <x:v>5263</x:v>
      </x:c>
      <x:c r="M429" s="164" t="n">
        <x:v>1062477</x:v>
      </x:c>
      <x:c r="N429" s="164" t="n">
        <x:v>439040</x:v>
      </x:c>
      <x:c r="O429" s="165" t="n">
        <x:f>IFERROR(F429/E429,0)</x:f>
        <x:v>0.026300653594771243</x:v>
      </x:c>
      <x:c r="P429" s="166" t="n">
        <x:f>IFERROR(L429/F429,0)</x:f>
        <x:v>10.463220675944333</x:v>
      </x:c>
      <x:c r="Q429" s="165" t="n">
        <x:f>IFERROR(G429/F429,0)</x:f>
        <x:v>0.09542743538767395</x:v>
      </x:c>
      <x:c r="R429" s="164" t="n">
        <x:f>IFERROR(L429/G429,0)</x:f>
        <x:v>109.64583333333333</x:v>
      </x:c>
      <x:c r="S429" s="167" t="n">
        <x:f>IFERROR(N429/L429,0)</x:f>
        <x:v>83.42010260307809</x:v>
      </x:c>
      <x:c r="T429" s="165" t="n">
        <x:f>IFERROR(K429/J429,0)</x:f>
        <x:v>0.36363636363636365</x:v>
      </x:c>
    </x:row>
    <x:row r="430">
      <x:c r="A430" s="161" t="n">
        <x:v>46174</x:v>
      </x:c>
      <x:c r="B430" s="162" t="str">
        <x:v>LinkedIn</x:v>
      </x:c>
      <x:c r="C430" s="162" t="str">
        <x:v>West</x:v>
      </x:c>
      <x:c r="D430" s="162" t="str">
        <x:v>Pouch Fillers</x:v>
      </x:c>
      <x:c r="E430" s="163" t="n">
        <x:v>17775</x:v>
      </x:c>
      <x:c r="F430" s="163" t="n">
        <x:v>496</x:v>
      </x:c>
      <x:c r="G430" s="163" t="n">
        <x:v>46</x:v>
      </x:c>
      <x:c r="H430" s="163" t="n">
        <x:v>29</x:v>
      </x:c>
      <x:c r="I430" s="163" t="n">
        <x:v>18</x:v>
      </x:c>
      <x:c r="J430" s="163" t="n">
        <x:v>9</x:v>
      </x:c>
      <x:c r="K430" s="163" t="n">
        <x:v>3</x:v>
      </x:c>
      <x:c r="L430" s="164" t="n">
        <x:v>5262</x:v>
      </x:c>
      <x:c r="M430" s="164" t="n">
        <x:v>652687</x:v>
      </x:c>
      <x:c r="N430" s="164" t="n">
        <x:v>247230</x:v>
      </x:c>
      <x:c r="O430" s="165" t="n">
        <x:f>IFERROR(F430/E430,0)</x:f>
        <x:v>0.02790436005625879</x:v>
      </x:c>
      <x:c r="P430" s="166" t="n">
        <x:f>IFERROR(L430/F430,0)</x:f>
        <x:v>10.608870967741936</x:v>
      </x:c>
      <x:c r="Q430" s="165" t="n">
        <x:f>IFERROR(G430/F430,0)</x:f>
        <x:v>0.09274193548387097</x:v>
      </x:c>
      <x:c r="R430" s="164" t="n">
        <x:f>IFERROR(L430/G430,0)</x:f>
        <x:v>114.3913043478261</x:v>
      </x:c>
      <x:c r="S430" s="167" t="n">
        <x:f>IFERROR(N430/L430,0)</x:f>
        <x:v>46.984036488027364</x:v>
      </x:c>
      <x:c r="T430" s="165" t="n">
        <x:f>IFERROR(K430/J430,0)</x:f>
        <x:v>0.3333333333333333</x:v>
      </x:c>
    </x:row>
    <x:row r="431">
      <x:c r="A431" s="161" t="n">
        <x:v>46174</x:v>
      </x:c>
      <x:c r="B431" s="162" t="str">
        <x:v>LinkedIn</x:v>
      </x:c>
      <x:c r="C431" s="162" t="str">
        <x:v>West</x:v>
      </x:c>
      <x:c r="D431" s="162" t="str">
        <x:v>Cartoning Machines</x:v>
      </x:c>
      <x:c r="E431" s="163" t="n">
        <x:v>19050</x:v>
      </x:c>
      <x:c r="F431" s="163" t="n">
        <x:v>486</x:v>
      </x:c>
      <x:c r="G431" s="163" t="n">
        <x:v>46</x:v>
      </x:c>
      <x:c r="H431" s="163" t="n">
        <x:v>30</x:v>
      </x:c>
      <x:c r="I431" s="163" t="n">
        <x:v>18</x:v>
      </x:c>
      <x:c r="J431" s="163" t="n">
        <x:v>9</x:v>
      </x:c>
      <x:c r="K431" s="163" t="n">
        <x:v>3</x:v>
      </x:c>
      <x:c r="L431" s="164" t="n">
        <x:v>5155</x:v>
      </x:c>
      <x:c r="M431" s="164" t="n">
        <x:v>1098425</x:v>
      </x:c>
      <x:c r="N431" s="164" t="n">
        <x:v>416070</x:v>
      </x:c>
      <x:c r="O431" s="165" t="n">
        <x:f>IFERROR(F431/E431,0)</x:f>
        <x:v>0.025511811023622048</x:v>
      </x:c>
      <x:c r="P431" s="166" t="n">
        <x:f>IFERROR(L431/F431,0)</x:f>
        <x:v>10.606995884773662</x:v>
      </x:c>
      <x:c r="Q431" s="165" t="n">
        <x:f>IFERROR(G431/F431,0)</x:f>
        <x:v>0.09465020576131687</x:v>
      </x:c>
      <x:c r="R431" s="164" t="n">
        <x:f>IFERROR(L431/G431,0)</x:f>
        <x:v>112.06521739130434</x:v>
      </x:c>
      <x:c r="S431" s="167" t="n">
        <x:f>IFERROR(N431/L431,0)</x:f>
        <x:v>80.71193016488846</x:v>
      </x:c>
      <x:c r="T431" s="165" t="n">
        <x:f>IFERROR(K431/J431,0)</x:f>
        <x:v>0.3333333333333333</x:v>
      </x:c>
    </x:row>
    <x:row r="432">
      <x:c r="A432" s="161" t="n">
        <x:v>46174</x:v>
      </x:c>
      <x:c r="B432" s="162" t="str">
        <x:v>LinkedIn</x:v>
      </x:c>
      <x:c r="C432" s="162" t="str">
        <x:v>West</x:v>
      </x:c>
      <x:c r="D432" s="162" t="str">
        <x:v>Labeling Systems</x:v>
      </x:c>
      <x:c r="E432" s="163" t="n">
        <x:v>18675</x:v>
      </x:c>
      <x:c r="F432" s="163" t="n">
        <x:v>506</x:v>
      </x:c>
      <x:c r="G432" s="163" t="n">
        <x:v>47</x:v>
      </x:c>
      <x:c r="H432" s="163" t="n">
        <x:v>32</x:v>
      </x:c>
      <x:c r="I432" s="163" t="n">
        <x:v>20</x:v>
      </x:c>
      <x:c r="J432" s="163" t="n">
        <x:v>11</x:v>
      </x:c>
      <x:c r="K432" s="163" t="n">
        <x:v>4</x:v>
      </x:c>
      <x:c r="L432" s="164" t="n">
        <x:v>5368</x:v>
      </x:c>
      <x:c r="M432" s="164" t="n">
        <x:v>466963</x:v>
      </x:c>
      <x:c r="N432" s="164" t="n">
        <x:v>192960</x:v>
      </x:c>
      <x:c r="O432" s="165" t="n">
        <x:f>IFERROR(F432/E432,0)</x:f>
        <x:v>0.027095046854083</x:v>
      </x:c>
      <x:c r="P432" s="166" t="n">
        <x:f>IFERROR(L432/F432,0)</x:f>
        <x:v>10.608695652173912</x:v>
      </x:c>
      <x:c r="Q432" s="165" t="n">
        <x:f>IFERROR(G432/F432,0)</x:f>
        <x:v>0.09288537549407115</x:v>
      </x:c>
      <x:c r="R432" s="164" t="n">
        <x:f>IFERROR(L432/G432,0)</x:f>
        <x:v>114.2127659574468</x:v>
      </x:c>
      <x:c r="S432" s="167" t="n">
        <x:f>IFERROR(N432/L432,0)</x:f>
        <x:v>35.94634873323398</x:v>
      </x:c>
      <x:c r="T432" s="165" t="n">
        <x:f>IFERROR(K432/J432,0)</x:f>
        <x:v>0.36363636363636365</x:v>
      </x:c>
    </x:row>
    <x:row r="433">
      <x:c r="A433" s="161" t="n">
        <x:v>46174</x:v>
      </x:c>
      <x:c r="B433" s="162" t="str">
        <x:v>LinkedIn</x:v>
      </x:c>
      <x:c r="C433" s="162" t="str">
        <x:v>West</x:v>
      </x:c>
      <x:c r="D433" s="162" t="str">
        <x:v>Case Packers</x:v>
      </x:c>
      <x:c r="E433" s="163" t="n">
        <x:v>19950</x:v>
      </x:c>
      <x:c r="F433" s="163" t="n">
        <x:v>573</x:v>
      </x:c>
      <x:c r="G433" s="163" t="n">
        <x:v>54</x:v>
      </x:c>
      <x:c r="H433" s="163" t="n">
        <x:v>38</x:v>
      </x:c>
      <x:c r="I433" s="163" t="n">
        <x:v>23</x:v>
      </x:c>
      <x:c r="J433" s="163" t="n">
        <x:v>13</x:v>
      </x:c>
      <x:c r="K433" s="163" t="n">
        <x:v>5</x:v>
      </x:c>
      <x:c r="L433" s="164" t="n">
        <x:v>6078</x:v>
      </x:c>
      <x:c r="M433" s="164" t="n">
        <x:v>1287686</x:v>
      </x:c>
      <x:c r="N433" s="164" t="n">
        <x:v>562800</x:v>
      </x:c>
      <x:c r="O433" s="165" t="n">
        <x:f>IFERROR(F433/E433,0)</x:f>
        <x:v>0.028721804511278197</x:v>
      </x:c>
      <x:c r="P433" s="166" t="n">
        <x:f>IFERROR(L433/F433,0)</x:f>
        <x:v>10.607329842931938</x:v>
      </x:c>
      <x:c r="Q433" s="165" t="n">
        <x:f>IFERROR(G433/F433,0)</x:f>
        <x:v>0.09424083769633508</x:v>
      </x:c>
      <x:c r="R433" s="164" t="n">
        <x:f>IFERROR(L433/G433,0)</x:f>
        <x:v>112.55555555555556</x:v>
      </x:c>
      <x:c r="S433" s="167" t="n">
        <x:f>IFERROR(N433/L433,0)</x:f>
        <x:v>92.59624876604146</x:v>
      </x:c>
      <x:c r="T433" s="165" t="n">
        <x:f>IFERROR(K433/J433,0)</x:f>
        <x:v>0.38461538461538464</x:v>
      </x:c>
    </x:row>
    <x:row r="434">
      <x:c r="A434" s="161" t="n">
        <x:v>46174</x:v>
      </x:c>
      <x:c r="B434" s="162" t="str">
        <x:v>Email</x:v>
      </x:c>
      <x:c r="C434" s="162" t="str">
        <x:v>Northeast</x:v>
      </x:c>
      <x:c r="D434" s="162" t="str">
        <x:v>Pouch Fillers</x:v>
      </x:c>
      <x:c r="E434" s="163" t="n">
        <x:v>9900</x:v>
      </x:c>
      <x:c r="F434" s="163" t="n">
        <x:v>597</x:v>
      </x:c>
      <x:c r="G434" s="163" t="n">
        <x:v>64</x:v>
      </x:c>
      <x:c r="H434" s="163" t="n">
        <x:v>40</x:v>
      </x:c>
      <x:c r="I434" s="163" t="n">
        <x:v>22</x:v>
      </x:c>
      <x:c r="J434" s="163" t="n">
        <x:v>11</x:v>
      </x:c>
      <x:c r="K434" s="163" t="n">
        <x:v>4</x:v>
      </x:c>
      <x:c r="L434" s="164" t="n">
        <x:v>1202</x:v>
      </x:c>
      <x:c r="M434" s="164" t="n">
        <x:v>738197</x:v>
      </x:c>
      <x:c r="N434" s="164" t="n">
        <x:v>305040</x:v>
      </x:c>
      <x:c r="O434" s="165" t="n">
        <x:f>IFERROR(F434/E434,0)</x:f>
        <x:v>0.0603030303030303</x:v>
      </x:c>
      <x:c r="P434" s="166" t="n">
        <x:f>IFERROR(L434/F434,0)</x:f>
        <x:v>2.013400335008375</x:v>
      </x:c>
      <x:c r="Q434" s="165" t="n">
        <x:f>IFERROR(G434/F434,0)</x:f>
        <x:v>0.10720268006700168</x:v>
      </x:c>
      <x:c r="R434" s="164" t="n">
        <x:f>IFERROR(L434/G434,0)</x:f>
        <x:v>18.78125</x:v>
      </x:c>
      <x:c r="S434" s="167" t="n">
        <x:f>IFERROR(N434/L434,0)</x:f>
        <x:v>253.77703826955076</x:v>
      </x:c>
      <x:c r="T434" s="165" t="n">
        <x:f>IFERROR(K434/J434,0)</x:f>
        <x:v>0.36363636363636365</x:v>
      </x:c>
    </x:row>
    <x:row r="435">
      <x:c r="A435" s="161" t="n">
        <x:v>46174</x:v>
      </x:c>
      <x:c r="B435" s="162" t="str">
        <x:v>Email</x:v>
      </x:c>
      <x:c r="C435" s="162" t="str">
        <x:v>Northeast</x:v>
      </x:c>
      <x:c r="D435" s="162" t="str">
        <x:v>Cartoning Machines</x:v>
      </x:c>
      <x:c r="E435" s="163" t="n">
        <x:v>10665</x:v>
      </x:c>
      <x:c r="F435" s="163" t="n">
        <x:v>660</x:v>
      </x:c>
      <x:c r="G435" s="163" t="n">
        <x:v>73</x:v>
      </x:c>
      <x:c r="H435" s="163" t="n">
        <x:v>48</x:v>
      </x:c>
      <x:c r="I435" s="163" t="n">
        <x:v>26</x:v>
      </x:c>
      <x:c r="J435" s="163" t="n">
        <x:v>13</x:v>
      </x:c>
      <x:c r="K435" s="163" t="n">
        <x:v>4</x:v>
      </x:c>
      <x:c r="L435" s="164" t="n">
        <x:v>1329</x:v>
      </x:c>
      <x:c r="M435" s="164" t="n">
        <x:v>1468210</x:v>
      </x:c>
      <x:c r="N435" s="164" t="n">
        <x:v>513360</x:v>
      </x:c>
      <x:c r="O435" s="165" t="n">
        <x:f>IFERROR(F435/E435,0)</x:f>
        <x:v>0.06188466947960619</x:v>
      </x:c>
      <x:c r="P435" s="166" t="n">
        <x:f>IFERROR(L435/F435,0)</x:f>
        <x:v>2.0136363636363637</x:v>
      </x:c>
      <x:c r="Q435" s="165" t="n">
        <x:f>IFERROR(G435/F435,0)</x:f>
        <x:v>0.11060606060606061</x:v>
      </x:c>
      <x:c r="R435" s="164" t="n">
        <x:f>IFERROR(L435/G435,0)</x:f>
        <x:v>18.205479452054796</x:v>
      </x:c>
      <x:c r="S435" s="167" t="n">
        <x:f>IFERROR(N435/L435,0)</x:f>
        <x:v>386.27539503386004</x:v>
      </x:c>
      <x:c r="T435" s="165" t="n">
        <x:f>IFERROR(K435/J435,0)</x:f>
        <x:v>0.3076923076923077</x:v>
      </x:c>
    </x:row>
    <x:row r="436">
      <x:c r="A436" s="161" t="n">
        <x:v>46174</x:v>
      </x:c>
      <x:c r="B436" s="162" t="str">
        <x:v>Email</x:v>
      </x:c>
      <x:c r="C436" s="162" t="str">
        <x:v>Northeast</x:v>
      </x:c>
      <x:c r="D436" s="162" t="str">
        <x:v>Labeling Systems</x:v>
      </x:c>
      <x:c r="E436" s="163" t="n">
        <x:v>10440</x:v>
      </x:c>
      <x:c r="F436" s="163" t="n">
        <x:v>621</x:v>
      </x:c>
      <x:c r="G436" s="163" t="n">
        <x:v>67</x:v>
      </x:c>
      <x:c r="H436" s="163" t="n">
        <x:v>46</x:v>
      </x:c>
      <x:c r="I436" s="163" t="n">
        <x:v>25</x:v>
      </x:c>
      <x:c r="J436" s="163" t="n">
        <x:v>14</x:v>
      </x:c>
      <x:c r="K436" s="163" t="n">
        <x:v>5</x:v>
      </x:c>
      <x:c r="L436" s="164" t="n">
        <x:v>1251</x:v>
      </x:c>
      <x:c r="M436" s="164" t="n">
        <x:v>549965</x:v>
      </x:c>
      <x:c r="N436" s="164" t="n">
        <x:v>223200</x:v>
      </x:c>
      <x:c r="O436" s="165" t="n">
        <x:f>IFERROR(F436/E436,0)</x:f>
        <x:v>0.059482758620689656</x:v>
      </x:c>
      <x:c r="P436" s="166" t="n">
        <x:f>IFERROR(L436/F436,0)</x:f>
        <x:v>2.0144927536231885</x:v>
      </x:c>
      <x:c r="Q436" s="165" t="n">
        <x:f>IFERROR(G436/F436,0)</x:f>
        <x:v>0.10789049919484701</x:v>
      </x:c>
      <x:c r="R436" s="164" t="n">
        <x:f>IFERROR(L436/G436,0)</x:f>
        <x:v>18.671641791044777</x:v>
      </x:c>
      <x:c r="S436" s="167" t="n">
        <x:f>IFERROR(N436/L436,0)</x:f>
        <x:v>178.41726618705036</x:v>
      </x:c>
      <x:c r="T436" s="165" t="n">
        <x:f>IFERROR(K436/J436,0)</x:f>
        <x:v>0.35714285714285715</x:v>
      </x:c>
    </x:row>
    <x:row r="437">
      <x:c r="A437" s="161" t="n">
        <x:v>46174</x:v>
      </x:c>
      <x:c r="B437" s="162" t="str">
        <x:v>Email</x:v>
      </x:c>
      <x:c r="C437" s="162" t="str">
        <x:v>Northeast</x:v>
      </x:c>
      <x:c r="D437" s="162" t="str">
        <x:v>Case Packers</x:v>
      </x:c>
      <x:c r="E437" s="163" t="n">
        <x:v>11205</x:v>
      </x:c>
      <x:c r="F437" s="163" t="n">
        <x:v>685</x:v>
      </x:c>
      <x:c r="G437" s="163" t="n">
        <x:v>75</x:v>
      </x:c>
      <x:c r="H437" s="163" t="n">
        <x:v>53</x:v>
      </x:c>
      <x:c r="I437" s="163" t="n">
        <x:v>29</x:v>
      </x:c>
      <x:c r="J437" s="163" t="n">
        <x:v>16</x:v>
      </x:c>
      <x:c r="K437" s="163" t="n">
        <x:v>5</x:v>
      </x:c>
      <x:c r="L437" s="164" t="n">
        <x:v>1380</x:v>
      </x:c>
      <x:c r="M437" s="164" t="n">
        <x:v>1466573</x:v>
      </x:c>
      <x:c r="N437" s="164" t="n">
        <x:v>520800</x:v>
      </x:c>
      <x:c r="O437" s="165" t="n">
        <x:f>IFERROR(F437/E437,0)</x:f>
        <x:v>0.06113342257920571</x:v>
      </x:c>
      <x:c r="P437" s="166" t="n">
        <x:f>IFERROR(L437/F437,0)</x:f>
        <x:v>2.0145985401459856</x:v>
      </x:c>
      <x:c r="Q437" s="165" t="n">
        <x:f>IFERROR(G437/F437,0)</x:f>
        <x:v>0.10948905109489052</x:v>
      </x:c>
      <x:c r="R437" s="164" t="n">
        <x:f>IFERROR(L437/G437,0)</x:f>
        <x:v>18.4</x:v>
      </x:c>
      <x:c r="S437" s="167" t="n">
        <x:f>IFERROR(N437/L437,0)</x:f>
        <x:v>377.39130434782606</x:v>
      </x:c>
      <x:c r="T437" s="165" t="n">
        <x:f>IFERROR(K437/J437,0)</x:f>
        <x:v>0.3125</x:v>
      </x:c>
    </x:row>
    <x:row r="438">
      <x:c r="A438" s="161" t="n">
        <x:v>46174</x:v>
      </x:c>
      <x:c r="B438" s="162" t="str">
        <x:v>Email</x:v>
      </x:c>
      <x:c r="C438" s="162" t="str">
        <x:v>Midwest</x:v>
      </x:c>
      <x:c r="D438" s="162" t="str">
        <x:v>Pouch Fillers</x:v>
      </x:c>
      <x:c r="E438" s="163" t="n">
        <x:v>10395</x:v>
      </x:c>
      <x:c r="F438" s="163" t="n">
        <x:v>652</x:v>
      </x:c>
      <x:c r="G438" s="163" t="n">
        <x:v>70</x:v>
      </x:c>
      <x:c r="H438" s="163" t="n">
        <x:v>44</x:v>
      </x:c>
      <x:c r="I438" s="163" t="n">
        <x:v>25</x:v>
      </x:c>
      <x:c r="J438" s="163" t="n">
        <x:v>12</x:v>
      </x:c>
      <x:c r="K438" s="163" t="n">
        <x:v>4</x:v>
      </x:c>
      <x:c r="L438" s="164" t="n">
        <x:v>1332</x:v>
      </x:c>
      <x:c r="M438" s="164" t="n">
        <x:v>826954</x:v>
      </x:c>
      <x:c r="N438" s="164" t="n">
        <x:v>313240</x:v>
      </x:c>
      <x:c r="O438" s="165" t="n">
        <x:f>IFERROR(F438/E438,0)</x:f>
        <x:v>0.06272246272246272</x:v>
      </x:c>
      <x:c r="P438" s="166" t="n">
        <x:f>IFERROR(L438/F438,0)</x:f>
        <x:v>2.042944785276074</x:v>
      </x:c>
      <x:c r="Q438" s="165" t="n">
        <x:f>IFERROR(G438/F438,0)</x:f>
        <x:v>0.10736196319018405</x:v>
      </x:c>
      <x:c r="R438" s="164" t="n">
        <x:f>IFERROR(L438/G438,0)</x:f>
        <x:v>19.02857142857143</x:v>
      </x:c>
      <x:c r="S438" s="167" t="n">
        <x:f>IFERROR(N438/L438,0)</x:f>
        <x:v>235.16516516516518</x:v>
      </x:c>
      <x:c r="T438" s="165" t="n">
        <x:f>IFERROR(K438/J438,0)</x:f>
        <x:v>0.3333333333333333</x:v>
      </x:c>
    </x:row>
    <x:row r="439">
      <x:c r="A439" s="161" t="n">
        <x:v>46174</x:v>
      </x:c>
      <x:c r="B439" s="162" t="str">
        <x:v>Email</x:v>
      </x:c>
      <x:c r="C439" s="162" t="str">
        <x:v>Midwest</x:v>
      </x:c>
      <x:c r="D439" s="162" t="str">
        <x:v>Cartoning Machines</x:v>
      </x:c>
      <x:c r="E439" s="163" t="n">
        <x:v>11160</x:v>
      </x:c>
      <x:c r="F439" s="163" t="n">
        <x:v>673</x:v>
      </x:c>
      <x:c r="G439" s="163" t="n">
        <x:v>74</x:v>
      </x:c>
      <x:c r="H439" s="163" t="n">
        <x:v>48</x:v>
      </x:c>
      <x:c r="I439" s="163" t="n">
        <x:v>27</x:v>
      </x:c>
      <x:c r="J439" s="163" t="n">
        <x:v>14</x:v>
      </x:c>
      <x:c r="K439" s="163" t="n">
        <x:v>5</x:v>
      </x:c>
      <x:c r="L439" s="164" t="n">
        <x:v>1375</x:v>
      </x:c>
      <x:c r="M439" s="164" t="n">
        <x:v>1623653</x:v>
      </x:c>
      <x:c r="N439" s="164" t="n">
        <x:v>658950</x:v>
      </x:c>
      <x:c r="O439" s="165" t="n">
        <x:f>IFERROR(F439/E439,0)</x:f>
        <x:v>0.06030465949820789</x:v>
      </x:c>
      <x:c r="P439" s="166" t="n">
        <x:f>IFERROR(L439/F439,0)</x:f>
        <x:v>2.0430906389301633</x:v>
      </x:c>
      <x:c r="Q439" s="165" t="n">
        <x:f>IFERROR(G439/F439,0)</x:f>
        <x:v>0.1099554234769688</x:v>
      </x:c>
      <x:c r="R439" s="164" t="n">
        <x:f>IFERROR(L439/G439,0)</x:f>
        <x:v>18.58108108108108</x:v>
      </x:c>
      <x:c r="S439" s="167" t="n">
        <x:f>IFERROR(N439/L439,0)</x:f>
        <x:v>479.23636363636365</x:v>
      </x:c>
      <x:c r="T439" s="165" t="n">
        <x:f>IFERROR(K439/J439,0)</x:f>
        <x:v>0.35714285714285715</x:v>
      </x:c>
    </x:row>
    <x:row r="440">
      <x:c r="A440" s="161" t="n">
        <x:v>46174</x:v>
      </x:c>
      <x:c r="B440" s="162" t="str">
        <x:v>Email</x:v>
      </x:c>
      <x:c r="C440" s="162" t="str">
        <x:v>Midwest</x:v>
      </x:c>
      <x:c r="D440" s="162" t="str">
        <x:v>Labeling Systems</x:v>
      </x:c>
      <x:c r="E440" s="163" t="n">
        <x:v>10935</x:v>
      </x:c>
      <x:c r="F440" s="163" t="n">
        <x:v>677</x:v>
      </x:c>
      <x:c r="G440" s="163" t="n">
        <x:v>73</x:v>
      </x:c>
      <x:c r="H440" s="163" t="n">
        <x:v>50</x:v>
      </x:c>
      <x:c r="I440" s="163" t="n">
        <x:v>29</x:v>
      </x:c>
      <x:c r="J440" s="163" t="n">
        <x:v>16</x:v>
      </x:c>
      <x:c r="K440" s="163" t="n">
        <x:v>6</x:v>
      </x:c>
      <x:c r="L440" s="164" t="n">
        <x:v>1383</x:v>
      </x:c>
      <x:c r="M440" s="164" t="n">
        <x:v>645427</x:v>
      </x:c>
      <x:c r="N440" s="164" t="n">
        <x:v>275040</x:v>
      </x:c>
      <x:c r="O440" s="165" t="n">
        <x:f>IFERROR(F440/E440,0)</x:f>
        <x:v>0.061911294010059445</x:v>
      </x:c>
      <x:c r="P440" s="166" t="n">
        <x:f>IFERROR(L440/F440,0)</x:f>
        <x:v>2.0428360413589366</x:v>
      </x:c>
      <x:c r="Q440" s="165" t="n">
        <x:f>IFERROR(G440/F440,0)</x:f>
        <x:v>0.10782865583456426</x:v>
      </x:c>
      <x:c r="R440" s="164" t="n">
        <x:f>IFERROR(L440/G440,0)</x:f>
        <x:v>18.945205479452056</x:v>
      </x:c>
      <x:c r="S440" s="167" t="n">
        <x:f>IFERROR(N440/L440,0)</x:f>
        <x:v>198.87201735357917</x:v>
      </x:c>
      <x:c r="T440" s="165" t="n">
        <x:f>IFERROR(K440/J440,0)</x:f>
        <x:v>0.375</x:v>
      </x:c>
    </x:row>
    <x:row r="441">
      <x:c r="A441" s="161" t="n">
        <x:v>46174</x:v>
      </x:c>
      <x:c r="B441" s="162" t="str">
        <x:v>Email</x:v>
      </x:c>
      <x:c r="C441" s="162" t="str">
        <x:v>Midwest</x:v>
      </x:c>
      <x:c r="D441" s="162" t="str">
        <x:v>Case Packers</x:v>
      </x:c>
      <x:c r="E441" s="163" t="n">
        <x:v>10710</x:v>
      </x:c>
      <x:c r="F441" s="163" t="n">
        <x:v>637</x:v>
      </x:c>
      <x:c r="G441" s="163" t="n">
        <x:v>70</x:v>
      </x:c>
      <x:c r="H441" s="163" t="n">
        <x:v>49</x:v>
      </x:c>
      <x:c r="I441" s="163" t="n">
        <x:v>28</x:v>
      </x:c>
      <x:c r="J441" s="163" t="n">
        <x:v>16</x:v>
      </x:c>
      <x:c r="K441" s="163" t="n">
        <x:v>6</x:v>
      </x:c>
      <x:c r="L441" s="164" t="n">
        <x:v>1301</x:v>
      </x:c>
      <x:c r="M441" s="164" t="n">
        <x:v>1505997</x:v>
      </x:c>
      <x:c r="N441" s="164" t="n">
        <x:v>641760</x:v>
      </x:c>
      <x:c r="O441" s="165" t="n">
        <x:f>IFERROR(F441/E441,0)</x:f>
        <x:v>0.05947712418300653</x:v>
      </x:c>
      <x:c r="P441" s="166" t="n">
        <x:f>IFERROR(L441/F441,0)</x:f>
        <x:v>2.0423861852433283</x:v>
      </x:c>
      <x:c r="Q441" s="165" t="n">
        <x:f>IFERROR(G441/F441,0)</x:f>
        <x:v>0.10989010989010989</x:v>
      </x:c>
      <x:c r="R441" s="164" t="n">
        <x:f>IFERROR(L441/G441,0)</x:f>
        <x:v>18.585714285714285</x:v>
      </x:c>
      <x:c r="S441" s="167" t="n">
        <x:f>IFERROR(N441/L441,0)</x:f>
        <x:v>493.28209069946195</x:v>
      </x:c>
      <x:c r="T441" s="165" t="n">
        <x:f>IFERROR(K441/J441,0)</x:f>
        <x:v>0.375</x:v>
      </x:c>
    </x:row>
    <x:row r="442">
      <x:c r="A442" s="161" t="n">
        <x:v>46174</x:v>
      </x:c>
      <x:c r="B442" s="162" t="str">
        <x:v>Email</x:v>
      </x:c>
      <x:c r="C442" s="162" t="str">
        <x:v>South</x:v>
      </x:c>
      <x:c r="D442" s="162" t="str">
        <x:v>Pouch Fillers</x:v>
      </x:c>
      <x:c r="E442" s="163" t="n">
        <x:v>10890</x:v>
      </x:c>
      <x:c r="F442" s="163" t="n">
        <x:v>665</x:v>
      </x:c>
      <x:c r="G442" s="163" t="n">
        <x:v>72</x:v>
      </x:c>
      <x:c r="H442" s="163" t="n">
        <x:v>45</x:v>
      </x:c>
      <x:c r="I442" s="163" t="n">
        <x:v>27</x:v>
      </x:c>
      <x:c r="J442" s="163" t="n">
        <x:v>13</x:v>
      </x:c>
      <x:c r="K442" s="163" t="n">
        <x:v>5</x:v>
      </x:c>
      <x:c r="L442" s="164" t="n">
        <x:v>1377</x:v>
      </x:c>
      <x:c r="M442" s="164" t="n">
        <x:v>919318</x:v>
      </x:c>
      <x:c r="N442" s="164" t="n">
        <x:v>401800</x:v>
      </x:c>
      <x:c r="O442" s="165" t="n">
        <x:f>IFERROR(F442/E442,0)</x:f>
        <x:v>0.06106519742883379</x:v>
      </x:c>
      <x:c r="P442" s="166" t="n">
        <x:f>IFERROR(L442/F442,0)</x:f>
        <x:v>2.0706766917293233</x:v>
      </x:c>
      <x:c r="Q442" s="165" t="n">
        <x:f>IFERROR(G442/F442,0)</x:f>
        <x:v>0.10827067669172932</x:v>
      </x:c>
      <x:c r="R442" s="164" t="n">
        <x:f>IFERROR(L442/G442,0)</x:f>
        <x:v>19.125</x:v>
      </x:c>
      <x:c r="S442" s="167" t="n">
        <x:f>IFERROR(N442/L442,0)</x:f>
        <x:v>291.79375453885257</x:v>
      </x:c>
      <x:c r="T442" s="165" t="n">
        <x:f>IFERROR(K442/J442,0)</x:f>
        <x:v>0.38461538461538464</x:v>
      </x:c>
    </x:row>
    <x:row r="443">
      <x:c r="A443" s="161" t="n">
        <x:v>46174</x:v>
      </x:c>
      <x:c r="B443" s="162" t="str">
        <x:v>Email</x:v>
      </x:c>
      <x:c r="C443" s="162" t="str">
        <x:v>South</x:v>
      </x:c>
      <x:c r="D443" s="162" t="str">
        <x:v>Cartoning Machines</x:v>
      </x:c>
      <x:c r="E443" s="163" t="n">
        <x:v>10665</x:v>
      </x:c>
      <x:c r="F443" s="163" t="n">
        <x:v>669</x:v>
      </x:c>
      <x:c r="G443" s="163" t="n">
        <x:v>74</x:v>
      </x:c>
      <x:c r="H443" s="163" t="n">
        <x:v>48</x:v>
      </x:c>
      <x:c r="I443" s="163" t="n">
        <x:v>28</x:v>
      </x:c>
      <x:c r="J443" s="163" t="n">
        <x:v>14</x:v>
      </x:c>
      <x:c r="K443" s="163" t="n">
        <x:v>5</x:v>
      </x:c>
      <x:c r="L443" s="164" t="n">
        <x:v>1385</x:v>
      </x:c>
      <x:c r="M443" s="164" t="n">
        <x:v>1666157</x:v>
      </x:c>
      <x:c r="N443" s="164" t="n">
        <x:v>676200</x:v>
      </x:c>
      <x:c r="O443" s="165" t="n">
        <x:f>IFERROR(F443/E443,0)</x:f>
        <x:v>0.06272855133614627</x:v>
      </x:c>
      <x:c r="P443" s="166" t="n">
        <x:f>IFERROR(L443/F443,0)</x:f>
        <x:v>2.070254110612855</x:v>
      </x:c>
      <x:c r="Q443" s="165" t="n">
        <x:f>IFERROR(G443/F443,0)</x:f>
        <x:v>0.11061285500747384</x:v>
      </x:c>
      <x:c r="R443" s="164" t="n">
        <x:f>IFERROR(L443/G443,0)</x:f>
        <x:v>18.716216216216218</x:v>
      </x:c>
      <x:c r="S443" s="167" t="n">
        <x:f>IFERROR(N443/L443,0)</x:f>
        <x:v>488.23104693140795</x:v>
      </x:c>
      <x:c r="T443" s="165" t="n">
        <x:f>IFERROR(K443/J443,0)</x:f>
        <x:v>0.35714285714285715</x:v>
      </x:c>
    </x:row>
    <x:row r="444">
      <x:c r="A444" s="161" t="n">
        <x:v>46174</x:v>
      </x:c>
      <x:c r="B444" s="162" t="str">
        <x:v>Email</x:v>
      </x:c>
      <x:c r="C444" s="162" t="str">
        <x:v>South</x:v>
      </x:c>
      <x:c r="D444" s="162" t="str">
        <x:v>Labeling Systems</x:v>
      </x:c>
      <x:c r="E444" s="163" t="n">
        <x:v>11430</x:v>
      </x:c>
      <x:c r="F444" s="163" t="n">
        <x:v>689</x:v>
      </x:c>
      <x:c r="G444" s="163" t="n">
        <x:v>74</x:v>
      </x:c>
      <x:c r="H444" s="163" t="n">
        <x:v>50</x:v>
      </x:c>
      <x:c r="I444" s="163" t="n">
        <x:v>30</x:v>
      </x:c>
      <x:c r="J444" s="163" t="n">
        <x:v>16</x:v>
      </x:c>
      <x:c r="K444" s="163" t="n">
        <x:v>6</x:v>
      </x:c>
      <x:c r="L444" s="164" t="n">
        <x:v>1427</x:v>
      </x:c>
      <x:c r="M444" s="164" t="n">
        <x:v>662323</x:v>
      </x:c>
      <x:c r="N444" s="164" t="n">
        <x:v>282240</x:v>
      </x:c>
      <x:c r="O444" s="165" t="n">
        <x:f>IFERROR(F444/E444,0)</x:f>
        <x:v>0.06027996500437445</x:v>
      </x:c>
      <x:c r="P444" s="166" t="n">
        <x:f>IFERROR(L444/F444,0)</x:f>
        <x:v>2.0711175616835993</x:v>
      </x:c>
      <x:c r="Q444" s="165" t="n">
        <x:f>IFERROR(G444/F444,0)</x:f>
        <x:v>0.10740203193033382</x:v>
      </x:c>
      <x:c r="R444" s="164" t="n">
        <x:f>IFERROR(L444/G444,0)</x:f>
        <x:v>19.283783783783782</x:v>
      </x:c>
      <x:c r="S444" s="167" t="n">
        <x:f>IFERROR(N444/L444,0)</x:f>
        <x:v>197.7855641205326</x:v>
      </x:c>
      <x:c r="T444" s="165" t="n">
        <x:f>IFERROR(K444/J444,0)</x:f>
        <x:v>0.375</x:v>
      </x:c>
    </x:row>
    <x:row r="445">
      <x:c r="A445" s="161" t="n">
        <x:v>46174</x:v>
      </x:c>
      <x:c r="B445" s="162" t="str">
        <x:v>Email</x:v>
      </x:c>
      <x:c r="C445" s="162" t="str">
        <x:v>South</x:v>
      </x:c>
      <x:c r="D445" s="162" t="str">
        <x:v>Case Packers</x:v>
      </x:c>
      <x:c r="E445" s="163" t="n">
        <x:v>11205</x:v>
      </x:c>
      <x:c r="F445" s="163" t="n">
        <x:v>694</x:v>
      </x:c>
      <x:c r="G445" s="163" t="n">
        <x:v>76</x:v>
      </x:c>
      <x:c r="H445" s="163" t="n">
        <x:v>54</x:v>
      </x:c>
      <x:c r="I445" s="163" t="n">
        <x:v>32</x:v>
      </x:c>
      <x:c r="J445" s="163" t="n">
        <x:v>18</x:v>
      </x:c>
      <x:c r="K445" s="163" t="n">
        <x:v>6</x:v>
      </x:c>
      <x:c r="L445" s="164" t="n">
        <x:v>1437</x:v>
      </x:c>
      <x:c r="M445" s="164" t="n">
        <x:v>1738598</x:v>
      </x:c>
      <x:c r="N445" s="164" t="n">
        <x:v>658560</x:v>
      </x:c>
      <x:c r="O445" s="165" t="n">
        <x:f>IFERROR(F445/E445,0)</x:f>
        <x:v>0.061936635430611335</x:v>
      </x:c>
      <x:c r="P445" s="166" t="n">
        <x:f>IFERROR(L445/F445,0)</x:f>
        <x:v>2.0706051873198845</x:v>
      </x:c>
      <x:c r="Q445" s="165" t="n">
        <x:f>IFERROR(G445/F445,0)</x:f>
        <x:v>0.10951008645533142</x:v>
      </x:c>
      <x:c r="R445" s="164" t="n">
        <x:f>IFERROR(L445/G445,0)</x:f>
        <x:v>18.907894736842106</x:v>
      </x:c>
      <x:c r="S445" s="167" t="n">
        <x:f>IFERROR(N445/L445,0)</x:f>
        <x:v>458.28810020876824</x:v>
      </x:c>
      <x:c r="T445" s="165" t="n">
        <x:f>IFERROR(K445/J445,0)</x:f>
        <x:v>0.3333333333333333</x:v>
      </x:c>
    </x:row>
    <x:row r="446">
      <x:c r="A446" s="161" t="n">
        <x:v>46174</x:v>
      </x:c>
      <x:c r="B446" s="162" t="str">
        <x:v>Email</x:v>
      </x:c>
      <x:c r="C446" s="162" t="str">
        <x:v>West</x:v>
      </x:c>
      <x:c r="D446" s="162" t="str">
        <x:v>Pouch Fillers</x:v>
      </x:c>
      <x:c r="E446" s="163" t="n">
        <x:v>11385</x:v>
      </x:c>
      <x:c r="F446" s="163" t="n">
        <x:v>677</x:v>
      </x:c>
      <x:c r="G446" s="163" t="n">
        <x:v>73</x:v>
      </x:c>
      <x:c r="H446" s="163" t="n">
        <x:v>46</x:v>
      </x:c>
      <x:c r="I446" s="163" t="n">
        <x:v>28</x:v>
      </x:c>
      <x:c r="J446" s="163" t="n">
        <x:v>14</x:v>
      </x:c>
      <x:c r="K446" s="163" t="n">
        <x:v>5</x:v>
      </x:c>
      <x:c r="L446" s="164" t="n">
        <x:v>1421</x:v>
      </x:c>
      <x:c r="M446" s="164" t="n">
        <x:v>1015291</x:v>
      </x:c>
      <x:c r="N446" s="164" t="n">
        <x:v>412050</x:v>
      </x:c>
      <x:c r="O446" s="165" t="n">
        <x:f>IFERROR(F446/E446,0)</x:f>
        <x:v>0.059464207290294245</x:v>
      </x:c>
      <x:c r="P446" s="166" t="n">
        <x:f>IFERROR(L446/F446,0)</x:f>
        <x:v>2.098966026587888</x:v>
      </x:c>
      <x:c r="Q446" s="165" t="n">
        <x:f>IFERROR(G446/F446,0)</x:f>
        <x:v>0.10782865583456426</x:v>
      </x:c>
      <x:c r="R446" s="164" t="n">
        <x:f>IFERROR(L446/G446,0)</x:f>
        <x:v>19.465753424657535</x:v>
      </x:c>
      <x:c r="S446" s="167" t="n">
        <x:f>IFERROR(N446/L446,0)</x:f>
        <x:v>289.9718508092892</x:v>
      </x:c>
      <x:c r="T446" s="165" t="n">
        <x:f>IFERROR(K446/J446,0)</x:f>
        <x:v>0.35714285714285715</x:v>
      </x:c>
    </x:row>
    <x:row r="447">
      <x:c r="A447" s="161" t="n">
        <x:v>46174</x:v>
      </x:c>
      <x:c r="B447" s="162" t="str">
        <x:v>Email</x:v>
      </x:c>
      <x:c r="C447" s="162" t="str">
        <x:v>West</x:v>
      </x:c>
      <x:c r="D447" s="162" t="str">
        <x:v>Cartoning Machines</x:v>
      </x:c>
      <x:c r="E447" s="163" t="n">
        <x:v>11160</x:v>
      </x:c>
      <x:c r="F447" s="163" t="n">
        <x:v>682</x:v>
      </x:c>
      <x:c r="G447" s="163" t="n">
        <x:v>75</x:v>
      </x:c>
      <x:c r="H447" s="163" t="n">
        <x:v>49</x:v>
      </x:c>
      <x:c r="I447" s="163" t="n">
        <x:v>30</x:v>
      </x:c>
      <x:c r="J447" s="163" t="n">
        <x:v>15</x:v>
      </x:c>
      <x:c r="K447" s="163" t="n">
        <x:v>6</x:v>
      </x:c>
      <x:c r="L447" s="164" t="n">
        <x:v>1432</x:v>
      </x:c>
      <x:c r="M447" s="164" t="n">
        <x:v>1830708</x:v>
      </x:c>
      <x:c r="N447" s="164" t="n">
        <x:v>832140</x:v>
      </x:c>
      <x:c r="O447" s="165" t="n">
        <x:f>IFERROR(F447/E447,0)</x:f>
        <x:v>0.06111111111111111</x:v>
      </x:c>
      <x:c r="P447" s="166" t="n">
        <x:f>IFERROR(L447/F447,0)</x:f>
        <x:v>2.099706744868035</x:v>
      </x:c>
      <x:c r="Q447" s="165" t="n">
        <x:f>IFERROR(G447/F447,0)</x:f>
        <x:v>0.10997067448680352</x:v>
      </x:c>
      <x:c r="R447" s="164" t="n">
        <x:f>IFERROR(L447/G447,0)</x:f>
        <x:v>19.093333333333334</x:v>
      </x:c>
      <x:c r="S447" s="167" t="n">
        <x:f>IFERROR(N447/L447,0)</x:f>
        <x:v>581.1033519553073</x:v>
      </x:c>
      <x:c r="T447" s="165" t="n">
        <x:f>IFERROR(K447/J447,0)</x:f>
        <x:v>0.4</x:v>
      </x:c>
    </x:row>
    <x:row r="448">
      <x:c r="A448" s="161" t="n">
        <x:v>46174</x:v>
      </x:c>
      <x:c r="B448" s="162" t="str">
        <x:v>Email</x:v>
      </x:c>
      <x:c r="C448" s="162" t="str">
        <x:v>West</x:v>
      </x:c>
      <x:c r="D448" s="162" t="str">
        <x:v>Labeling Systems</x:v>
      </x:c>
      <x:c r="E448" s="163" t="n">
        <x:v>11925</x:v>
      </x:c>
      <x:c r="F448" s="163" t="n">
        <x:v>748</x:v>
      </x:c>
      <x:c r="G448" s="163" t="n">
        <x:v>81</x:v>
      </x:c>
      <x:c r="H448" s="163" t="n">
        <x:v>55</x:v>
      </x:c>
      <x:c r="I448" s="163" t="n">
        <x:v>34</x:v>
      </x:c>
      <x:c r="J448" s="163" t="n">
        <x:v>18</x:v>
      </x:c>
      <x:c r="K448" s="163" t="n">
        <x:v>7</x:v>
      </x:c>
      <x:c r="L448" s="164" t="n">
        <x:v>1570</x:v>
      </x:c>
      <x:c r="M448" s="164" t="n">
        <x:v>764122</x:v>
      </x:c>
      <x:c r="N448" s="164" t="n">
        <x:v>337680</x:v>
      </x:c>
      <x:c r="O448" s="165" t="n">
        <x:f>IFERROR(F448/E448,0)</x:f>
        <x:v>0.06272536687631028</x:v>
      </x:c>
      <x:c r="P448" s="166" t="n">
        <x:f>IFERROR(L448/F448,0)</x:f>
        <x:v>2.0989304812834226</x:v>
      </x:c>
      <x:c r="Q448" s="165" t="n">
        <x:f>IFERROR(G448/F448,0)</x:f>
        <x:v>0.10828877005347594</x:v>
      </x:c>
      <x:c r="R448" s="164" t="n">
        <x:f>IFERROR(L448/G448,0)</x:f>
        <x:v>19.382716049382715</x:v>
      </x:c>
      <x:c r="S448" s="167" t="n">
        <x:f>IFERROR(N448/L448,0)</x:f>
        <x:v>215.0828025477707</x:v>
      </x:c>
      <x:c r="T448" s="165" t="n">
        <x:f>IFERROR(K448/J448,0)</x:f>
        <x:v>0.3888888888888889</x:v>
      </x:c>
    </x:row>
    <x:row r="449">
      <x:c r="A449" s="161" t="n">
        <x:v>46174</x:v>
      </x:c>
      <x:c r="B449" s="162" t="str">
        <x:v>Email</x:v>
      </x:c>
      <x:c r="C449" s="162" t="str">
        <x:v>West</x:v>
      </x:c>
      <x:c r="D449" s="162" t="str">
        <x:v>Case Packers</x:v>
      </x:c>
      <x:c r="E449" s="163" t="n">
        <x:v>11700</x:v>
      </x:c>
      <x:c r="F449" s="163" t="n">
        <x:v>706</x:v>
      </x:c>
      <x:c r="G449" s="163" t="n">
        <x:v>78</x:v>
      </x:c>
      <x:c r="H449" s="163" t="n">
        <x:v>55</x:v>
      </x:c>
      <x:c r="I449" s="163" t="n">
        <x:v>34</x:v>
      </x:c>
      <x:c r="J449" s="163" t="n">
        <x:v>19</x:v>
      </x:c>
      <x:c r="K449" s="163" t="n">
        <x:v>7</x:v>
      </x:c>
      <x:c r="L449" s="164" t="n">
        <x:v>1482</x:v>
      </x:c>
      <x:c r="M449" s="164" t="n">
        <x:v>1882003</x:v>
      </x:c>
      <x:c r="N449" s="164" t="n">
        <x:v>787920</x:v>
      </x:c>
      <x:c r="O449" s="165" t="n">
        <x:f>IFERROR(F449/E449,0)</x:f>
        <x:v>0.060341880341880344</x:v>
      </x:c>
      <x:c r="P449" s="166" t="n">
        <x:f>IFERROR(L449/F449,0)</x:f>
        <x:v>2.0991501416430594</x:v>
      </x:c>
      <x:c r="Q449" s="165" t="n">
        <x:f>IFERROR(G449/F449,0)</x:f>
        <x:v>0.11048158640226628</x:v>
      </x:c>
      <x:c r="R449" s="164" t="n">
        <x:f>IFERROR(L449/G449,0)</x:f>
        <x:v>19</x:v>
      </x:c>
      <x:c r="S449" s="167" t="n">
        <x:f>IFERROR(N449/L449,0)</x:f>
        <x:v>531.65991902834</x:v>
      </x:c>
      <x:c r="T449" s="165" t="n">
        <x:f>IFERROR(K449/J449,0)</x:f>
        <x:v>0.3684210526315789</x:v>
      </x:c>
    </x:row>
    <x:row r="450">
      <x:c r="A450" s="161" t="n">
        <x:v>46174</x:v>
      </x:c>
      <x:c r="B450" s="162" t="str">
        <x:v>Trade Media</x:v>
      </x:c>
      <x:c r="C450" s="162" t="str">
        <x:v>Northeast</x:v>
      </x:c>
      <x:c r="D450" s="162" t="str">
        <x:v>Pouch Fillers</x:v>
      </x:c>
      <x:c r="E450" s="163" t="n">
        <x:v>12980</x:v>
      </x:c>
      <x:c r="F450" s="163" t="n">
        <x:v>310</x:v>
      </x:c>
      <x:c r="G450" s="163" t="n">
        <x:v>22</x:v>
      </x:c>
      <x:c r="H450" s="163" t="n">
        <x:v>14</x:v>
      </x:c>
      <x:c r="I450" s="163" t="n">
        <x:v>8</x:v>
      </x:c>
      <x:c r="J450" s="163" t="n">
        <x:v>4</x:v>
      </x:c>
      <x:c r="K450" s="163" t="n">
        <x:v>1</x:v>
      </x:c>
      <x:c r="L450" s="164" t="n">
        <x:v>2432</x:v>
      </x:c>
      <x:c r="M450" s="164" t="n">
        <x:v>268435</x:v>
      </x:c>
      <x:c r="N450" s="164" t="n">
        <x:v>76260</x:v>
      </x:c>
      <x:c r="O450" s="165" t="n">
        <x:f>IFERROR(F450/E450,0)</x:f>
        <x:v>0.023882896764252697</x:v>
      </x:c>
      <x:c r="P450" s="166" t="n">
        <x:f>IFERROR(L450/F450,0)</x:f>
        <x:v>7.84516129032258</x:v>
      </x:c>
      <x:c r="Q450" s="165" t="n">
        <x:f>IFERROR(G450/F450,0)</x:f>
        <x:v>0.07096774193548387</x:v>
      </x:c>
      <x:c r="R450" s="164" t="n">
        <x:f>IFERROR(L450/G450,0)</x:f>
        <x:v>110.54545454545455</x:v>
      </x:c>
      <x:c r="S450" s="167" t="n">
        <x:f>IFERROR(N450/L450,0)</x:f>
        <x:v>31.356907894736842</x:v>
      </x:c>
      <x:c r="T450" s="165" t="n">
        <x:f>IFERROR(K450/J450,0)</x:f>
        <x:v>0.25</x:v>
      </x:c>
    </x:row>
    <x:row r="451">
      <x:c r="A451" s="161" t="n">
        <x:v>46174</x:v>
      </x:c>
      <x:c r="B451" s="162" t="str">
        <x:v>Trade Media</x:v>
      </x:c>
      <x:c r="C451" s="162" t="str">
        <x:v>Northeast</x:v>
      </x:c>
      <x:c r="D451" s="162" t="str">
        <x:v>Cartoning Machines</x:v>
      </x:c>
      <x:c r="E451" s="163" t="n">
        <x:v>12705</x:v>
      </x:c>
      <x:c r="F451" s="163" t="n">
        <x:v>273</x:v>
      </x:c>
      <x:c r="G451" s="163" t="n">
        <x:v>20</x:v>
      </x:c>
      <x:c r="H451" s="163" t="n">
        <x:v>13</x:v>
      </x:c>
      <x:c r="I451" s="163" t="n">
        <x:v>7</x:v>
      </x:c>
      <x:c r="J451" s="163" t="n">
        <x:v>4</x:v>
      </x:c>
      <x:c r="K451" s="163" t="n">
        <x:v>1</x:v>
      </x:c>
      <x:c r="L451" s="164" t="n">
        <x:v>2141</x:v>
      </x:c>
      <x:c r="M451" s="164" t="n">
        <x:v>451757</x:v>
      </x:c>
      <x:c r="N451" s="164" t="n">
        <x:v>128340</x:v>
      </x:c>
      <x:c r="O451" s="165" t="n">
        <x:f>IFERROR(F451/E451,0)</x:f>
        <x:v>0.021487603305785124</x:v>
      </x:c>
      <x:c r="P451" s="166" t="n">
        <x:f>IFERROR(L451/F451,0)</x:f>
        <x:v>7.842490842490842</x:v>
      </x:c>
      <x:c r="Q451" s="165" t="n">
        <x:f>IFERROR(G451/F451,0)</x:f>
        <x:v>0.07326007326007326</x:v>
      </x:c>
      <x:c r="R451" s="164" t="n">
        <x:f>IFERROR(L451/G451,0)</x:f>
        <x:v>107.05</x:v>
      </x:c>
      <x:c r="S451" s="167" t="n">
        <x:f>IFERROR(N451/L451,0)</x:f>
        <x:v>59.943951424567956</x:v>
      </x:c>
      <x:c r="T451" s="165" t="n">
        <x:f>IFERROR(K451/J451,0)</x:f>
        <x:v>0.25</x:v>
      </x:c>
    </x:row>
    <x:row r="452">
      <x:c r="A452" s="161" t="n">
        <x:v>46174</x:v>
      </x:c>
      <x:c r="B452" s="162" t="str">
        <x:v>Trade Media</x:v>
      </x:c>
      <x:c r="C452" s="162" t="str">
        <x:v>Northeast</x:v>
      </x:c>
      <x:c r="D452" s="162" t="str">
        <x:v>Labeling Systems</x:v>
      </x:c>
      <x:c r="E452" s="163" t="n">
        <x:v>12430</x:v>
      </x:c>
      <x:c r="F452" s="163" t="n">
        <x:v>287</x:v>
      </x:c>
      <x:c r="G452" s="163" t="n">
        <x:v>20</x:v>
      </x:c>
      <x:c r="H452" s="163" t="n">
        <x:v>14</x:v>
      </x:c>
      <x:c r="I452" s="163" t="n">
        <x:v>8</x:v>
      </x:c>
      <x:c r="J452" s="163" t="n">
        <x:v>4</x:v>
      </x:c>
      <x:c r="K452" s="163" t="n">
        <x:v>1</x:v>
      </x:c>
      <x:c r="L452" s="164" t="n">
        <x:v>2251</x:v>
      </x:c>
      <x:c r="M452" s="164" t="n">
        <x:v>157133</x:v>
      </x:c>
      <x:c r="N452" s="164" t="n">
        <x:v>44640</x:v>
      </x:c>
      <x:c r="O452" s="165" t="n">
        <x:f>IFERROR(F452/E452,0)</x:f>
        <x:v>0.02308930008045052</x:v>
      </x:c>
      <x:c r="P452" s="166" t="n">
        <x:f>IFERROR(L452/F452,0)</x:f>
        <x:v>7.843205574912892</x:v>
      </x:c>
      <x:c r="Q452" s="165" t="n">
        <x:f>IFERROR(G452/F452,0)</x:f>
        <x:v>0.06968641114982578</x:v>
      </x:c>
      <x:c r="R452" s="164" t="n">
        <x:f>IFERROR(L452/G452,0)</x:f>
        <x:v>112.55</x:v>
      </x:c>
      <x:c r="S452" s="167" t="n">
        <x:f>IFERROR(N452/L452,0)</x:f>
        <x:v>19.831186139493557</x:v>
      </x:c>
      <x:c r="T452" s="165" t="n">
        <x:f>IFERROR(K452/J452,0)</x:f>
        <x:v>0.25</x:v>
      </x:c>
    </x:row>
    <x:row r="453">
      <x:c r="A453" s="161" t="n">
        <x:v>46174</x:v>
      </x:c>
      <x:c r="B453" s="162" t="str">
        <x:v>Trade Media</x:v>
      </x:c>
      <x:c r="C453" s="162" t="str">
        <x:v>Northeast</x:v>
      </x:c>
      <x:c r="D453" s="162" t="str">
        <x:v>Case Packers</x:v>
      </x:c>
      <x:c r="E453" s="163" t="n">
        <x:v>13365</x:v>
      </x:c>
      <x:c r="F453" s="163" t="n">
        <x:v>330</x:v>
      </x:c>
      <x:c r="G453" s="163" t="n">
        <x:v>24</x:v>
      </x:c>
      <x:c r="H453" s="163" t="n">
        <x:v>17</x:v>
      </x:c>
      <x:c r="I453" s="163" t="n">
        <x:v>9</x:v>
      </x:c>
      <x:c r="J453" s="163" t="n">
        <x:v>5</x:v>
      </x:c>
      <x:c r="K453" s="163" t="n">
        <x:v>2</x:v>
      </x:c>
      <x:c r="L453" s="164" t="n">
        <x:v>2589</x:v>
      </x:c>
      <x:c r="M453" s="164" t="n">
        <x:v>458304</x:v>
      </x:c>
      <x:c r="N453" s="164" t="n">
        <x:v>208320</x:v>
      </x:c>
      <x:c r="O453" s="165" t="n">
        <x:f>IFERROR(F453/E453,0)</x:f>
        <x:v>0.024691358024691357</x:v>
      </x:c>
      <x:c r="P453" s="166" t="n">
        <x:f>IFERROR(L453/F453,0)</x:f>
        <x:v>7.845454545454546</x:v>
      </x:c>
      <x:c r="Q453" s="165" t="n">
        <x:f>IFERROR(G453/F453,0)</x:f>
        <x:v>0.07272727272727272</x:v>
      </x:c>
      <x:c r="R453" s="164" t="n">
        <x:f>IFERROR(L453/G453,0)</x:f>
        <x:v>107.875</x:v>
      </x:c>
      <x:c r="S453" s="167" t="n">
        <x:f>IFERROR(N453/L453,0)</x:f>
        <x:v>80.46349942062572</x:v>
      </x:c>
      <x:c r="T453" s="165" t="n">
        <x:f>IFERROR(K453/J453,0)</x:f>
        <x:v>0.4</x:v>
      </x:c>
    </x:row>
    <x:row r="454">
      <x:c r="A454" s="161" t="n">
        <x:v>46174</x:v>
      </x:c>
      <x:c r="B454" s="162" t="str">
        <x:v>Trade Media</x:v>
      </x:c>
      <x:c r="C454" s="162" t="str">
        <x:v>Midwest</x:v>
      </x:c>
      <x:c r="D454" s="162" t="str">
        <x:v>Pouch Fillers</x:v>
      </x:c>
      <x:c r="E454" s="163" t="n">
        <x:v>12375</x:v>
      </x:c>
      <x:c r="F454" s="163" t="n">
        <x:v>276</x:v>
      </x:c>
      <x:c r="G454" s="163" t="n">
        <x:v>19</x:v>
      </x:c>
      <x:c r="H454" s="163" t="n">
        <x:v>12</x:v>
      </x:c>
      <x:c r="I454" s="163" t="n">
        <x:v>7</x:v>
      </x:c>
      <x:c r="J454" s="163" t="n">
        <x:v>3</x:v>
      </x:c>
      <x:c r="K454" s="163" t="n">
        <x:v>1</x:v>
      </x:c>
      <x:c r="L454" s="164" t="n">
        <x:v>2196</x:v>
      </x:c>
      <x:c r="M454" s="164" t="n">
        <x:v>206738</x:v>
      </x:c>
      <x:c r="N454" s="164" t="n">
        <x:v>78310</x:v>
      </x:c>
      <x:c r="O454" s="165" t="n">
        <x:f>IFERROR(F454/E454,0)</x:f>
        <x:v>0.022303030303030304</x:v>
      </x:c>
      <x:c r="P454" s="166" t="n">
        <x:f>IFERROR(L454/F454,0)</x:f>
        <x:v>7.956521739130435</x:v>
      </x:c>
      <x:c r="Q454" s="165" t="n">
        <x:f>IFERROR(G454/F454,0)</x:f>
        <x:v>0.06884057971014493</x:v>
      </x:c>
      <x:c r="R454" s="164" t="n">
        <x:f>IFERROR(L454/G454,0)</x:f>
        <x:v>115.57894736842105</x:v>
      </x:c>
      <x:c r="S454" s="167" t="n">
        <x:f>IFERROR(N454/L454,0)</x:f>
        <x:v>35.66029143897996</x:v>
      </x:c>
      <x:c r="T454" s="165" t="n">
        <x:f>IFERROR(K454/J454,0)</x:f>
        <x:v>0.3333333333333333</x:v>
      </x:c>
    </x:row>
    <x:row r="455">
      <x:c r="A455" s="161" t="n">
        <x:v>46174</x:v>
      </x:c>
      <x:c r="B455" s="162" t="str">
        <x:v>Trade Media</x:v>
      </x:c>
      <x:c r="C455" s="162" t="str">
        <x:v>Midwest</x:v>
      </x:c>
      <x:c r="D455" s="162" t="str">
        <x:v>Cartoning Machines</x:v>
      </x:c>
      <x:c r="E455" s="163" t="n">
        <x:v>13310</x:v>
      </x:c>
      <x:c r="F455" s="163" t="n">
        <x:v>318</x:v>
      </x:c>
      <x:c r="G455" s="163" t="n">
        <x:v>23</x:v>
      </x:c>
      <x:c r="H455" s="163" t="n">
        <x:v>15</x:v>
      </x:c>
      <x:c r="I455" s="163" t="n">
        <x:v>9</x:v>
      </x:c>
      <x:c r="J455" s="163" t="n">
        <x:v>5</x:v>
      </x:c>
      <x:c r="K455" s="163" t="n">
        <x:v>2</x:v>
      </x:c>
      <x:c r="L455" s="164" t="n">
        <x:v>2530</x:v>
      </x:c>
      <x:c r="M455" s="164" t="n">
        <x:v>579876</x:v>
      </x:c>
      <x:c r="N455" s="164" t="n">
        <x:v>263580</x:v>
      </x:c>
      <x:c r="O455" s="165" t="n">
        <x:f>IFERROR(F455/E455,0)</x:f>
        <x:v>0.023891810668670174</x:v>
      </x:c>
      <x:c r="P455" s="166" t="n">
        <x:f>IFERROR(L455/F455,0)</x:f>
        <x:v>7.955974842767295</x:v>
      </x:c>
      <x:c r="Q455" s="165" t="n">
        <x:f>IFERROR(G455/F455,0)</x:f>
        <x:v>0.07232704402515723</x:v>
      </x:c>
      <x:c r="R455" s="164" t="n">
        <x:f>IFERROR(L455/G455,0)</x:f>
        <x:v>110</x:v>
      </x:c>
      <x:c r="S455" s="167" t="n">
        <x:f>IFERROR(N455/L455,0)</x:f>
        <x:v>104.18181818181819</x:v>
      </x:c>
      <x:c r="T455" s="165" t="n">
        <x:f>IFERROR(K455/J455,0)</x:f>
        <x:v>0.4</x:v>
      </x:c>
    </x:row>
    <x:row r="456">
      <x:c r="A456" s="161" t="n">
        <x:v>46174</x:v>
      </x:c>
      <x:c r="B456" s="162" t="str">
        <x:v>Trade Media</x:v>
      </x:c>
      <x:c r="C456" s="162" t="str">
        <x:v>Midwest</x:v>
      </x:c>
      <x:c r="D456" s="162" t="str">
        <x:v>Labeling Systems</x:v>
      </x:c>
      <x:c r="E456" s="163" t="n">
        <x:v>13035</x:v>
      </x:c>
      <x:c r="F456" s="163" t="n">
        <x:v>280</x:v>
      </x:c>
      <x:c r="G456" s="163" t="n">
        <x:v>20</x:v>
      </x:c>
      <x:c r="H456" s="163" t="n">
        <x:v>14</x:v>
      </x:c>
      <x:c r="I456" s="163" t="n">
        <x:v>8</x:v>
      </x:c>
      <x:c r="J456" s="163" t="n">
        <x:v>4</x:v>
      </x:c>
      <x:c r="K456" s="163" t="n">
        <x:v>1</x:v>
      </x:c>
      <x:c r="L456" s="164" t="n">
        <x:v>2227</x:v>
      </x:c>
      <x:c r="M456" s="164" t="n">
        <x:v>161357</x:v>
      </x:c>
      <x:c r="N456" s="164" t="n">
        <x:v>45840</x:v>
      </x:c>
      <x:c r="O456" s="165" t="n">
        <x:f>IFERROR(F456/E456,0)</x:f>
        <x:v>0.021480629075565784</x:v>
      </x:c>
      <x:c r="P456" s="166" t="n">
        <x:f>IFERROR(L456/F456,0)</x:f>
        <x:v>7.953571428571428</x:v>
      </x:c>
      <x:c r="Q456" s="165" t="n">
        <x:f>IFERROR(G456/F456,0)</x:f>
        <x:v>0.07142857142857142</x:v>
      </x:c>
      <x:c r="R456" s="164" t="n">
        <x:f>IFERROR(L456/G456,0)</x:f>
        <x:v>111.35</x:v>
      </x:c>
      <x:c r="S456" s="167" t="n">
        <x:f>IFERROR(N456/L456,0)</x:f>
        <x:v>20.583744948361023</x:v>
      </x:c>
      <x:c r="T456" s="165" t="n">
        <x:f>IFERROR(K456/J456,0)</x:f>
        <x:v>0.25</x:v>
      </x:c>
    </x:row>
    <x:row r="457">
      <x:c r="A457" s="161" t="n">
        <x:v>46174</x:v>
      </x:c>
      <x:c r="B457" s="162" t="str">
        <x:v>Trade Media</x:v>
      </x:c>
      <x:c r="C457" s="162" t="str">
        <x:v>Midwest</x:v>
      </x:c>
      <x:c r="D457" s="162" t="str">
        <x:v>Case Packers</x:v>
      </x:c>
      <x:c r="E457" s="163" t="n">
        <x:v>13970</x:v>
      </x:c>
      <x:c r="F457" s="163" t="n">
        <x:v>323</x:v>
      </x:c>
      <x:c r="G457" s="163" t="n">
        <x:v>23</x:v>
      </x:c>
      <x:c r="H457" s="163" t="n">
        <x:v>16</x:v>
      </x:c>
      <x:c r="I457" s="163" t="n">
        <x:v>9</x:v>
      </x:c>
      <x:c r="J457" s="163" t="n">
        <x:v>5</x:v>
      </x:c>
      <x:c r="K457" s="163" t="n">
        <x:v>2</x:v>
      </x:c>
      <x:c r="L457" s="164" t="n">
        <x:v>2569</x:v>
      </x:c>
      <x:c r="M457" s="164" t="n">
        <x:v>470624</x:v>
      </x:c>
      <x:c r="N457" s="164" t="n">
        <x:v>213920</x:v>
      </x:c>
      <x:c r="O457" s="165" t="n">
        <x:f>IFERROR(F457/E457,0)</x:f>
        <x:v>0.023120973514674303</x:v>
      </x:c>
      <x:c r="P457" s="166" t="n">
        <x:f>IFERROR(L457/F457,0)</x:f>
        <x:v>7.953560371517028</x:v>
      </x:c>
      <x:c r="Q457" s="165" t="n">
        <x:f>IFERROR(G457/F457,0)</x:f>
        <x:v>0.07120743034055728</x:v>
      </x:c>
      <x:c r="R457" s="164" t="n">
        <x:f>IFERROR(L457/G457,0)</x:f>
        <x:v>111.69565217391305</x:v>
      </x:c>
      <x:c r="S457" s="167" t="n">
        <x:f>IFERROR(N457/L457,0)</x:f>
        <x:v>83.26975476839237</x:v>
      </x:c>
      <x:c r="T457" s="165" t="n">
        <x:f>IFERROR(K457/J457,0)</x:f>
        <x:v>0.4</x:v>
      </x:c>
    </x:row>
    <x:row r="458">
      <x:c r="A458" s="161" t="n">
        <x:v>46174</x:v>
      </x:c>
      <x:c r="B458" s="162" t="str">
        <x:v>Trade Media</x:v>
      </x:c>
      <x:c r="C458" s="162" t="str">
        <x:v>South</x:v>
      </x:c>
      <x:c r="D458" s="162" t="str">
        <x:v>Pouch Fillers</x:v>
      </x:c>
      <x:c r="E458" s="163" t="n">
        <x:v>12980</x:v>
      </x:c>
      <x:c r="F458" s="163" t="n">
        <x:v>321</x:v>
      </x:c>
      <x:c r="G458" s="163" t="n">
        <x:v>22</x:v>
      </x:c>
      <x:c r="H458" s="163" t="n">
        <x:v>14</x:v>
      </x:c>
      <x:c r="I458" s="163" t="n">
        <x:v>8</x:v>
      </x:c>
      <x:c r="J458" s="163" t="n">
        <x:v>4</x:v>
      </x:c>
      <x:c r="K458" s="163" t="n">
        <x:v>1</x:v>
      </x:c>
      <x:c r="L458" s="164" t="n">
        <x:v>2589</x:v>
      </x:c>
      <x:c r="M458" s="164" t="n">
        <x:v>282867</x:v>
      </x:c>
      <x:c r="N458" s="164" t="n">
        <x:v>80360</x:v>
      </x:c>
      <x:c r="O458" s="165" t="n">
        <x:f>IFERROR(F458/E458,0)</x:f>
        <x:v>0.02473035439137134</x:v>
      </x:c>
      <x:c r="P458" s="166" t="n">
        <x:f>IFERROR(L458/F458,0)</x:f>
        <x:v>8.065420560747663</x:v>
      </x:c>
      <x:c r="Q458" s="165" t="n">
        <x:f>IFERROR(G458/F458,0)</x:f>
        <x:v>0.06853582554517133</x:v>
      </x:c>
      <x:c r="R458" s="164" t="n">
        <x:f>IFERROR(L458/G458,0)</x:f>
        <x:v>117.68181818181819</x:v>
      </x:c>
      <x:c r="S458" s="167" t="n">
        <x:f>IFERROR(N458/L458,0)</x:f>
        <x:v>31.039011201235997</x:v>
      </x:c>
      <x:c r="T458" s="165" t="n">
        <x:f>IFERROR(K458/J458,0)</x:f>
        <x:v>0.25</x:v>
      </x:c>
    </x:row>
    <x:row r="459">
      <x:c r="A459" s="161" t="n">
        <x:v>46174</x:v>
      </x:c>
      <x:c r="B459" s="162" t="str">
        <x:v>Trade Media</x:v>
      </x:c>
      <x:c r="C459" s="162" t="str">
        <x:v>South</x:v>
      </x:c>
      <x:c r="D459" s="162" t="str">
        <x:v>Cartoning Machines</x:v>
      </x:c>
      <x:c r="E459" s="163" t="n">
        <x:v>13915</x:v>
      </x:c>
      <x:c r="F459" s="163" t="n">
        <x:v>310</x:v>
      </x:c>
      <x:c r="G459" s="163" t="n">
        <x:v>22</x:v>
      </x:c>
      <x:c r="H459" s="163" t="n">
        <x:v>14</x:v>
      </x:c>
      <x:c r="I459" s="163" t="n">
        <x:v>8</x:v>
      </x:c>
      <x:c r="J459" s="163" t="n">
        <x:v>4</x:v>
      </x:c>
      <x:c r="K459" s="163" t="n">
        <x:v>1</x:v>
      </x:c>
      <x:c r="L459" s="164" t="n">
        <x:v>2500</x:v>
      </x:c>
      <x:c r="M459" s="164" t="n">
        <x:v>476045</x:v>
      </x:c>
      <x:c r="N459" s="164" t="n">
        <x:v>135240</x:v>
      </x:c>
      <x:c r="O459" s="165" t="n">
        <x:f>IFERROR(F459/E459,0)</x:f>
        <x:v>0.022278117139777218</x:v>
      </x:c>
      <x:c r="P459" s="166" t="n">
        <x:f>IFERROR(L459/F459,0)</x:f>
        <x:v>8.064516129032258</x:v>
      </x:c>
      <x:c r="Q459" s="165" t="n">
        <x:f>IFERROR(G459/F459,0)</x:f>
        <x:v>0.07096774193548387</x:v>
      </x:c>
      <x:c r="R459" s="164" t="n">
        <x:f>IFERROR(L459/G459,0)</x:f>
        <x:v>113.63636363636364</x:v>
      </x:c>
      <x:c r="S459" s="167" t="n">
        <x:f>IFERROR(N459/L459,0)</x:f>
        <x:v>54.096</x:v>
      </x:c>
      <x:c r="T459" s="165" t="n">
        <x:f>IFERROR(K459/J459,0)</x:f>
        <x:v>0.25</x:v>
      </x:c>
    </x:row>
    <x:row r="460">
      <x:c r="A460" s="161" t="n">
        <x:v>46174</x:v>
      </x:c>
      <x:c r="B460" s="162" t="str">
        <x:v>Trade Media</x:v>
      </x:c>
      <x:c r="C460" s="162" t="str">
        <x:v>South</x:v>
      </x:c>
      <x:c r="D460" s="162" t="str">
        <x:v>Labeling Systems</x:v>
      </x:c>
      <x:c r="E460" s="163" t="n">
        <x:v>13640</x:v>
      </x:c>
      <x:c r="F460" s="163" t="n">
        <x:v>326</x:v>
      </x:c>
      <x:c r="G460" s="163" t="n">
        <x:v>23</x:v>
      </x:c>
      <x:c r="H460" s="163" t="n">
        <x:v>16</x:v>
      </x:c>
      <x:c r="I460" s="163" t="n">
        <x:v>9</x:v>
      </x:c>
      <x:c r="J460" s="163" t="n">
        <x:v>5</x:v>
      </x:c>
      <x:c r="K460" s="163" t="n">
        <x:v>2</x:v>
      </x:c>
      <x:c r="L460" s="164" t="n">
        <x:v>2630</x:v>
      </x:c>
      <x:c r="M460" s="164" t="n">
        <x:v>206976</x:v>
      </x:c>
      <x:c r="N460" s="164" t="n">
        <x:v>94080</x:v>
      </x:c>
      <x:c r="O460" s="165" t="n">
        <x:f>IFERROR(F460/E460,0)</x:f>
        <x:v>0.023900293255131964</x:v>
      </x:c>
      <x:c r="P460" s="166" t="n">
        <x:f>IFERROR(L460/F460,0)</x:f>
        <x:v>8.067484662576687</x:v>
      </x:c>
      <x:c r="Q460" s="165" t="n">
        <x:f>IFERROR(G460/F460,0)</x:f>
        <x:v>0.0705521472392638</x:v>
      </x:c>
      <x:c r="R460" s="164" t="n">
        <x:f>IFERROR(L460/G460,0)</x:f>
        <x:v>114.34782608695652</x:v>
      </x:c>
      <x:c r="S460" s="167" t="n">
        <x:f>IFERROR(N460/L460,0)</x:f>
        <x:v>35.77186311787072</x:v>
      </x:c>
      <x:c r="T460" s="165" t="n">
        <x:f>IFERROR(K460/J460,0)</x:f>
        <x:v>0.4</x:v>
      </x:c>
    </x:row>
    <x:row r="461">
      <x:c r="A461" s="161" t="n">
        <x:v>46174</x:v>
      </x:c>
      <x:c r="B461" s="162" t="str">
        <x:v>Trade Media</x:v>
      </x:c>
      <x:c r="C461" s="162" t="str">
        <x:v>South</x:v>
      </x:c>
      <x:c r="D461" s="162" t="str">
        <x:v>Case Packers</x:v>
      </x:c>
      <x:c r="E461" s="163" t="n">
        <x:v>14575</x:v>
      </x:c>
      <x:c r="F461" s="163" t="n">
        <x:v>313</x:v>
      </x:c>
      <x:c r="G461" s="163" t="n">
        <x:v>23</x:v>
      </x:c>
      <x:c r="H461" s="163" t="n">
        <x:v>16</x:v>
      </x:c>
      <x:c r="I461" s="163" t="n">
        <x:v>9</x:v>
      </x:c>
      <x:c r="J461" s="163" t="n">
        <x:v>5</x:v>
      </x:c>
      <x:c r="K461" s="163" t="n">
        <x:v>2</x:v>
      </x:c>
      <x:c r="L461" s="164" t="n">
        <x:v>2525</x:v>
      </x:c>
      <x:c r="M461" s="164" t="n">
        <x:v>482944</x:v>
      </x:c>
      <x:c r="N461" s="164" t="n">
        <x:v>219520</x:v>
      </x:c>
      <x:c r="O461" s="165" t="n">
        <x:f>IFERROR(F461/E461,0)</x:f>
        <x:v>0.021475128644939966</x:v>
      </x:c>
      <x:c r="P461" s="166" t="n">
        <x:f>IFERROR(L461/F461,0)</x:f>
        <x:v>8.06709265175719</x:v>
      </x:c>
      <x:c r="Q461" s="165" t="n">
        <x:f>IFERROR(G461/F461,0)</x:f>
        <x:v>0.07348242811501597</x:v>
      </x:c>
      <x:c r="R461" s="164" t="n">
        <x:f>IFERROR(L461/G461,0)</x:f>
        <x:v>109.78260869565217</x:v>
      </x:c>
      <x:c r="S461" s="167" t="n">
        <x:f>IFERROR(N461/L461,0)</x:f>
        <x:v>86.93861386138614</x:v>
      </x:c>
      <x:c r="T461" s="165" t="n">
        <x:f>IFERROR(K461/J461,0)</x:f>
        <x:v>0.4</x:v>
      </x:c>
    </x:row>
    <x:row r="462">
      <x:c r="A462" s="161" t="n">
        <x:v>46174</x:v>
      </x:c>
      <x:c r="B462" s="162" t="str">
        <x:v>Trade Media</x:v>
      </x:c>
      <x:c r="C462" s="162" t="str">
        <x:v>West</x:v>
      </x:c>
      <x:c r="D462" s="162" t="str">
        <x:v>Pouch Fillers</x:v>
      </x:c>
      <x:c r="E462" s="163" t="n">
        <x:v>13585</x:v>
      </x:c>
      <x:c r="F462" s="163" t="n">
        <x:v>314</x:v>
      </x:c>
      <x:c r="G462" s="163" t="n">
        <x:v>22</x:v>
      </x:c>
      <x:c r="H462" s="163" t="n">
        <x:v>14</x:v>
      </x:c>
      <x:c r="I462" s="163" t="n">
        <x:v>9</x:v>
      </x:c>
      <x:c r="J462" s="163" t="n">
        <x:v>4</x:v>
      </x:c>
      <x:c r="K462" s="163" t="n">
        <x:v>1</x:v>
      </x:c>
      <x:c r="L462" s="164" t="n">
        <x:v>2568</x:v>
      </x:c>
      <x:c r="M462" s="164" t="n">
        <x:v>290083</x:v>
      </x:c>
      <x:c r="N462" s="164" t="n">
        <x:v>82410</x:v>
      </x:c>
      <x:c r="O462" s="165" t="n">
        <x:f>IFERROR(F462/E462,0)</x:f>
        <x:v>0.023113728376886272</x:v>
      </x:c>
      <x:c r="P462" s="166" t="n">
        <x:f>IFERROR(L462/F462,0)</x:f>
        <x:v>8.178343949044587</x:v>
      </x:c>
      <x:c r="Q462" s="165" t="n">
        <x:f>IFERROR(G462/F462,0)</x:f>
        <x:v>0.07006369426751592</x:v>
      </x:c>
      <x:c r="R462" s="164" t="n">
        <x:f>IFERROR(L462/G462,0)</x:f>
        <x:v>116.72727272727273</x:v>
      </x:c>
      <x:c r="S462" s="167" t="n">
        <x:f>IFERROR(N462/L462,0)</x:f>
        <x:v>32.0911214953271</x:v>
      </x:c>
      <x:c r="T462" s="165" t="n">
        <x:f>IFERROR(K462/J462,0)</x:f>
        <x:v>0.25</x:v>
      </x:c>
    </x:row>
    <x:row r="463">
      <x:c r="A463" s="161" t="n">
        <x:v>46174</x:v>
      </x:c>
      <x:c r="B463" s="162" t="str">
        <x:v>Trade Media</x:v>
      </x:c>
      <x:c r="C463" s="162" t="str">
        <x:v>West</x:v>
      </x:c>
      <x:c r="D463" s="162" t="str">
        <x:v>Cartoning Machines</x:v>
      </x:c>
      <x:c r="E463" s="163" t="n">
        <x:v>13310</x:v>
      </x:c>
      <x:c r="F463" s="163" t="n">
        <x:v>329</x:v>
      </x:c>
      <x:c r="G463" s="163" t="n">
        <x:v>24</x:v>
      </x:c>
      <x:c r="H463" s="163" t="n">
        <x:v>16</x:v>
      </x:c>
      <x:c r="I463" s="163" t="n">
        <x:v>10</x:v>
      </x:c>
      <x:c r="J463" s="163" t="n">
        <x:v>5</x:v>
      </x:c>
      <x:c r="K463" s="163" t="n">
        <x:v>2</x:v>
      </x:c>
      <x:c r="L463" s="164" t="n">
        <x:v>2690</x:v>
      </x:c>
      <x:c r="M463" s="164" t="n">
        <x:v>610236</x:v>
      </x:c>
      <x:c r="N463" s="164" t="n">
        <x:v>277380</x:v>
      </x:c>
      <x:c r="O463" s="165" t="n">
        <x:f>IFERROR(F463/E463,0)</x:f>
        <x:v>0.02471825694966191</x:v>
      </x:c>
      <x:c r="P463" s="166" t="n">
        <x:f>IFERROR(L463/F463,0)</x:f>
        <x:v>8.17629179331307</x:v>
      </x:c>
      <x:c r="Q463" s="165" t="n">
        <x:f>IFERROR(G463/F463,0)</x:f>
        <x:v>0.0729483282674772</x:v>
      </x:c>
      <x:c r="R463" s="164" t="n">
        <x:f>IFERROR(L463/G463,0)</x:f>
        <x:v>112.08333333333333</x:v>
      </x:c>
      <x:c r="S463" s="167" t="n">
        <x:f>IFERROR(N463/L463,0)</x:f>
        <x:v>103.11524163568774</x:v>
      </x:c>
      <x:c r="T463" s="165" t="n">
        <x:f>IFERROR(K463/J463,0)</x:f>
        <x:v>0.4</x:v>
      </x:c>
    </x:row>
    <x:row r="464">
      <x:c r="A464" s="161" t="n">
        <x:v>46174</x:v>
      </x:c>
      <x:c r="B464" s="162" t="str">
        <x:v>Trade Media</x:v>
      </x:c>
      <x:c r="C464" s="162" t="str">
        <x:v>West</x:v>
      </x:c>
      <x:c r="D464" s="162" t="str">
        <x:v>Labeling Systems</x:v>
      </x:c>
      <x:c r="E464" s="163" t="n">
        <x:v>14245</x:v>
      </x:c>
      <x:c r="F464" s="163" t="n">
        <x:v>318</x:v>
      </x:c>
      <x:c r="G464" s="163" t="n">
        <x:v>22</x:v>
      </x:c>
      <x:c r="H464" s="163" t="n">
        <x:v>15</x:v>
      </x:c>
      <x:c r="I464" s="163" t="n">
        <x:v>9</x:v>
      </x:c>
      <x:c r="J464" s="163" t="n">
        <x:v>5</x:v>
      </x:c>
      <x:c r="K464" s="163" t="n">
        <x:v>2</x:v>
      </x:c>
      <x:c r="L464" s="164" t="n">
        <x:v>2600</x:v>
      </x:c>
      <x:c r="M464" s="164" t="n">
        <x:v>212256</x:v>
      </x:c>
      <x:c r="N464" s="164" t="n">
        <x:v>96480</x:v>
      </x:c>
      <x:c r="O464" s="165" t="n">
        <x:f>IFERROR(F464/E464,0)</x:f>
        <x:v>0.022323622323622325</x:v>
      </x:c>
      <x:c r="P464" s="166" t="n">
        <x:f>IFERROR(L464/F464,0)</x:f>
        <x:v>8.176100628930818</x:v>
      </x:c>
      <x:c r="Q464" s="165" t="n">
        <x:f>IFERROR(G464/F464,0)</x:f>
        <x:v>0.06918238993710692</x:v>
      </x:c>
      <x:c r="R464" s="164" t="n">
        <x:f>IFERROR(L464/G464,0)</x:f>
        <x:v>118.18181818181819</x:v>
      </x:c>
      <x:c r="S464" s="167" t="n">
        <x:f>IFERROR(N464/L464,0)</x:f>
        <x:v>37.10769230769231</x:v>
      </x:c>
      <x:c r="T464" s="165" t="n">
        <x:f>IFERROR(K464/J464,0)</x:f>
        <x:v>0.4</x:v>
      </x:c>
    </x:row>
    <x:row r="465">
      <x:c r="A465" s="161" t="n">
        <x:v>46174</x:v>
      </x:c>
      <x:c r="B465" s="162" t="str">
        <x:v>Trade Media</x:v>
      </x:c>
      <x:c r="C465" s="162" t="str">
        <x:v>West</x:v>
      </x:c>
      <x:c r="D465" s="162" t="str">
        <x:v>Case Packers</x:v>
      </x:c>
      <x:c r="E465" s="163" t="n">
        <x:v>13970</x:v>
      </x:c>
      <x:c r="F465" s="163" t="n">
        <x:v>334</x:v>
      </x:c>
      <x:c r="G465" s="163" t="n">
        <x:v>24</x:v>
      </x:c>
      <x:c r="H465" s="163" t="n">
        <x:v>17</x:v>
      </x:c>
      <x:c r="I465" s="163" t="n">
        <x:v>10</x:v>
      </x:c>
      <x:c r="J465" s="163" t="n">
        <x:v>6</x:v>
      </x:c>
      <x:c r="K465" s="163" t="n">
        <x:v>2</x:v>
      </x:c>
      <x:c r="L465" s="164" t="n">
        <x:v>2731</x:v>
      </x:c>
      <x:c r="M465" s="164" t="n">
        <x:v>594317</x:v>
      </x:c>
      <x:c r="N465" s="164" t="n">
        <x:v>225120</x:v>
      </x:c>
      <x:c r="O465" s="165" t="n">
        <x:f>IFERROR(F465/E465,0)</x:f>
        <x:v>0.023908375089477452</x:v>
      </x:c>
      <x:c r="P465" s="166" t="n">
        <x:f>IFERROR(L465/F465,0)</x:f>
        <x:v>8.176646706586826</x:v>
      </x:c>
      <x:c r="Q465" s="165" t="n">
        <x:f>IFERROR(G465/F465,0)</x:f>
        <x:v>0.0718562874251497</x:v>
      </x:c>
      <x:c r="R465" s="164" t="n">
        <x:f>IFERROR(L465/G465,0)</x:f>
        <x:v>113.79166666666667</x:v>
      </x:c>
      <x:c r="S465" s="167" t="n">
        <x:f>IFERROR(N465/L465,0)</x:f>
        <x:v>82.43134383009887</x:v>
      </x:c>
      <x:c r="T465" s="165" t="n">
        <x:f>IFERROR(K465/J465,0)</x:f>
        <x:v>0.3333333333333333</x:v>
      </x:c>
    </x:row>
    <x:row r="466">
      <x:c r="A466" s="161" t="n">
        <x:v>46174</x:v>
      </x:c>
      <x:c r="B466" s="162" t="str">
        <x:v>Retargeting</x:v>
      </x:c>
      <x:c r="C466" s="162" t="str">
        <x:v>Northeast</x:v>
      </x:c>
      <x:c r="D466" s="162" t="str">
        <x:v>Pouch Fillers</x:v>
      </x:c>
      <x:c r="E466" s="163" t="n">
        <x:v>20700</x:v>
      </x:c>
      <x:c r="F466" s="163" t="n">
        <x:v>714</x:v>
      </x:c>
      <x:c r="G466" s="163" t="n">
        <x:v>61</x:v>
      </x:c>
      <x:c r="H466" s="163" t="n">
        <x:v>38</x:v>
      </x:c>
      <x:c r="I466" s="163" t="n">
        <x:v>21</x:v>
      </x:c>
      <x:c r="J466" s="163" t="n">
        <x:v>10</x:v>
      </x:c>
      <x:c r="K466" s="163" t="n">
        <x:v>3</x:v>
      </x:c>
      <x:c r="L466" s="164" t="n">
        <x:v>3633</x:v>
      </x:c>
      <x:c r="M466" s="164" t="n">
        <x:v>671088</x:v>
      </x:c>
      <x:c r="N466" s="164" t="n">
        <x:v>228780</x:v>
      </x:c>
      <x:c r="O466" s="165" t="n">
        <x:f>IFERROR(F466/E466,0)</x:f>
        <x:v>0.034492753623188405</x:v>
      </x:c>
      <x:c r="P466" s="166" t="n">
        <x:f>IFERROR(L466/F466,0)</x:f>
        <x:v>5.088235294117647</x:v>
      </x:c>
      <x:c r="Q466" s="165" t="n">
        <x:f>IFERROR(G466/F466,0)</x:f>
        <x:v>0.08543417366946779</x:v>
      </x:c>
      <x:c r="R466" s="164" t="n">
        <x:f>IFERROR(L466/G466,0)</x:f>
        <x:v>59.557377049180324</x:v>
      </x:c>
      <x:c r="S466" s="167" t="n">
        <x:f>IFERROR(N466/L466,0)</x:f>
        <x:v>62.97274979355904</x:v>
      </x:c>
      <x:c r="T466" s="165" t="n">
        <x:f>IFERROR(K466/J466,0)</x:f>
        <x:v>0.3</x:v>
      </x:c>
    </x:row>
    <x:row r="467">
      <x:c r="A467" s="161" t="n">
        <x:v>46174</x:v>
      </x:c>
      <x:c r="B467" s="162" t="str">
        <x:v>Retargeting</x:v>
      </x:c>
      <x:c r="C467" s="162" t="str">
        <x:v>Northeast</x:v>
      </x:c>
      <x:c r="D467" s="162" t="str">
        <x:v>Cartoning Machines</x:v>
      </x:c>
      <x:c r="E467" s="163" t="n">
        <x:v>20250</x:v>
      </x:c>
      <x:c r="F467" s="163" t="n">
        <x:v>731</x:v>
      </x:c>
      <x:c r="G467" s="163" t="n">
        <x:v>64</x:v>
      </x:c>
      <x:c r="H467" s="163" t="n">
        <x:v>42</x:v>
      </x:c>
      <x:c r="I467" s="163" t="n">
        <x:v>23</x:v>
      </x:c>
      <x:c r="J467" s="163" t="n">
        <x:v>12</x:v>
      </x:c>
      <x:c r="K467" s="163" t="n">
        <x:v>4</x:v>
      </x:c>
      <x:c r="L467" s="164" t="n">
        <x:v>3719</x:v>
      </x:c>
      <x:c r="M467" s="164" t="n">
        <x:v>1355270</x:v>
      </x:c>
      <x:c r="N467" s="164" t="n">
        <x:v>513360</x:v>
      </x:c>
      <x:c r="O467" s="165" t="n">
        <x:f>IFERROR(F467/E467,0)</x:f>
        <x:v>0.036098765432098764</x:v>
      </x:c>
      <x:c r="P467" s="166" t="n">
        <x:f>IFERROR(L467/F467,0)</x:f>
        <x:v>5.087551299589603</x:v>
      </x:c>
      <x:c r="Q467" s="165" t="n">
        <x:f>IFERROR(G467/F467,0)</x:f>
        <x:v>0.08755129958960328</x:v>
      </x:c>
      <x:c r="R467" s="164" t="n">
        <x:f>IFERROR(L467/G467,0)</x:f>
        <x:v>58.109375</x:v>
      </x:c>
      <x:c r="S467" s="167" t="n">
        <x:f>IFERROR(N467/L467,0)</x:f>
        <x:v>138.0371067491261</x:v>
      </x:c>
      <x:c r="T467" s="165" t="n">
        <x:f>IFERROR(K467/J467,0)</x:f>
        <x:v>0.3333333333333333</x:v>
      </x:c>
    </x:row>
    <x:row r="468">
      <x:c r="A468" s="161" t="n">
        <x:v>46174</x:v>
      </x:c>
      <x:c r="B468" s="162" t="str">
        <x:v>Retargeting</x:v>
      </x:c>
      <x:c r="C468" s="162" t="str">
        <x:v>Northeast</x:v>
      </x:c>
      <x:c r="D468" s="162" t="str">
        <x:v>Labeling Systems</x:v>
      </x:c>
      <x:c r="E468" s="163" t="n">
        <x:v>21780</x:v>
      </x:c>
      <x:c r="F468" s="163" t="n">
        <x:v>821</x:v>
      </x:c>
      <x:c r="G468" s="163" t="n">
        <x:v>71</x:v>
      </x:c>
      <x:c r="H468" s="163" t="n">
        <x:v>48</x:v>
      </x:c>
      <x:c r="I468" s="163" t="n">
        <x:v>26</x:v>
      </x:c>
      <x:c r="J468" s="163" t="n">
        <x:v>14</x:v>
      </x:c>
      <x:c r="K468" s="163" t="n">
        <x:v>5</x:v>
      </x:c>
      <x:c r="L468" s="164" t="n">
        <x:v>4177</x:v>
      </x:c>
      <x:c r="M468" s="164" t="n">
        <x:v>549965</x:v>
      </x:c>
      <x:c r="N468" s="164" t="n">
        <x:v>223200</x:v>
      </x:c>
      <x:c r="O468" s="165" t="n">
        <x:f>IFERROR(F468/E468,0)</x:f>
        <x:v>0.0376951331496786</x:v>
      </x:c>
      <x:c r="P468" s="166" t="n">
        <x:f>IFERROR(L468/F468,0)</x:f>
        <x:v>5.087697929354446</x:v>
      </x:c>
      <x:c r="Q468" s="165" t="n">
        <x:f>IFERROR(G468/F468,0)</x:f>
        <x:v>0.08647990255785627</x:v>
      </x:c>
      <x:c r="R468" s="164" t="n">
        <x:f>IFERROR(L468/G468,0)</x:f>
        <x:v>58.83098591549296</x:v>
      </x:c>
      <x:c r="S468" s="167" t="n">
        <x:f>IFERROR(N468/L468,0)</x:f>
        <x:v>53.43548000957625</x:v>
      </x:c>
      <x:c r="T468" s="165" t="n">
        <x:f>IFERROR(K468/J468,0)</x:f>
        <x:v>0.35714285714285715</x:v>
      </x:c>
    </x:row>
    <x:row r="469">
      <x:c r="A469" s="161" t="n">
        <x:v>46174</x:v>
      </x:c>
      <x:c r="B469" s="162" t="str">
        <x:v>Retargeting</x:v>
      </x:c>
      <x:c r="C469" s="162" t="str">
        <x:v>Northeast</x:v>
      </x:c>
      <x:c r="D469" s="162" t="str">
        <x:v>Case Packers</x:v>
      </x:c>
      <x:c r="E469" s="163" t="n">
        <x:v>21330</x:v>
      </x:c>
      <x:c r="F469" s="163" t="n">
        <x:v>753</x:v>
      </x:c>
      <x:c r="G469" s="163" t="n">
        <x:v>66</x:v>
      </x:c>
      <x:c r="H469" s="163" t="n">
        <x:v>47</x:v>
      </x:c>
      <x:c r="I469" s="163" t="n">
        <x:v>26</x:v>
      </x:c>
      <x:c r="J469" s="163" t="n">
        <x:v>15</x:v>
      </x:c>
      <x:c r="K469" s="163" t="n">
        <x:v>5</x:v>
      </x:c>
      <x:c r="L469" s="164" t="n">
        <x:v>3831</x:v>
      </x:c>
      <x:c r="M469" s="164" t="n">
        <x:v>1374912</x:v>
      </x:c>
      <x:c r="N469" s="164" t="n">
        <x:v>520800</x:v>
      </x:c>
      <x:c r="O469" s="165" t="n">
        <x:f>IFERROR(F469/E469,0)</x:f>
        <x:v>0.03530239099859353</x:v>
      </x:c>
      <x:c r="P469" s="166" t="n">
        <x:f>IFERROR(L469/F469,0)</x:f>
        <x:v>5.087649402390438</x:v>
      </x:c>
      <x:c r="Q469" s="165" t="n">
        <x:f>IFERROR(G469/F469,0)</x:f>
        <x:v>0.08764940239043825</x:v>
      </x:c>
      <x:c r="R469" s="164" t="n">
        <x:f>IFERROR(L469/G469,0)</x:f>
        <x:v>58.04545454545455</x:v>
      </x:c>
      <x:c r="S469" s="167" t="n">
        <x:f>IFERROR(N469/L469,0)</x:f>
        <x:v>135.94361785434612</x:v>
      </x:c>
      <x:c r="T469" s="165" t="n">
        <x:f>IFERROR(K469/J469,0)</x:f>
        <x:v>0.3333333333333333</x:v>
      </x:c>
    </x:row>
    <x:row r="470">
      <x:c r="A470" s="161" t="n">
        <x:v>46174</x:v>
      </x:c>
      <x:c r="B470" s="162" t="str">
        <x:v>Retargeting</x:v>
      </x:c>
      <x:c r="C470" s="162" t="str">
        <x:v>Midwest</x:v>
      </x:c>
      <x:c r="D470" s="162" t="str">
        <x:v>Pouch Fillers</x:v>
      </x:c>
      <x:c r="E470" s="163" t="n">
        <x:v>21690</x:v>
      </x:c>
      <x:c r="F470" s="163" t="n">
        <x:v>800</x:v>
      </x:c>
      <x:c r="G470" s="163" t="n">
        <x:v>69</x:v>
      </x:c>
      <x:c r="H470" s="163" t="n">
        <x:v>43</x:v>
      </x:c>
      <x:c r="I470" s="163" t="n">
        <x:v>25</x:v>
      </x:c>
      <x:c r="J470" s="163" t="n">
        <x:v>12</x:v>
      </x:c>
      <x:c r="K470" s="163" t="n">
        <x:v>4</x:v>
      </x:c>
      <x:c r="L470" s="164" t="n">
        <x:v>4128</x:v>
      </x:c>
      <x:c r="M470" s="164" t="n">
        <x:v>826954</x:v>
      </x:c>
      <x:c r="N470" s="164" t="n">
        <x:v>313240</x:v>
      </x:c>
      <x:c r="O470" s="165" t="n">
        <x:f>IFERROR(F470/E470,0)</x:f>
        <x:v>0.036883356385431075</x:v>
      </x:c>
      <x:c r="P470" s="166" t="n">
        <x:f>IFERROR(L470/F470,0)</x:f>
        <x:v>5.16</x:v>
      </x:c>
      <x:c r="Q470" s="165" t="n">
        <x:f>IFERROR(G470/F470,0)</x:f>
        <x:v>0.08625</x:v>
      </x:c>
      <x:c r="R470" s="164" t="n">
        <x:f>IFERROR(L470/G470,0)</x:f>
        <x:v>59.82608695652174</x:v>
      </x:c>
      <x:c r="S470" s="167" t="n">
        <x:f>IFERROR(N470/L470,0)</x:f>
        <x:v>75.88178294573643</x:v>
      </x:c>
      <x:c r="T470" s="165" t="n">
        <x:f>IFERROR(K470/J470,0)</x:f>
        <x:v>0.3333333333333333</x:v>
      </x:c>
    </x:row>
    <x:row r="471">
      <x:c r="A471" s="161" t="n">
        <x:v>46174</x:v>
      </x:c>
      <x:c r="B471" s="162" t="str">
        <x:v>Retargeting</x:v>
      </x:c>
      <x:c r="C471" s="162" t="str">
        <x:v>Midwest</x:v>
      </x:c>
      <x:c r="D471" s="162" t="str">
        <x:v>Cartoning Machines</x:v>
      </x:c>
      <x:c r="E471" s="163" t="n">
        <x:v>21240</x:v>
      </x:c>
      <x:c r="F471" s="163" t="n">
        <x:v>733</x:v>
      </x:c>
      <x:c r="G471" s="163" t="n">
        <x:v>65</x:v>
      </x:c>
      <x:c r="H471" s="163" t="n">
        <x:v>43</x:v>
      </x:c>
      <x:c r="I471" s="163" t="n">
        <x:v>25</x:v>
      </x:c>
      <x:c r="J471" s="163" t="n">
        <x:v>13</x:v>
      </x:c>
      <x:c r="K471" s="163" t="n">
        <x:v>5</x:v>
      </x:c>
      <x:c r="L471" s="164" t="n">
        <x:v>3782</x:v>
      </x:c>
      <x:c r="M471" s="164" t="n">
        <x:v>1507678</x:v>
      </x:c>
      <x:c r="N471" s="164" t="n">
        <x:v>658950</x:v>
      </x:c>
      <x:c r="O471" s="165" t="n">
        <x:f>IFERROR(F471/E471,0)</x:f>
        <x:v>0.03451035781544256</x:v>
      </x:c>
      <x:c r="P471" s="166" t="n">
        <x:f>IFERROR(L471/F471,0)</x:f>
        <x:v>5.1596180081855385</x:v>
      </x:c>
      <x:c r="Q471" s="165" t="n">
        <x:f>IFERROR(G471/F471,0)</x:f>
        <x:v>0.08867667121418826</x:v>
      </x:c>
      <x:c r="R471" s="164" t="n">
        <x:f>IFERROR(L471/G471,0)</x:f>
        <x:v>58.184615384615384</x:v>
      </x:c>
      <x:c r="S471" s="167" t="n">
        <x:f>IFERROR(N471/L471,0)</x:f>
        <x:v>174.23320994182973</x:v>
      </x:c>
      <x:c r="T471" s="165" t="n">
        <x:f>IFERROR(K471/J471,0)</x:f>
        <x:v>0.38461538461538464</x:v>
      </x:c>
    </x:row>
    <x:row r="472">
      <x:c r="A472" s="161" t="n">
        <x:v>46174</x:v>
      </x:c>
      <x:c r="B472" s="162" t="str">
        <x:v>Retargeting</x:v>
      </x:c>
      <x:c r="C472" s="162" t="str">
        <x:v>Midwest</x:v>
      </x:c>
      <x:c r="D472" s="162" t="str">
        <x:v>Labeling Systems</x:v>
      </x:c>
      <x:c r="E472" s="163" t="n">
        <x:v>22770</x:v>
      </x:c>
      <x:c r="F472" s="163" t="n">
        <x:v>822</x:v>
      </x:c>
      <x:c r="G472" s="163" t="n">
        <x:v>71</x:v>
      </x:c>
      <x:c r="H472" s="163" t="n">
        <x:v>48</x:v>
      </x:c>
      <x:c r="I472" s="163" t="n">
        <x:v>27</x:v>
      </x:c>
      <x:c r="J472" s="163" t="n">
        <x:v>15</x:v>
      </x:c>
      <x:c r="K472" s="163" t="n">
        <x:v>5</x:v>
      </x:c>
      <x:c r="L472" s="164" t="n">
        <x:v>4242</x:v>
      </x:c>
      <x:c r="M472" s="164" t="n">
        <x:v>605088</x:v>
      </x:c>
      <x:c r="N472" s="164" t="n">
        <x:v>229200</x:v>
      </x:c>
      <x:c r="O472" s="165" t="n">
        <x:f>IFERROR(F472/E472,0)</x:f>
        <x:v>0.03610013175230566</x:v>
      </x:c>
      <x:c r="P472" s="166" t="n">
        <x:f>IFERROR(L472/F472,0)</x:f>
        <x:v>5.160583941605839</x:v>
      </x:c>
      <x:c r="Q472" s="165" t="n">
        <x:f>IFERROR(G472/F472,0)</x:f>
        <x:v>0.08637469586374696</x:v>
      </x:c>
      <x:c r="R472" s="164" t="n">
        <x:f>IFERROR(L472/G472,0)</x:f>
        <x:v>59.74647887323944</x:v>
      </x:c>
      <x:c r="S472" s="167" t="n">
        <x:f>IFERROR(N472/L472,0)</x:f>
        <x:v>54.03111739745403</x:v>
      </x:c>
      <x:c r="T472" s="165" t="n">
        <x:f>IFERROR(K472/J472,0)</x:f>
        <x:v>0.3333333333333333</x:v>
      </x:c>
    </x:row>
    <x:row r="473">
      <x:c r="A473" s="161" t="n">
        <x:v>46174</x:v>
      </x:c>
      <x:c r="B473" s="162" t="str">
        <x:v>Retargeting</x:v>
      </x:c>
      <x:c r="C473" s="162" t="str">
        <x:v>Midwest</x:v>
      </x:c>
      <x:c r="D473" s="162" t="str">
        <x:v>Case Packers</x:v>
      </x:c>
      <x:c r="E473" s="163" t="n">
        <x:v>22320</x:v>
      </x:c>
      <x:c r="F473" s="163" t="n">
        <x:v>841</x:v>
      </x:c>
      <x:c r="G473" s="163" t="n">
        <x:v>74</x:v>
      </x:c>
      <x:c r="H473" s="163" t="n">
        <x:v>52</x:v>
      </x:c>
      <x:c r="I473" s="163" t="n">
        <x:v>30</x:v>
      </x:c>
      <x:c r="J473" s="163" t="n">
        <x:v>17</x:v>
      </x:c>
      <x:c r="K473" s="163" t="n">
        <x:v>6</x:v>
      </x:c>
      <x:c r="L473" s="164" t="n">
        <x:v>4340</x:v>
      </x:c>
      <x:c r="M473" s="164" t="n">
        <x:v>1600122</x:v>
      </x:c>
      <x:c r="N473" s="164" t="n">
        <x:v>641760</x:v>
      </x:c>
      <x:c r="O473" s="165" t="n">
        <x:f>IFERROR(F473/E473,0)</x:f>
        <x:v>0.03767921146953405</x:v>
      </x:c>
      <x:c r="P473" s="166" t="n">
        <x:f>IFERROR(L473/F473,0)</x:f>
        <x:v>5.1605231866825205</x:v>
      </x:c>
      <x:c r="Q473" s="165" t="n">
        <x:f>IFERROR(G473/F473,0)</x:f>
        <x:v>0.08799048751486326</x:v>
      </x:c>
      <x:c r="R473" s="164" t="n">
        <x:f>IFERROR(L473/G473,0)</x:f>
        <x:v>58.648648648648646</x:v>
      </x:c>
      <x:c r="S473" s="167" t="n">
        <x:f>IFERROR(N473/L473,0)</x:f>
        <x:v>147.8709677419355</x:v>
      </x:c>
      <x:c r="T473" s="165" t="n">
        <x:f>IFERROR(K473/J473,0)</x:f>
        <x:v>0.35294117647058826</x:v>
      </x:c>
    </x:row>
    <x:row r="474">
      <x:c r="A474" s="161" t="n">
        <x:v>46174</x:v>
      </x:c>
      <x:c r="B474" s="162" t="str">
        <x:v>Retargeting</x:v>
      </x:c>
      <x:c r="C474" s="162" t="str">
        <x:v>South</x:v>
      </x:c>
      <x:c r="D474" s="162" t="str">
        <x:v>Pouch Fillers</x:v>
      </x:c>
      <x:c r="E474" s="163" t="n">
        <x:v>20700</x:v>
      </x:c>
      <x:c r="F474" s="163" t="n">
        <x:v>731</x:v>
      </x:c>
      <x:c r="G474" s="163" t="n">
        <x:v>63</x:v>
      </x:c>
      <x:c r="H474" s="163" t="n">
        <x:v>40</x:v>
      </x:c>
      <x:c r="I474" s="163" t="n">
        <x:v>24</x:v>
      </x:c>
      <x:c r="J474" s="163" t="n">
        <x:v>12</x:v>
      </x:c>
      <x:c r="K474" s="163" t="n">
        <x:v>4</x:v>
      </x:c>
      <x:c r="L474" s="164" t="n">
        <x:v>3825</x:v>
      </x:c>
      <x:c r="M474" s="164" t="n">
        <x:v>848602</x:v>
      </x:c>
      <x:c r="N474" s="164" t="n">
        <x:v>321440</x:v>
      </x:c>
      <x:c r="O474" s="165" t="n">
        <x:f>IFERROR(F474/E474,0)</x:f>
        <x:v>0.035314009661835746</x:v>
      </x:c>
      <x:c r="P474" s="166" t="n">
        <x:f>IFERROR(L474/F474,0)</x:f>
        <x:v>5.232558139534884</x:v>
      </x:c>
      <x:c r="Q474" s="165" t="n">
        <x:f>IFERROR(G474/F474,0)</x:f>
        <x:v>0.08618331053351573</x:v>
      </x:c>
      <x:c r="R474" s="164" t="n">
        <x:f>IFERROR(L474/G474,0)</x:f>
        <x:v>60.714285714285715</x:v>
      </x:c>
      <x:c r="S474" s="167" t="n">
        <x:f>IFERROR(N474/L474,0)</x:f>
        <x:v>84.03660130718954</x:v>
      </x:c>
      <x:c r="T474" s="165" t="n">
        <x:f>IFERROR(K474/J474,0)</x:f>
        <x:v>0.3333333333333333</x:v>
      </x:c>
    </x:row>
    <x:row r="475">
      <x:c r="A475" s="161" t="n">
        <x:v>46174</x:v>
      </x:c>
      <x:c r="B475" s="162" t="str">
        <x:v>Retargeting</x:v>
      </x:c>
      <x:c r="C475" s="162" t="str">
        <x:v>South</x:v>
      </x:c>
      <x:c r="D475" s="162" t="str">
        <x:v>Cartoning Machines</x:v>
      </x:c>
      <x:c r="E475" s="163" t="n">
        <x:v>22230</x:v>
      </x:c>
      <x:c r="F475" s="163" t="n">
        <x:v>820</x:v>
      </x:c>
      <x:c r="G475" s="163" t="n">
        <x:v>72</x:v>
      </x:c>
      <x:c r="H475" s="163" t="n">
        <x:v>47</x:v>
      </x:c>
      <x:c r="I475" s="163" t="n">
        <x:v>28</x:v>
      </x:c>
      <x:c r="J475" s="163" t="n">
        <x:v>14</x:v>
      </x:c>
      <x:c r="K475" s="163" t="n">
        <x:v>5</x:v>
      </x:c>
      <x:c r="L475" s="164" t="n">
        <x:v>4290</x:v>
      </x:c>
      <x:c r="M475" s="164" t="n">
        <x:v>1666157</x:v>
      </x:c>
      <x:c r="N475" s="164" t="n">
        <x:v>676200</x:v>
      </x:c>
      <x:c r="O475" s="165" t="n">
        <x:f>IFERROR(F475/E475,0)</x:f>
        <x:v>0.03688708951866847</x:v>
      </x:c>
      <x:c r="P475" s="166" t="n">
        <x:f>IFERROR(L475/F475,0)</x:f>
        <x:v>5.2317073170731705</x:v>
      </x:c>
      <x:c r="Q475" s="165" t="n">
        <x:f>IFERROR(G475/F475,0)</x:f>
        <x:v>0.08780487804878048</x:v>
      </x:c>
      <x:c r="R475" s="164" t="n">
        <x:f>IFERROR(L475/G475,0)</x:f>
        <x:v>59.583333333333336</x:v>
      </x:c>
      <x:c r="S475" s="167" t="n">
        <x:f>IFERROR(N475/L475,0)</x:f>
        <x:v>157.62237762237763</x:v>
      </x:c>
      <x:c r="T475" s="165" t="n">
        <x:f>IFERROR(K475/J475,0)</x:f>
        <x:v>0.35714285714285715</x:v>
      </x:c>
    </x:row>
    <x:row r="476">
      <x:c r="A476" s="161" t="n">
        <x:v>46174</x:v>
      </x:c>
      <x:c r="B476" s="162" t="str">
        <x:v>Retargeting</x:v>
      </x:c>
      <x:c r="C476" s="162" t="str">
        <x:v>South</x:v>
      </x:c>
      <x:c r="D476" s="162" t="str">
        <x:v>Labeling Systems</x:v>
      </x:c>
      <x:c r="E476" s="163" t="n">
        <x:v>21780</x:v>
      </x:c>
      <x:c r="F476" s="163" t="n">
        <x:v>751</x:v>
      </x:c>
      <x:c r="G476" s="163" t="n">
        <x:v>65</x:v>
      </x:c>
      <x:c r="H476" s="163" t="n">
        <x:v>44</x:v>
      </x:c>
      <x:c r="I476" s="163" t="n">
        <x:v>26</x:v>
      </x:c>
      <x:c r="J476" s="163" t="n">
        <x:v>14</x:v>
      </x:c>
      <x:c r="K476" s="163" t="n">
        <x:v>5</x:v>
      </x:c>
      <x:c r="L476" s="164" t="n">
        <x:v>3929</x:v>
      </x:c>
      <x:c r="M476" s="164" t="n">
        <x:v>579533</x:v>
      </x:c>
      <x:c r="N476" s="164" t="n">
        <x:v>235200</x:v>
      </x:c>
      <x:c r="O476" s="165" t="n">
        <x:f>IFERROR(F476/E476,0)</x:f>
        <x:v>0.0344811753902663</x:v>
      </x:c>
      <x:c r="P476" s="166" t="n">
        <x:f>IFERROR(L476/F476,0)</x:f>
        <x:v>5.2316910785619175</x:v>
      </x:c>
      <x:c r="Q476" s="165" t="n">
        <x:f>IFERROR(G476/F476,0)</x:f>
        <x:v>0.08655126498002663</x:v>
      </x:c>
      <x:c r="R476" s="164" t="n">
        <x:f>IFERROR(L476/G476,0)</x:f>
        <x:v>60.44615384615385</x:v>
      </x:c>
      <x:c r="S476" s="167" t="n">
        <x:f>IFERROR(N476/L476,0)</x:f>
        <x:v>59.86256044795113</x:v>
      </x:c>
      <x:c r="T476" s="165" t="n">
        <x:f>IFERROR(K476/J476,0)</x:f>
        <x:v>0.35714285714285715</x:v>
      </x:c>
    </x:row>
    <x:row r="477">
      <x:c r="A477" s="161" t="n">
        <x:v>46174</x:v>
      </x:c>
      <x:c r="B477" s="162" t="str">
        <x:v>Retargeting</x:v>
      </x:c>
      <x:c r="C477" s="162" t="str">
        <x:v>South</x:v>
      </x:c>
      <x:c r="D477" s="162" t="str">
        <x:v>Case Packers</x:v>
      </x:c>
      <x:c r="E477" s="163" t="n">
        <x:v>23310</x:v>
      </x:c>
      <x:c r="F477" s="163" t="n">
        <x:v>841</x:v>
      </x:c>
      <x:c r="G477" s="163" t="n">
        <x:v>74</x:v>
      </x:c>
      <x:c r="H477" s="163" t="n">
        <x:v>52</x:v>
      </x:c>
      <x:c r="I477" s="163" t="n">
        <x:v>31</x:v>
      </x:c>
      <x:c r="J477" s="163" t="n">
        <x:v>18</x:v>
      </x:c>
      <x:c r="K477" s="163" t="n">
        <x:v>6</x:v>
      </x:c>
      <x:c r="L477" s="164" t="n">
        <x:v>4400</x:v>
      </x:c>
      <x:c r="M477" s="164" t="n">
        <x:v>1738598</x:v>
      </x:c>
      <x:c r="N477" s="164" t="n">
        <x:v>658560</x:v>
      </x:c>
      <x:c r="O477" s="165" t="n">
        <x:f>IFERROR(F477/E477,0)</x:f>
        <x:v>0.03607893607893608</x:v>
      </x:c>
      <x:c r="P477" s="166" t="n">
        <x:f>IFERROR(L477/F477,0)</x:f>
        <x:v>5.231866825208086</x:v>
      </x:c>
      <x:c r="Q477" s="165" t="n">
        <x:f>IFERROR(G477/F477,0)</x:f>
        <x:v>0.08799048751486326</x:v>
      </x:c>
      <x:c r="R477" s="164" t="n">
        <x:f>IFERROR(L477/G477,0)</x:f>
        <x:v>59.45945945945946</x:v>
      </x:c>
      <x:c r="S477" s="167" t="n">
        <x:f>IFERROR(N477/L477,0)</x:f>
        <x:v>149.6727272727273</x:v>
      </x:c>
      <x:c r="T477" s="165" t="n">
        <x:f>IFERROR(K477/J477,0)</x:f>
        <x:v>0.3333333333333333</x:v>
      </x:c>
    </x:row>
    <x:row r="478">
      <x:c r="A478" s="161" t="n">
        <x:v>46174</x:v>
      </x:c>
      <x:c r="B478" s="162" t="str">
        <x:v>Retargeting</x:v>
      </x:c>
      <x:c r="C478" s="162" t="str">
        <x:v>West</x:v>
      </x:c>
      <x:c r="D478" s="162" t="str">
        <x:v>Pouch Fillers</x:v>
      </x:c>
      <x:c r="E478" s="163" t="n">
        <x:v>21690</x:v>
      </x:c>
      <x:c r="F478" s="163" t="n">
        <x:v>818</x:v>
      </x:c>
      <x:c r="G478" s="163" t="n">
        <x:v>70</x:v>
      </x:c>
      <x:c r="H478" s="163" t="n">
        <x:v>44</x:v>
      </x:c>
      <x:c r="I478" s="163" t="n">
        <x:v>27</x:v>
      </x:c>
      <x:c r="J478" s="163" t="n">
        <x:v>13</x:v>
      </x:c>
      <x:c r="K478" s="163" t="n">
        <x:v>5</x:v>
      </x:c>
      <x:c r="L478" s="164" t="n">
        <x:v>4339</x:v>
      </x:c>
      <x:c r="M478" s="164" t="n">
        <x:v>942770</x:v>
      </x:c>
      <x:c r="N478" s="164" t="n">
        <x:v>412050</x:v>
      </x:c>
      <x:c r="O478" s="165" t="n">
        <x:f>IFERROR(F478/E478,0)</x:f>
        <x:v>0.03771323190410327</x:v>
      </x:c>
      <x:c r="P478" s="166" t="n">
        <x:f>IFERROR(L478/F478,0)</x:f>
        <x:v>5.30440097799511</x:v>
      </x:c>
      <x:c r="Q478" s="165" t="n">
        <x:f>IFERROR(G478/F478,0)</x:f>
        <x:v>0.08557457212713937</x:v>
      </x:c>
      <x:c r="R478" s="164" t="n">
        <x:f>IFERROR(L478/G478,0)</x:f>
        <x:v>61.98571428571429</x:v>
      </x:c>
      <x:c r="S478" s="167" t="n">
        <x:f>IFERROR(N478/L478,0)</x:f>
        <x:v>94.96427748329108</x:v>
      </x:c>
      <x:c r="T478" s="165" t="n">
        <x:f>IFERROR(K478/J478,0)</x:f>
        <x:v>0.38461538461538464</x:v>
      </x:c>
    </x:row>
    <x:row r="479">
      <x:c r="A479" s="161" t="n">
        <x:v>46174</x:v>
      </x:c>
      <x:c r="B479" s="162" t="str">
        <x:v>Retargeting</x:v>
      </x:c>
      <x:c r="C479" s="162" t="str">
        <x:v>West</x:v>
      </x:c>
      <x:c r="D479" s="162" t="str">
        <x:v>Cartoning Machines</x:v>
      </x:c>
      <x:c r="E479" s="163" t="n">
        <x:v>23220</x:v>
      </x:c>
      <x:c r="F479" s="163" t="n">
        <x:v>820</x:v>
      </x:c>
      <x:c r="G479" s="163" t="n">
        <x:v>72</x:v>
      </x:c>
      <x:c r="H479" s="163" t="n">
        <x:v>47</x:v>
      </x:c>
      <x:c r="I479" s="163" t="n">
        <x:v>29</x:v>
      </x:c>
      <x:c r="J479" s="163" t="n">
        <x:v>15</x:v>
      </x:c>
      <x:c r="K479" s="163" t="n">
        <x:v>6</x:v>
      </x:c>
      <x:c r="L479" s="164" t="n">
        <x:v>4349</x:v>
      </x:c>
      <x:c r="M479" s="164" t="n">
        <x:v>1830708</x:v>
      </x:c>
      <x:c r="N479" s="164" t="n">
        <x:v>832140</x:v>
      </x:c>
      <x:c r="O479" s="165" t="n">
        <x:f>IFERROR(F479/E479,0)</x:f>
        <x:v>0.03531438415159346</x:v>
      </x:c>
      <x:c r="P479" s="166" t="n">
        <x:f>IFERROR(L479/F479,0)</x:f>
        <x:v>5.303658536585366</x:v>
      </x:c>
      <x:c r="Q479" s="165" t="n">
        <x:f>IFERROR(G479/F479,0)</x:f>
        <x:v>0.08780487804878048</x:v>
      </x:c>
      <x:c r="R479" s="164" t="n">
        <x:f>IFERROR(L479/G479,0)</x:f>
        <x:v>60.40277777777778</x:v>
      </x:c>
      <x:c r="S479" s="167" t="n">
        <x:f>IFERROR(N479/L479,0)</x:f>
        <x:v>191.34053805472522</x:v>
      </x:c>
      <x:c r="T479" s="165" t="n">
        <x:f>IFERROR(K479/J479,0)</x:f>
        <x:v>0.4</x:v>
      </x:c>
    </x:row>
    <x:row r="480">
      <x:c r="A480" s="161" t="n">
        <x:v>46174</x:v>
      </x:c>
      <x:c r="B480" s="162" t="str">
        <x:v>Retargeting</x:v>
      </x:c>
      <x:c r="C480" s="162" t="str">
        <x:v>West</x:v>
      </x:c>
      <x:c r="D480" s="162" t="str">
        <x:v>Labeling Systems</x:v>
      </x:c>
      <x:c r="E480" s="163" t="n">
        <x:v>22770</x:v>
      </x:c>
      <x:c r="F480" s="163" t="n">
        <x:v>840</x:v>
      </x:c>
      <x:c r="G480" s="163" t="n">
        <x:v>72</x:v>
      </x:c>
      <x:c r="H480" s="163" t="n">
        <x:v>49</x:v>
      </x:c>
      <x:c r="I480" s="163" t="n">
        <x:v>30</x:v>
      </x:c>
      <x:c r="J480" s="163" t="n">
        <x:v>16</x:v>
      </x:c>
      <x:c r="K480" s="163" t="n">
        <x:v>6</x:v>
      </x:c>
      <x:c r="L480" s="164" t="n">
        <x:v>4455</x:v>
      </x:c>
      <x:c r="M480" s="164" t="n">
        <x:v>679219</x:v>
      </x:c>
      <x:c r="N480" s="164" t="n">
        <x:v>289440</x:v>
      </x:c>
      <x:c r="O480" s="165" t="n">
        <x:f>IFERROR(F480/E480,0)</x:f>
        <x:v>0.03689064558629776</x:v>
      </x:c>
      <x:c r="P480" s="166" t="n">
        <x:f>IFERROR(L480/F480,0)</x:f>
        <x:v>5.303571428571429</x:v>
      </x:c>
      <x:c r="Q480" s="165" t="n">
        <x:f>IFERROR(G480/F480,0)</x:f>
        <x:v>0.08571428571428572</x:v>
      </x:c>
      <x:c r="R480" s="164" t="n">
        <x:f>IFERROR(L480/G480,0)</x:f>
        <x:v>61.875</x:v>
      </x:c>
      <x:c r="S480" s="167" t="n">
        <x:f>IFERROR(N480/L480,0)</x:f>
        <x:v>64.96969696969697</x:v>
      </x:c>
      <x:c r="T480" s="165" t="n">
        <x:f>IFERROR(K480/J480,0)</x:f>
        <x:v>0.375</x:v>
      </x:c>
    </x:row>
    <x:row r="481">
      <x:c r="A481" s="168" t="n">
        <x:v>46174</x:v>
      </x:c>
      <x:c r="B481" s="169" t="str">
        <x:v>Retargeting</x:v>
      </x:c>
      <x:c r="C481" s="169" t="str">
        <x:v>West</x:v>
      </x:c>
      <x:c r="D481" s="169" t="str">
        <x:v>Case Packers</x:v>
      </x:c>
      <x:c r="E481" s="170" t="n">
        <x:v>24300</x:v>
      </x:c>
      <x:c r="F481" s="170" t="n">
        <x:v>838</x:v>
      </x:c>
      <x:c r="G481" s="170" t="n">
        <x:v>74</x:v>
      </x:c>
      <x:c r="H481" s="170" t="n">
        <x:v>52</x:v>
      </x:c>
      <x:c r="I481" s="170" t="n">
        <x:v>32</x:v>
      </x:c>
      <x:c r="J481" s="170" t="n">
        <x:v>18</x:v>
      </x:c>
      <x:c r="K481" s="170" t="n">
        <x:v>7</x:v>
      </x:c>
      <x:c r="L481" s="171" t="n">
        <x:v>4445</x:v>
      </x:c>
      <x:c r="M481" s="171" t="n">
        <x:v>1782950</x:v>
      </x:c>
      <x:c r="N481" s="171" t="n">
        <x:v>787920</x:v>
      </x:c>
      <x:c r="O481" s="172" t="n">
        <x:f>IFERROR(F481/E481,0)</x:f>
        <x:v>0.03448559670781893</x:v>
      </x:c>
      <x:c r="P481" s="173" t="n">
        <x:f>IFERROR(L481/F481,0)</x:f>
        <x:v>5.304295942720763</x:v>
      </x:c>
      <x:c r="Q481" s="172" t="n">
        <x:f>IFERROR(G481/F481,0)</x:f>
        <x:v>0.0883054892601432</x:v>
      </x:c>
      <x:c r="R481" s="171" t="n">
        <x:f>IFERROR(L481/G481,0)</x:f>
        <x:v>60.067567567567565</x:v>
      </x:c>
      <x:c r="S481" s="174" t="n">
        <x:f>IFERROR(N481/L481,0)</x:f>
        <x:v>177.25984251968504</x:v>
      </x:c>
      <x:c r="T481" s="172" t="n">
        <x:f>IFERROR(K481/J481,0)</x:f>
        <x:v>0.3888888888888889</x:v>
      </x:c>
    </x:row>
  </x:sheetData>
  <x:pageMargins left="0.7" right="0.7" top="0.75" bottom="0.75" header="0.3" footer="0.3"/>
  <x:tableParts count="1">
    <x:tablePart xmlns:r="http://schemas.openxmlformats.org/officeDocument/2006/relationships" r:id="R6e7b8c8d15434624"/>
  </x:tableParts>
</x:worksheet>
</file>

<file path=xl/worksheets/sheet4.xml><?xml version="1.0" encoding="utf-8"?>
<x:worksheet xmlns:x="http://schemas.openxmlformats.org/spreadsheetml/2006/main">
  <x:sheetPr>
    <x:tabColor rgb="FF7A869A"/>
  </x:sheetPr>
  <x:sheetViews>
    <x:sheetView showGridLines="0" workbookViewId="0"/>
  </x:sheetViews>
  <x:sheetFormatPr defaultRowHeight="15"/>
  <x:cols>
    <x:col min="1" max="1" width="22" hidden="0" customWidth="1"/>
    <x:col min="2" max="2" width="80" hidden="0" customWidth="1"/>
  </x:cols>
  <x:sheetData>
    <x:row r="1">
      <x:c r="A1" s="129"/>
      <x:c r="B1" s="129"/>
    </x:row>
    <x:row r="2">
      <x:c r="A2" s="40" t="str">
        <x:v>About This Portfolio Workbook</x:v>
      </x:c>
      <x:c r="B2" s="40"/>
      <x:c r="C2" s="40"/>
      <x:c r="D2" s="40"/>
      <x:c r="E2" s="40"/>
      <x:c r="F2" s="40"/>
      <x:c r="G2" s="40"/>
      <x:c r="H2" s="40"/>
    </x:row>
    <x:row r="3">
      <x:c r="A3" s="130"/>
      <x:c r="B3" s="130"/>
      <x:c r="C3" s="42"/>
      <x:c r="D3" s="42"/>
      <x:c r="E3" s="42"/>
      <x:c r="F3" s="42"/>
      <x:c r="G3" s="42"/>
      <x:c r="H3" s="42"/>
    </x:row>
    <x:row r="4">
      <x:c r="A4" s="129"/>
      <x:c r="B4" s="129"/>
    </x:row>
    <x:row r="5" ht="30" customHeight="1">
      <x:c r="A5" s="123" t="str">
        <x:v>Project</x:v>
      </x:c>
      <x:c r="B5" s="175" t="str">
        <x:v>Crown Industries — U.S. Packaging Machinery Market Entry &amp; Lead-Generation Analytics</x:v>
      </x:c>
    </x:row>
    <x:row r="6" ht="30" customHeight="1">
      <x:c r="A6" s="125" t="str">
        <x:v>Purpose</x:v>
      </x:c>
      <x:c r="B6" s="176" t="str">
        <x:v>Demonstrate digital marketing analytics, funnel reporting, campaign optimization, CRM thinking, and executive communication.</x:v>
      </x:c>
    </x:row>
    <x:row r="7" ht="30" customHeight="1">
      <x:c r="A7" s="125" t="str">
        <x:v>Data status</x:v>
      </x:c>
      <x:c r="B7" s="176" t="str">
        <x:v>100% synthetic portfolio data. It does not represent actual Crown Industries customers, spending, performance, or confidential information.</x:v>
      </x:c>
    </x:row>
    <x:row r="8" ht="30" customHeight="1">
      <x:c r="A8" s="125" t="str">
        <x:v>Period</x:v>
      </x:c>
      <x:c r="B8" s="176" t="str">
        <x:v>January–June 2026</x:v>
      </x:c>
    </x:row>
    <x:row r="9" ht="30" customHeight="1">
      <x:c r="A9" s="125" t="str">
        <x:v>Primary audience</x:v>
      </x:c>
      <x:c r="B9" s="176" t="str">
        <x:v>Recruiters and hiring managers for Digital Marketing Specialist, Marketing Operations, and Marketing Analytics roles.</x:v>
      </x:c>
    </x:row>
    <x:row r="10" ht="30" customHeight="1">
      <x:c r="A10" s="125" t="str">
        <x:v>CTR</x:v>
      </x:c>
      <x:c r="B10" s="176" t="str">
        <x:v>Clicks ÷ Impressions</x:v>
      </x:c>
    </x:row>
    <x:row r="11" ht="30" customHeight="1">
      <x:c r="A11" s="125" t="str">
        <x:v>CPL</x:v>
      </x:c>
      <x:c r="B11" s="176" t="str">
        <x:v>Spend ÷ Leads</x:v>
      </x:c>
    </x:row>
    <x:row r="12" ht="30" customHeight="1">
      <x:c r="A12" s="125" t="str">
        <x:v>ROAS</x:v>
      </x:c>
      <x:c r="B12" s="176" t="str">
        <x:v>Attributed Revenue ÷ Spend</x:v>
      </x:c>
    </x:row>
    <x:row r="13" ht="30" customHeight="1">
      <x:c r="A13" s="127" t="str">
        <x:v>Win Rate</x:v>
      </x:c>
      <x:c r="B13" s="177" t="str">
        <x:v>Wins ÷ Opportunities</x:v>
      </x:c>
    </x:row>
  </x:sheetData>
  <x:mergeCells>
    <x:mergeCell ref="A2:H2"/>
  </x:mergeCells>
  <x:pageMargins left="0.7" right="0.7" top="0.75" bottom="0.75" header="0.3" footer="0.3"/>
</x:worksheet>
</file>